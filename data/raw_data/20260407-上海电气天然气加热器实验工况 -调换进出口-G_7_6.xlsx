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stgraduate\Homogenize\SJTU-TPMSHX\data\raw_data\"/>
    </mc:Choice>
  </mc:AlternateContent>
  <xr:revisionPtr revIDLastSave="0" documentId="13_ncr:1_{ECC4BCD3-23EA-4781-80A7-A9E1481AC308}" xr6:coauthVersionLast="47" xr6:coauthVersionMax="47" xr10:uidLastSave="{00000000-0000-0000-0000-000000000000}"/>
  <bookViews>
    <workbookView xWindow="4104" yWindow="3108" windowWidth="23040" windowHeight="13452" activeTab="3" xr2:uid="{00000000-000D-0000-FFFF-FFFF00000000}"/>
  </bookViews>
  <sheets>
    <sheet name="Sheet1" sheetId="5" r:id="rId1"/>
    <sheet name="Sheet3" sheetId="7" r:id="rId2"/>
    <sheet name="Sheet2" sheetId="6" r:id="rId3"/>
    <sheet name="Sheet4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4" i="5" l="1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3" i="5"/>
  <c r="AO10" i="5"/>
  <c r="AO12" i="5"/>
  <c r="AO13" i="5"/>
  <c r="AO14" i="5"/>
  <c r="AO15" i="5"/>
  <c r="AB3" i="5"/>
  <c r="AA3" i="5"/>
  <c r="AF3" i="5"/>
  <c r="AE3" i="5"/>
  <c r="AD3" i="5"/>
  <c r="AC3" i="5"/>
  <c r="Z3" i="5"/>
  <c r="Y3" i="5"/>
  <c r="AD6" i="5"/>
  <c r="Z6" i="5"/>
  <c r="Y6" i="5"/>
  <c r="Y13" i="7"/>
  <c r="Z13" i="7"/>
  <c r="AA13" i="7"/>
  <c r="AB13" i="7"/>
  <c r="AC13" i="7"/>
  <c r="AD13" i="7"/>
  <c r="AE13" i="7"/>
  <c r="AF13" i="7"/>
  <c r="AG13" i="7"/>
  <c r="AH13" i="7"/>
  <c r="AI13" i="7"/>
  <c r="X21" i="7"/>
  <c r="W21" i="7"/>
  <c r="V21" i="7"/>
  <c r="U21" i="7"/>
  <c r="T21" i="7"/>
  <c r="S21" i="7"/>
  <c r="R21" i="7"/>
  <c r="Q21" i="7"/>
  <c r="P21" i="7"/>
  <c r="O21" i="7"/>
  <c r="N21" i="7"/>
  <c r="M21" i="7"/>
  <c r="AG18" i="7"/>
  <c r="AF18" i="7"/>
  <c r="AE18" i="7"/>
  <c r="AD18" i="7"/>
  <c r="AC18" i="7"/>
  <c r="AB18" i="7"/>
  <c r="AA18" i="7"/>
  <c r="Z18" i="7"/>
  <c r="Y18" i="7"/>
  <c r="E18" i="7"/>
  <c r="H18" i="7" s="1"/>
  <c r="J18" i="7" s="1"/>
  <c r="AI18" i="7" s="1"/>
  <c r="D18" i="7"/>
  <c r="F18" i="7" s="1"/>
  <c r="AF17" i="7"/>
  <c r="AE17" i="7"/>
  <c r="AD17" i="7"/>
  <c r="AC17" i="7"/>
  <c r="AB17" i="7"/>
  <c r="AA17" i="7"/>
  <c r="AG17" i="7" s="1"/>
  <c r="Z17" i="7"/>
  <c r="Y17" i="7"/>
  <c r="H17" i="7"/>
  <c r="J17" i="7" s="1"/>
  <c r="AI17" i="7" s="1"/>
  <c r="F17" i="7"/>
  <c r="I17" i="7" s="1"/>
  <c r="E17" i="7"/>
  <c r="D17" i="7"/>
  <c r="AF16" i="7"/>
  <c r="AE16" i="7"/>
  <c r="AD16" i="7"/>
  <c r="AC16" i="7"/>
  <c r="AB16" i="7"/>
  <c r="AA16" i="7"/>
  <c r="AG16" i="7" s="1"/>
  <c r="Z16" i="7"/>
  <c r="Y16" i="7"/>
  <c r="E16" i="7"/>
  <c r="H16" i="7" s="1"/>
  <c r="J16" i="7" s="1"/>
  <c r="AI16" i="7" s="1"/>
  <c r="D16" i="7"/>
  <c r="F16" i="7" s="1"/>
  <c r="AF15" i="7"/>
  <c r="AE15" i="7"/>
  <c r="AD15" i="7"/>
  <c r="AC15" i="7"/>
  <c r="AB15" i="7"/>
  <c r="AA15" i="7"/>
  <c r="Z15" i="7"/>
  <c r="Y15" i="7"/>
  <c r="H15" i="7"/>
  <c r="J15" i="7" s="1"/>
  <c r="AI15" i="7" s="1"/>
  <c r="F15" i="7"/>
  <c r="I15" i="7" s="1"/>
  <c r="E15" i="7"/>
  <c r="D15" i="7"/>
  <c r="AG14" i="7"/>
  <c r="AF14" i="7"/>
  <c r="AE14" i="7"/>
  <c r="AD14" i="7"/>
  <c r="AC14" i="7"/>
  <c r="AB14" i="7"/>
  <c r="AA14" i="7"/>
  <c r="Z14" i="7"/>
  <c r="Y14" i="7"/>
  <c r="E14" i="7"/>
  <c r="H14" i="7" s="1"/>
  <c r="J14" i="7" s="1"/>
  <c r="AI14" i="7" s="1"/>
  <c r="D14" i="7"/>
  <c r="F14" i="7" s="1"/>
  <c r="E13" i="7"/>
  <c r="H13" i="7" s="1"/>
  <c r="J13" i="7" s="1"/>
  <c r="D13" i="7"/>
  <c r="F13" i="7" s="1"/>
  <c r="AF12" i="7"/>
  <c r="AE12" i="7"/>
  <c r="AD12" i="7"/>
  <c r="AC12" i="7"/>
  <c r="AB12" i="7"/>
  <c r="AA12" i="7"/>
  <c r="AG12" i="7" s="1"/>
  <c r="Z12" i="7"/>
  <c r="Y12" i="7"/>
  <c r="G12" i="7"/>
  <c r="F12" i="7"/>
  <c r="I12" i="7" s="1"/>
  <c r="E12" i="7"/>
  <c r="H12" i="7" s="1"/>
  <c r="J12" i="7" s="1"/>
  <c r="AI12" i="7" s="1"/>
  <c r="D12" i="7"/>
  <c r="AG11" i="7"/>
  <c r="AF11" i="7"/>
  <c r="AE11" i="7"/>
  <c r="AD11" i="7"/>
  <c r="AC11" i="7"/>
  <c r="AB11" i="7"/>
  <c r="AA11" i="7"/>
  <c r="Z11" i="7"/>
  <c r="Y11" i="7"/>
  <c r="H11" i="7"/>
  <c r="J11" i="7" s="1"/>
  <c r="AI11" i="7" s="1"/>
  <c r="E11" i="7"/>
  <c r="D11" i="7"/>
  <c r="F11" i="7" s="1"/>
  <c r="AF10" i="7"/>
  <c r="AE10" i="7"/>
  <c r="AD10" i="7"/>
  <c r="AC10" i="7"/>
  <c r="AB10" i="7"/>
  <c r="AA10" i="7"/>
  <c r="AG10" i="7" s="1"/>
  <c r="Z10" i="7"/>
  <c r="Y10" i="7"/>
  <c r="F10" i="7"/>
  <c r="I10" i="7" s="1"/>
  <c r="E10" i="7"/>
  <c r="H10" i="7" s="1"/>
  <c r="J10" i="7" s="1"/>
  <c r="AI10" i="7" s="1"/>
  <c r="D10" i="7"/>
  <c r="AF9" i="7"/>
  <c r="AE9" i="7"/>
  <c r="AD9" i="7"/>
  <c r="AC9" i="7"/>
  <c r="AB9" i="7"/>
  <c r="AA9" i="7"/>
  <c r="Z9" i="7"/>
  <c r="Y9" i="7"/>
  <c r="H9" i="7"/>
  <c r="J9" i="7" s="1"/>
  <c r="AI9" i="7" s="1"/>
  <c r="E9" i="7"/>
  <c r="D9" i="7"/>
  <c r="F9" i="7" s="1"/>
  <c r="AF8" i="7"/>
  <c r="AE8" i="7"/>
  <c r="AD8" i="7"/>
  <c r="AC8" i="7"/>
  <c r="AB8" i="7"/>
  <c r="AA8" i="7"/>
  <c r="AG8" i="7" s="1"/>
  <c r="Z8" i="7"/>
  <c r="Y8" i="7"/>
  <c r="E8" i="7"/>
  <c r="H8" i="7" s="1"/>
  <c r="J8" i="7" s="1"/>
  <c r="AI8" i="7" s="1"/>
  <c r="D8" i="7"/>
  <c r="F8" i="7" s="1"/>
  <c r="AF7" i="7"/>
  <c r="AE7" i="7"/>
  <c r="AD7" i="7"/>
  <c r="AC7" i="7"/>
  <c r="AB7" i="7"/>
  <c r="AA7" i="7"/>
  <c r="Z7" i="7"/>
  <c r="Y7" i="7"/>
  <c r="E7" i="7"/>
  <c r="H7" i="7" s="1"/>
  <c r="J7" i="7" s="1"/>
  <c r="AI7" i="7" s="1"/>
  <c r="D7" i="7"/>
  <c r="F7" i="7" s="1"/>
  <c r="AF6" i="7"/>
  <c r="AE6" i="7"/>
  <c r="AD6" i="7"/>
  <c r="AC6" i="7"/>
  <c r="AB6" i="7"/>
  <c r="AA6" i="7"/>
  <c r="AG6" i="7" s="1"/>
  <c r="Z6" i="7"/>
  <c r="Y6" i="7"/>
  <c r="H6" i="7"/>
  <c r="J6" i="7" s="1"/>
  <c r="AI6" i="7" s="1"/>
  <c r="E6" i="7"/>
  <c r="D6" i="7"/>
  <c r="F6" i="7" s="1"/>
  <c r="AF5" i="7"/>
  <c r="AE5" i="7"/>
  <c r="AD5" i="7"/>
  <c r="AC5" i="7"/>
  <c r="AB5" i="7"/>
  <c r="AA5" i="7"/>
  <c r="Z5" i="7"/>
  <c r="Y5" i="7"/>
  <c r="E5" i="7"/>
  <c r="H5" i="7" s="1"/>
  <c r="J5" i="7" s="1"/>
  <c r="AI5" i="7" s="1"/>
  <c r="D5" i="7"/>
  <c r="F5" i="7" s="1"/>
  <c r="AF4" i="7"/>
  <c r="AE4" i="7"/>
  <c r="AD4" i="7"/>
  <c r="AC4" i="7"/>
  <c r="AB4" i="7"/>
  <c r="AA4" i="7"/>
  <c r="Z4" i="7"/>
  <c r="Y4" i="7"/>
  <c r="H4" i="7"/>
  <c r="J4" i="7" s="1"/>
  <c r="AI4" i="7" s="1"/>
  <c r="E4" i="7"/>
  <c r="D4" i="7"/>
  <c r="F4" i="7" s="1"/>
  <c r="AF3" i="7"/>
  <c r="AE3" i="7"/>
  <c r="AD3" i="7"/>
  <c r="AC3" i="7"/>
  <c r="AB3" i="7"/>
  <c r="AA3" i="7"/>
  <c r="AG3" i="7" s="1"/>
  <c r="Z3" i="7"/>
  <c r="Y3" i="7"/>
  <c r="E3" i="7"/>
  <c r="H3" i="7" s="1"/>
  <c r="J3" i="7" s="1"/>
  <c r="AI3" i="7" s="1"/>
  <c r="D3" i="7"/>
  <c r="F3" i="7" s="1"/>
  <c r="AD9" i="5"/>
  <c r="AC9" i="5"/>
  <c r="Y4" i="5"/>
  <c r="Z4" i="5"/>
  <c r="AA4" i="5"/>
  <c r="AG4" i="5" s="1"/>
  <c r="AB4" i="5"/>
  <c r="AC4" i="5"/>
  <c r="AD4" i="5"/>
  <c r="AE4" i="5"/>
  <c r="AF4" i="5"/>
  <c r="Y5" i="5"/>
  <c r="Z5" i="5"/>
  <c r="AA5" i="5"/>
  <c r="AB5" i="5"/>
  <c r="AC5" i="5"/>
  <c r="AD5" i="5"/>
  <c r="AE5" i="5"/>
  <c r="AF5" i="5"/>
  <c r="AA6" i="5"/>
  <c r="AB6" i="5"/>
  <c r="AC6" i="5"/>
  <c r="AE6" i="5"/>
  <c r="AF6" i="5"/>
  <c r="Y7" i="5"/>
  <c r="Z7" i="5"/>
  <c r="AA7" i="5"/>
  <c r="AG7" i="5" s="1"/>
  <c r="AB7" i="5"/>
  <c r="AC7" i="5"/>
  <c r="AD7" i="5"/>
  <c r="AE7" i="5"/>
  <c r="AF7" i="5"/>
  <c r="Y8" i="5"/>
  <c r="Z8" i="5"/>
  <c r="AA8" i="5"/>
  <c r="AB8" i="5"/>
  <c r="AC8" i="5"/>
  <c r="AD8" i="5"/>
  <c r="AE8" i="5"/>
  <c r="AF8" i="5"/>
  <c r="Y9" i="5"/>
  <c r="Z9" i="5"/>
  <c r="AA9" i="5"/>
  <c r="AB9" i="5"/>
  <c r="AE9" i="5"/>
  <c r="AF9" i="5"/>
  <c r="Y10" i="5"/>
  <c r="Z10" i="5"/>
  <c r="AA10" i="5"/>
  <c r="AB10" i="5"/>
  <c r="AC10" i="5"/>
  <c r="AD10" i="5"/>
  <c r="AE10" i="5"/>
  <c r="AF10" i="5"/>
  <c r="Y11" i="5"/>
  <c r="Z11" i="5"/>
  <c r="AA11" i="5"/>
  <c r="AB11" i="5"/>
  <c r="AC11" i="5"/>
  <c r="AD11" i="5"/>
  <c r="AE11" i="5"/>
  <c r="AF11" i="5"/>
  <c r="Y12" i="5"/>
  <c r="Z12" i="5"/>
  <c r="AA12" i="5"/>
  <c r="AB12" i="5"/>
  <c r="AC12" i="5"/>
  <c r="AD12" i="5"/>
  <c r="AE12" i="5"/>
  <c r="AF12" i="5"/>
  <c r="Y13" i="5"/>
  <c r="Z13" i="5"/>
  <c r="AA13" i="5"/>
  <c r="AB13" i="5"/>
  <c r="AC13" i="5"/>
  <c r="AD13" i="5"/>
  <c r="AE13" i="5"/>
  <c r="AF13" i="5"/>
  <c r="Y14" i="5"/>
  <c r="Z14" i="5"/>
  <c r="AA14" i="5"/>
  <c r="AB14" i="5"/>
  <c r="AC14" i="5"/>
  <c r="AD14" i="5"/>
  <c r="AE14" i="5"/>
  <c r="AF14" i="5"/>
  <c r="Y15" i="5"/>
  <c r="Z15" i="5"/>
  <c r="AA15" i="5"/>
  <c r="AB15" i="5"/>
  <c r="AC15" i="5"/>
  <c r="AD15" i="5"/>
  <c r="AE15" i="5"/>
  <c r="AF15" i="5"/>
  <c r="Y16" i="5"/>
  <c r="Z16" i="5"/>
  <c r="AA16" i="5"/>
  <c r="AG16" i="5" s="1"/>
  <c r="AB16" i="5"/>
  <c r="AC16" i="5"/>
  <c r="AD16" i="5"/>
  <c r="AE16" i="5"/>
  <c r="AF16" i="5"/>
  <c r="Y17" i="5"/>
  <c r="Z17" i="5"/>
  <c r="AA17" i="5"/>
  <c r="AB17" i="5"/>
  <c r="AC17" i="5"/>
  <c r="AD17" i="5"/>
  <c r="AE17" i="5"/>
  <c r="AF17" i="5"/>
  <c r="Y18" i="5"/>
  <c r="Z18" i="5"/>
  <c r="AA18" i="5"/>
  <c r="AB18" i="5"/>
  <c r="AC18" i="5"/>
  <c r="AD18" i="5"/>
  <c r="AE18" i="5"/>
  <c r="AF18" i="5"/>
  <c r="E4" i="5"/>
  <c r="H4" i="5" s="1"/>
  <c r="E5" i="5"/>
  <c r="H5" i="5" s="1"/>
  <c r="E6" i="5"/>
  <c r="H6" i="5" s="1"/>
  <c r="E7" i="5"/>
  <c r="E8" i="5"/>
  <c r="H8" i="5" s="1"/>
  <c r="E9" i="5"/>
  <c r="H9" i="5" s="1"/>
  <c r="E10" i="5"/>
  <c r="H10" i="5" s="1"/>
  <c r="E11" i="5"/>
  <c r="H11" i="5" s="1"/>
  <c r="E12" i="5"/>
  <c r="H12" i="5" s="1"/>
  <c r="E13" i="5"/>
  <c r="E14" i="5"/>
  <c r="H14" i="5" s="1"/>
  <c r="E15" i="5"/>
  <c r="H15" i="5" s="1"/>
  <c r="E16" i="5"/>
  <c r="H16" i="5" s="1"/>
  <c r="E17" i="5"/>
  <c r="H17" i="5" s="1"/>
  <c r="E18" i="5"/>
  <c r="H18" i="5" s="1"/>
  <c r="E3" i="5"/>
  <c r="D4" i="5"/>
  <c r="D5" i="5"/>
  <c r="D6" i="5"/>
  <c r="D7" i="5"/>
  <c r="F7" i="5" s="1"/>
  <c r="AO7" i="5" s="1"/>
  <c r="D8" i="5"/>
  <c r="F8" i="5" s="1"/>
  <c r="AO8" i="5" s="1"/>
  <c r="D9" i="5"/>
  <c r="F9" i="5" s="1"/>
  <c r="AO9" i="5" s="1"/>
  <c r="D10" i="5"/>
  <c r="F10" i="5" s="1"/>
  <c r="D11" i="5"/>
  <c r="D12" i="5"/>
  <c r="F12" i="5" s="1"/>
  <c r="D13" i="5"/>
  <c r="F13" i="5" s="1"/>
  <c r="I13" i="5" s="1"/>
  <c r="AI13" i="5" s="1"/>
  <c r="D14" i="5"/>
  <c r="F14" i="5" s="1"/>
  <c r="D15" i="5"/>
  <c r="F15" i="5" s="1"/>
  <c r="D16" i="5"/>
  <c r="F16" i="5" s="1"/>
  <c r="AO16" i="5" s="1"/>
  <c r="D17" i="5"/>
  <c r="F17" i="5" s="1"/>
  <c r="AO17" i="5" s="1"/>
  <c r="D18" i="5"/>
  <c r="F18" i="5" s="1"/>
  <c r="AO18" i="5" s="1"/>
  <c r="D3" i="5"/>
  <c r="F3" i="5" s="1"/>
  <c r="AO3" i="5" s="1"/>
  <c r="X21" i="5"/>
  <c r="N21" i="5"/>
  <c r="O21" i="5"/>
  <c r="P21" i="5"/>
  <c r="Q21" i="5"/>
  <c r="R21" i="5"/>
  <c r="S21" i="5"/>
  <c r="T21" i="5"/>
  <c r="U21" i="5"/>
  <c r="V21" i="5"/>
  <c r="W21" i="5"/>
  <c r="M21" i="5"/>
  <c r="H7" i="5"/>
  <c r="H13" i="5"/>
  <c r="F11" i="5"/>
  <c r="AO11" i="5" s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J17" i="6" s="1"/>
  <c r="H18" i="6"/>
  <c r="H3" i="6"/>
  <c r="D4" i="6"/>
  <c r="D5" i="6"/>
  <c r="D6" i="6"/>
  <c r="D7" i="6"/>
  <c r="D8" i="6"/>
  <c r="F8" i="6" s="1"/>
  <c r="D9" i="6"/>
  <c r="F9" i="6" s="1"/>
  <c r="I9" i="6" s="1"/>
  <c r="D10" i="6"/>
  <c r="D11" i="6"/>
  <c r="D12" i="6"/>
  <c r="F12" i="6" s="1"/>
  <c r="I12" i="6" s="1"/>
  <c r="D13" i="6"/>
  <c r="F13" i="6" s="1"/>
  <c r="D14" i="6"/>
  <c r="F14" i="6" s="1"/>
  <c r="D15" i="6"/>
  <c r="F15" i="6" s="1"/>
  <c r="D16" i="6"/>
  <c r="F16" i="6" s="1"/>
  <c r="D17" i="6"/>
  <c r="F17" i="6" s="1"/>
  <c r="I17" i="6" s="1"/>
  <c r="D18" i="6"/>
  <c r="F18" i="6" s="1"/>
  <c r="D3" i="6"/>
  <c r="F3" i="6" s="1"/>
  <c r="E18" i="6"/>
  <c r="E17" i="6"/>
  <c r="E16" i="6"/>
  <c r="E15" i="6"/>
  <c r="E14" i="6"/>
  <c r="E13" i="6"/>
  <c r="J13" i="6" s="1"/>
  <c r="E12" i="6"/>
  <c r="J12" i="6" s="1"/>
  <c r="E11" i="6"/>
  <c r="J11" i="6" s="1"/>
  <c r="F11" i="6"/>
  <c r="V10" i="6"/>
  <c r="U10" i="6"/>
  <c r="E10" i="6"/>
  <c r="J10" i="6" s="1"/>
  <c r="F10" i="6"/>
  <c r="V9" i="6"/>
  <c r="U9" i="6"/>
  <c r="E9" i="6"/>
  <c r="V8" i="6"/>
  <c r="U8" i="6"/>
  <c r="E8" i="6"/>
  <c r="J8" i="6" s="1"/>
  <c r="V7" i="6"/>
  <c r="U7" i="6"/>
  <c r="E7" i="6"/>
  <c r="J7" i="6" s="1"/>
  <c r="F7" i="6"/>
  <c r="V6" i="6"/>
  <c r="U6" i="6"/>
  <c r="E6" i="6"/>
  <c r="J6" i="6" s="1"/>
  <c r="F6" i="6"/>
  <c r="V5" i="6"/>
  <c r="U5" i="6"/>
  <c r="E5" i="6"/>
  <c r="J5" i="6" s="1"/>
  <c r="F5" i="6"/>
  <c r="I5" i="6" s="1"/>
  <c r="V4" i="6"/>
  <c r="U4" i="6"/>
  <c r="E4" i="6"/>
  <c r="J4" i="6" s="1"/>
  <c r="F4" i="6"/>
  <c r="V3" i="6"/>
  <c r="U3" i="6"/>
  <c r="E3" i="6"/>
  <c r="F4" i="5"/>
  <c r="AO4" i="5" s="1"/>
  <c r="F5" i="5"/>
  <c r="AO5" i="5" s="1"/>
  <c r="F6" i="5"/>
  <c r="AO6" i="5" s="1"/>
  <c r="H3" i="5"/>
  <c r="AG12" i="5" l="1"/>
  <c r="AG11" i="5"/>
  <c r="AG9" i="5"/>
  <c r="AG8" i="5"/>
  <c r="AI18" i="5"/>
  <c r="AI17" i="5"/>
  <c r="AG15" i="5"/>
  <c r="AG6" i="5"/>
  <c r="AH15" i="7"/>
  <c r="AL15" i="7" s="1"/>
  <c r="AH12" i="7"/>
  <c r="AL12" i="7" s="1"/>
  <c r="AG4" i="7"/>
  <c r="AG7" i="7"/>
  <c r="AG5" i="7"/>
  <c r="AG9" i="7"/>
  <c r="AG15" i="7"/>
  <c r="AH10" i="7"/>
  <c r="AL10" i="7" s="1"/>
  <c r="AH17" i="7"/>
  <c r="AL17" i="7" s="1"/>
  <c r="I9" i="7"/>
  <c r="AH9" i="7" s="1"/>
  <c r="AL9" i="7" s="1"/>
  <c r="G9" i="7"/>
  <c r="G16" i="7"/>
  <c r="I16" i="7"/>
  <c r="AH16" i="7" s="1"/>
  <c r="AL16" i="7" s="1"/>
  <c r="I3" i="7"/>
  <c r="AH3" i="7" s="1"/>
  <c r="AL3" i="7" s="1"/>
  <c r="G3" i="7"/>
  <c r="I5" i="7"/>
  <c r="AH5" i="7" s="1"/>
  <c r="AL5" i="7" s="1"/>
  <c r="G5" i="7"/>
  <c r="I8" i="7"/>
  <c r="AH8" i="7" s="1"/>
  <c r="AL8" i="7" s="1"/>
  <c r="G8" i="7"/>
  <c r="G6" i="7"/>
  <c r="I6" i="7"/>
  <c r="AH6" i="7" s="1"/>
  <c r="AL6" i="7" s="1"/>
  <c r="G11" i="7"/>
  <c r="I11" i="7"/>
  <c r="AH11" i="7" s="1"/>
  <c r="AL11" i="7"/>
  <c r="I18" i="7"/>
  <c r="AH18" i="7" s="1"/>
  <c r="AL18" i="7" s="1"/>
  <c r="G18" i="7"/>
  <c r="I14" i="7"/>
  <c r="G14" i="7"/>
  <c r="G7" i="7"/>
  <c r="I7" i="7"/>
  <c r="AH7" i="7" s="1"/>
  <c r="AL7" i="7" s="1"/>
  <c r="I4" i="7"/>
  <c r="AH4" i="7" s="1"/>
  <c r="AL4" i="7" s="1"/>
  <c r="G4" i="7"/>
  <c r="G13" i="7"/>
  <c r="I13" i="7"/>
  <c r="G17" i="7"/>
  <c r="G15" i="7"/>
  <c r="G10" i="7"/>
  <c r="AG18" i="5"/>
  <c r="AG17" i="5"/>
  <c r="AG14" i="5"/>
  <c r="AG13" i="5"/>
  <c r="AG10" i="5"/>
  <c r="AG5" i="5"/>
  <c r="AG3" i="5"/>
  <c r="J14" i="6"/>
  <c r="J15" i="6"/>
  <c r="J16" i="6"/>
  <c r="J18" i="6"/>
  <c r="J9" i="6"/>
  <c r="J3" i="6"/>
  <c r="I18" i="5"/>
  <c r="I17" i="5"/>
  <c r="G18" i="5"/>
  <c r="G17" i="5"/>
  <c r="G10" i="6"/>
  <c r="I10" i="6"/>
  <c r="G15" i="6"/>
  <c r="I15" i="6"/>
  <c r="I8" i="6"/>
  <c r="G8" i="6"/>
  <c r="I3" i="6"/>
  <c r="G3" i="6"/>
  <c r="I16" i="6"/>
  <c r="G16" i="6"/>
  <c r="I11" i="6"/>
  <c r="G11" i="6"/>
  <c r="G6" i="6"/>
  <c r="I6" i="6"/>
  <c r="G4" i="6"/>
  <c r="I4" i="6"/>
  <c r="I13" i="6"/>
  <c r="G13" i="6"/>
  <c r="I7" i="6"/>
  <c r="G7" i="6"/>
  <c r="G18" i="6"/>
  <c r="I18" i="6"/>
  <c r="I14" i="6"/>
  <c r="G14" i="6"/>
  <c r="G17" i="6"/>
  <c r="G12" i="6"/>
  <c r="G5" i="6"/>
  <c r="G9" i="6"/>
  <c r="J4" i="5"/>
  <c r="AJ4" i="5" s="1"/>
  <c r="J5" i="5"/>
  <c r="AJ5" i="5" s="1"/>
  <c r="J6" i="5"/>
  <c r="AJ6" i="5" s="1"/>
  <c r="J7" i="5"/>
  <c r="AJ7" i="5" s="1"/>
  <c r="J8" i="5"/>
  <c r="AJ8" i="5" s="1"/>
  <c r="J9" i="5"/>
  <c r="AJ9" i="5" s="1"/>
  <c r="J10" i="5"/>
  <c r="AJ10" i="5" s="1"/>
  <c r="J11" i="5"/>
  <c r="AJ11" i="5" s="1"/>
  <c r="J12" i="5"/>
  <c r="AJ12" i="5" s="1"/>
  <c r="J13" i="5"/>
  <c r="AJ13" i="5" s="1"/>
  <c r="AM13" i="5" s="1"/>
  <c r="J14" i="5"/>
  <c r="AJ14" i="5" s="1"/>
  <c r="J15" i="5"/>
  <c r="AJ15" i="5" s="1"/>
  <c r="J16" i="5"/>
  <c r="AJ16" i="5" s="1"/>
  <c r="J17" i="5"/>
  <c r="AJ17" i="5" s="1"/>
  <c r="J18" i="5"/>
  <c r="AJ18" i="5" s="1"/>
  <c r="AM18" i="5" l="1"/>
  <c r="AM15" i="5"/>
  <c r="AM17" i="5"/>
  <c r="AL13" i="7"/>
  <c r="AH14" i="7"/>
  <c r="AL14" i="7" s="1"/>
  <c r="AM14" i="5"/>
  <c r="I16" i="5"/>
  <c r="AI16" i="5" s="1"/>
  <c r="AM16" i="5" s="1"/>
  <c r="G16" i="5"/>
  <c r="I9" i="5"/>
  <c r="AI9" i="5" s="1"/>
  <c r="AM9" i="5" s="1"/>
  <c r="G9" i="5"/>
  <c r="I12" i="5"/>
  <c r="AI12" i="5" s="1"/>
  <c r="AM12" i="5" s="1"/>
  <c r="G12" i="5"/>
  <c r="I15" i="5"/>
  <c r="AI15" i="5" s="1"/>
  <c r="G15" i="5"/>
  <c r="I14" i="5"/>
  <c r="AI14" i="5" s="1"/>
  <c r="G14" i="5"/>
  <c r="G13" i="5"/>
  <c r="I8" i="5"/>
  <c r="AI8" i="5" s="1"/>
  <c r="AM8" i="5" s="1"/>
  <c r="G8" i="5"/>
  <c r="I7" i="5"/>
  <c r="AI7" i="5" s="1"/>
  <c r="AM7" i="5" s="1"/>
  <c r="G7" i="5"/>
  <c r="I3" i="5"/>
  <c r="AI3" i="5" s="1"/>
  <c r="G3" i="5"/>
  <c r="I4" i="5"/>
  <c r="AI4" i="5" s="1"/>
  <c r="AM4" i="5" s="1"/>
  <c r="G4" i="5"/>
  <c r="I5" i="5"/>
  <c r="AI5" i="5" s="1"/>
  <c r="AM5" i="5" s="1"/>
  <c r="G5" i="5"/>
  <c r="I6" i="5"/>
  <c r="AI6" i="5" s="1"/>
  <c r="AM6" i="5" s="1"/>
  <c r="G6" i="5"/>
  <c r="I10" i="5"/>
  <c r="AI10" i="5" s="1"/>
  <c r="AM10" i="5" s="1"/>
  <c r="G10" i="5"/>
  <c r="I11" i="5"/>
  <c r="AI11" i="5" s="1"/>
  <c r="AM11" i="5" s="1"/>
  <c r="G11" i="5"/>
  <c r="J3" i="5"/>
  <c r="AJ3" i="5" s="1"/>
  <c r="AM3" i="5" l="1"/>
</calcChain>
</file>

<file path=xl/sharedStrings.xml><?xml version="1.0" encoding="utf-8"?>
<sst xmlns="http://schemas.openxmlformats.org/spreadsheetml/2006/main" count="146" uniqueCount="59">
  <si>
    <t>热气进气温度150度</t>
    <phoneticPr fontId="1" type="noConversion"/>
  </si>
  <si>
    <t>单个空气流量kg/s</t>
    <phoneticPr fontId="1" type="noConversion"/>
  </si>
  <si>
    <t>单个水流量kg/s</t>
    <phoneticPr fontId="1" type="noConversion"/>
  </si>
  <si>
    <t>样机空气流量kg/s</t>
    <phoneticPr fontId="1" type="noConversion"/>
  </si>
  <si>
    <t>样机水流量kg/s</t>
    <phoneticPr fontId="1" type="noConversion"/>
  </si>
  <si>
    <t>空气流量/SLM</t>
    <phoneticPr fontId="1" type="noConversion"/>
  </si>
  <si>
    <t>水流量ml/mim</t>
    <phoneticPr fontId="1" type="noConversion"/>
  </si>
  <si>
    <t>实际空气流量/SLM</t>
    <phoneticPr fontId="1" type="noConversion"/>
  </si>
  <si>
    <t>实际水流量ml/min</t>
    <phoneticPr fontId="1" type="noConversion"/>
  </si>
  <si>
    <t>空气进口温度/℃</t>
    <phoneticPr fontId="1" type="noConversion"/>
  </si>
  <si>
    <t>空气出口温度/℃</t>
    <phoneticPr fontId="1" type="noConversion"/>
  </si>
  <si>
    <t>空气进口压力/Pa</t>
    <phoneticPr fontId="1" type="noConversion"/>
  </si>
  <si>
    <t>空气出口压力/Pa</t>
    <phoneticPr fontId="1" type="noConversion"/>
  </si>
  <si>
    <t>水进口温度/℃</t>
    <phoneticPr fontId="1" type="noConversion"/>
  </si>
  <si>
    <t>水出口温度/℃</t>
    <phoneticPr fontId="1" type="noConversion"/>
  </si>
  <si>
    <t>水进口压力/kPa</t>
    <phoneticPr fontId="1" type="noConversion"/>
  </si>
  <si>
    <t>水出口压力/kPa</t>
    <phoneticPr fontId="1" type="noConversion"/>
  </si>
  <si>
    <t>工况1</t>
    <phoneticPr fontId="1" type="noConversion"/>
  </si>
  <si>
    <t>工况2</t>
  </si>
  <si>
    <t>工况3</t>
  </si>
  <si>
    <t>工况4</t>
  </si>
  <si>
    <t>工况5</t>
  </si>
  <si>
    <t>工况6</t>
  </si>
  <si>
    <t>工况7</t>
  </si>
  <si>
    <t>工况8</t>
  </si>
  <si>
    <t>工况9</t>
  </si>
  <si>
    <t>工况10</t>
  </si>
  <si>
    <t>工况11</t>
  </si>
  <si>
    <t>工况12</t>
  </si>
  <si>
    <t>工况13</t>
  </si>
  <si>
    <t>工况14</t>
  </si>
  <si>
    <t>工况15</t>
  </si>
  <si>
    <t>工况16</t>
  </si>
  <si>
    <t>水Re</t>
    <phoneticPr fontId="1" type="noConversion"/>
  </si>
  <si>
    <t>空气Re</t>
    <phoneticPr fontId="1" type="noConversion"/>
  </si>
  <si>
    <t>水侧压差/kPa</t>
    <phoneticPr fontId="1" type="noConversion"/>
  </si>
  <si>
    <t>样机空气流量kg/h</t>
    <phoneticPr fontId="1" type="noConversion"/>
  </si>
  <si>
    <t>水换热量/W</t>
    <phoneticPr fontId="1" type="noConversion"/>
  </si>
  <si>
    <t>水进口H/kj/kg</t>
    <phoneticPr fontId="1" type="noConversion"/>
  </si>
  <si>
    <t>热电偶1/℃</t>
    <phoneticPr fontId="1" type="noConversion"/>
  </si>
  <si>
    <t>热电偶2/℃</t>
    <phoneticPr fontId="1" type="noConversion"/>
  </si>
  <si>
    <t>热电偶3/℃</t>
    <phoneticPr fontId="1" type="noConversion"/>
  </si>
  <si>
    <t>热电偶4/℃</t>
    <phoneticPr fontId="1" type="noConversion"/>
  </si>
  <si>
    <t>热电偶5/℃</t>
    <phoneticPr fontId="1" type="noConversion"/>
  </si>
  <si>
    <t>热电偶6/℃</t>
    <phoneticPr fontId="1" type="noConversion"/>
  </si>
  <si>
    <t>热电偶7/℃</t>
    <phoneticPr fontId="1" type="noConversion"/>
  </si>
  <si>
    <t>热电偶8/℃</t>
    <phoneticPr fontId="1" type="noConversion"/>
  </si>
  <si>
    <t>压力1/Pa</t>
    <phoneticPr fontId="1" type="noConversion"/>
  </si>
  <si>
    <t>压力2/Pa</t>
    <phoneticPr fontId="1" type="noConversion"/>
  </si>
  <si>
    <t>压力3/Pa</t>
    <phoneticPr fontId="1" type="noConversion"/>
  </si>
  <si>
    <t>压力4/Pa</t>
    <phoneticPr fontId="1" type="noConversion"/>
  </si>
  <si>
    <t>水进口压力/Pa</t>
    <phoneticPr fontId="1" type="noConversion"/>
  </si>
  <si>
    <t>水出口压力/Pa</t>
    <phoneticPr fontId="1" type="noConversion"/>
  </si>
  <si>
    <t>空气换热量/W</t>
    <phoneticPr fontId="1" type="noConversion"/>
  </si>
  <si>
    <t>水侧压差/Pa</t>
    <phoneticPr fontId="1" type="noConversion"/>
  </si>
  <si>
    <t>水出口H/kj/kg</t>
    <phoneticPr fontId="1" type="noConversion"/>
  </si>
  <si>
    <t>密度/kg/m3</t>
    <phoneticPr fontId="1" type="noConversion"/>
  </si>
  <si>
    <t>速度/m/s</t>
    <phoneticPr fontId="1" type="noConversion"/>
  </si>
  <si>
    <t>空气侧压差/Pa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</si>
</sst>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11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2">
      <alignment vertical="center"/>
    </xf>
    <xf numFmtId="176" fontId="0" fillId="0" borderId="0" xfId="0" applyNumberFormat="1"/>
    <xf numFmtId="11" fontId="3" fillId="0" borderId="0" xfId="2" applyNumberFormat="1">
      <alignment vertical="center"/>
    </xf>
    <xf numFmtId="0" fontId="0" fillId="2" borderId="0" xfId="0" applyFill="1"/>
    <xf numFmtId="0" fontId="2" fillId="3" borderId="0" xfId="0" applyFont="1" applyFill="1"/>
    <xf numFmtId="0" fontId="3" fillId="3" borderId="0" xfId="2" applyFill="1">
      <alignment vertical="center"/>
    </xf>
    <xf numFmtId="0" fontId="4" fillId="4" borderId="0" xfId="0" applyFont="1" applyFill="1" applyAlignment="1">
      <alignment horizontal="left" vertical="center" wrapText="1" indent="1"/>
    </xf>
    <xf numFmtId="4" fontId="4" fillId="4" borderId="0" xfId="0" applyNumberFormat="1" applyFont="1" applyFill="1" applyAlignment="1">
      <alignment horizontal="left" vertical="center" wrapText="1" indent="1"/>
    </xf>
  </cellXfs>
  <cellStyles count="3">
    <cellStyle name="常规" xfId="0" builtinId="0"/>
    <cellStyle name="常规 2" xfId="1" xr:uid="{91CDBF36-676F-44E1-989F-89823EB69452}"/>
    <cellStyle name="常规 3" xfId="2" xr:uid="{C4AC9A27-F47E-46DB-AF19-F74E3A80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720-D3B9-4854-9F92-399485C07B8D}">
  <dimension ref="A1:AO56"/>
  <sheetViews>
    <sheetView topLeftCell="Z10" zoomScale="115" zoomScaleNormal="115" workbookViewId="0">
      <selection activeCell="AO3" sqref="AO3:AO18"/>
    </sheetView>
  </sheetViews>
  <sheetFormatPr defaultRowHeight="13.8" x14ac:dyDescent="0.25"/>
  <cols>
    <col min="1" max="3" width="9"/>
    <col min="4" max="4" width="18.109375" customWidth="1"/>
    <col min="5" max="5" width="14.88671875" bestFit="1" customWidth="1"/>
    <col min="6" max="6" width="16.88671875" bestFit="1" customWidth="1"/>
    <col min="7" max="7" width="16.88671875" customWidth="1"/>
    <col min="8" max="8" width="14.88671875" bestFit="1" customWidth="1"/>
    <col min="9" max="9" width="13.6640625" bestFit="1" customWidth="1"/>
    <col min="10" max="10" width="13.109375" bestFit="1" customWidth="1"/>
    <col min="11" max="11" width="17.77734375" bestFit="1" customWidth="1"/>
    <col min="12" max="12" width="17.33203125" bestFit="1" customWidth="1"/>
    <col min="13" max="28" width="17.33203125" customWidth="1"/>
    <col min="29" max="29" width="16" bestFit="1" customWidth="1"/>
    <col min="30" max="30" width="16" hidden="1" customWidth="1"/>
    <col min="31" max="32" width="16.109375" bestFit="1" customWidth="1"/>
    <col min="33" max="33" width="13.88671875" bestFit="1" customWidth="1"/>
    <col min="34" max="34" width="13.88671875" customWidth="1"/>
    <col min="35" max="35" width="13.88671875" bestFit="1" customWidth="1"/>
    <col min="36" max="37" width="15" bestFit="1" customWidth="1"/>
  </cols>
  <sheetData>
    <row r="1" spans="1:41" x14ac:dyDescent="0.25">
      <c r="A1" s="1" t="s">
        <v>0</v>
      </c>
    </row>
    <row r="2" spans="1:41" x14ac:dyDescent="0.25">
      <c r="B2" s="1" t="s">
        <v>33</v>
      </c>
      <c r="C2" s="1" t="s">
        <v>34</v>
      </c>
      <c r="D2" s="1" t="s">
        <v>1</v>
      </c>
      <c r="E2" s="1" t="s">
        <v>2</v>
      </c>
      <c r="F2" s="1" t="s">
        <v>3</v>
      </c>
      <c r="G2" s="1" t="s">
        <v>36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7" t="s">
        <v>13</v>
      </c>
      <c r="Z2" s="7" t="s">
        <v>14</v>
      </c>
      <c r="AA2" s="1" t="s">
        <v>51</v>
      </c>
      <c r="AB2" s="1" t="s">
        <v>52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54</v>
      </c>
      <c r="AH2" s="1" t="s">
        <v>58</v>
      </c>
      <c r="AI2" s="1" t="s">
        <v>53</v>
      </c>
      <c r="AJ2" s="1" t="s">
        <v>37</v>
      </c>
      <c r="AK2" s="1" t="s">
        <v>38</v>
      </c>
      <c r="AL2" s="1" t="s">
        <v>55</v>
      </c>
      <c r="AN2" s="1" t="s">
        <v>56</v>
      </c>
      <c r="AO2" s="1" t="s">
        <v>57</v>
      </c>
    </row>
    <row r="3" spans="1:41" x14ac:dyDescent="0.25">
      <c r="A3" s="1" t="s">
        <v>17</v>
      </c>
      <c r="B3" s="1">
        <v>50</v>
      </c>
      <c r="C3" s="1">
        <v>500</v>
      </c>
      <c r="D3">
        <f>C3*0.000024085*18.0565/3.438/1000</f>
        <v>6.3247644342641078E-5</v>
      </c>
      <c r="E3">
        <f>B3*0.001137568*18.0565/3.438/1000</f>
        <v>2.987274082606166E-4</v>
      </c>
      <c r="F3">
        <f>D3*36</f>
        <v>2.2769151963350789E-3</v>
      </c>
      <c r="G3">
        <f>F3*3600</f>
        <v>8.1968947068062832</v>
      </c>
      <c r="H3">
        <f>E3*36</f>
        <v>1.0754186697382198E-2</v>
      </c>
      <c r="I3" s="2">
        <f t="shared" ref="I3:I18" si="0">F3*1000/1.292*60</f>
        <v>105.73909580503461</v>
      </c>
      <c r="J3" s="2">
        <f>H3/999.102*1000000*60</f>
        <v>645.83115822301613</v>
      </c>
      <c r="K3">
        <v>106</v>
      </c>
      <c r="L3">
        <v>647</v>
      </c>
      <c r="M3">
        <v>32.720542547116104</v>
      </c>
      <c r="N3">
        <v>32.705208711905101</v>
      </c>
      <c r="O3">
        <v>37.363170136545392</v>
      </c>
      <c r="P3">
        <v>37.397427444057911</v>
      </c>
      <c r="Q3">
        <v>123.49065832511512</v>
      </c>
      <c r="R3">
        <v>122.47664866829128</v>
      </c>
      <c r="S3">
        <v>32.326472924563149</v>
      </c>
      <c r="T3">
        <v>32.365187684959594</v>
      </c>
      <c r="U3">
        <v>495.91517436252923</v>
      </c>
      <c r="V3">
        <v>159.79484407281353</v>
      </c>
      <c r="W3">
        <v>-1394.0267132727686</v>
      </c>
      <c r="X3">
        <v>-1345.642210219881</v>
      </c>
      <c r="Y3" s="8">
        <f>M3/2+N3/2</f>
        <v>32.712875629510606</v>
      </c>
      <c r="Z3" s="8">
        <f>O3/2+P3/2</f>
        <v>37.380298790301651</v>
      </c>
      <c r="AA3" s="3">
        <f>W3</f>
        <v>-1394.0267132727686</v>
      </c>
      <c r="AB3" s="3">
        <f>X3</f>
        <v>-1345.642210219881</v>
      </c>
      <c r="AC3" s="3">
        <f>Q3/2+R3/2</f>
        <v>122.9836534967032</v>
      </c>
      <c r="AD3" s="3">
        <f>S3/2+T3/2</f>
        <v>32.345830304761371</v>
      </c>
      <c r="AE3" s="3">
        <f>U3</f>
        <v>495.91517436252923</v>
      </c>
      <c r="AF3" s="3">
        <f>V3</f>
        <v>159.79484407281353</v>
      </c>
      <c r="AG3">
        <f>AA3-AB3</f>
        <v>-48.384503052887567</v>
      </c>
      <c r="AH3">
        <f>AE3-AF3</f>
        <v>336.1203302897157</v>
      </c>
      <c r="AI3">
        <f>1011*K3/I3*F3*(AC3-AD3)</f>
        <v>209.15957507604051</v>
      </c>
      <c r="AJ3">
        <f>L3/J3*H3*(AL3-AK3)*1000</f>
        <v>210.14004129949998</v>
      </c>
      <c r="AK3">
        <v>137.161</v>
      </c>
      <c r="AL3">
        <v>156.666</v>
      </c>
      <c r="AM3">
        <f>AJ3/AI3</f>
        <v>1.0046876468509893</v>
      </c>
      <c r="AN3">
        <v>0.89600000000000002</v>
      </c>
      <c r="AO3">
        <f>F3/AN3/36/18.0565*1000000</f>
        <v>3.909333967007397</v>
      </c>
    </row>
    <row r="4" spans="1:41" x14ac:dyDescent="0.25">
      <c r="A4" s="1" t="s">
        <v>18</v>
      </c>
      <c r="B4" s="1">
        <v>100</v>
      </c>
      <c r="C4" s="1">
        <v>1000</v>
      </c>
      <c r="D4">
        <f t="shared" ref="D4:D18" si="1">C4*0.000024085*18.0565/3.438/1000</f>
        <v>1.2649528868528216E-4</v>
      </c>
      <c r="E4">
        <f t="shared" ref="E4:E18" si="2">B4*0.001137568*18.0565/3.438/1000</f>
        <v>5.974548165212332E-4</v>
      </c>
      <c r="F4">
        <f t="shared" ref="F4:F18" si="3">D4*36</f>
        <v>4.5538303926701577E-3</v>
      </c>
      <c r="G4">
        <f t="shared" ref="G4:G18" si="4">F4*3600</f>
        <v>16.393789413612566</v>
      </c>
      <c r="H4">
        <f t="shared" ref="H4:H18" si="5">E4*36</f>
        <v>2.1508373394764396E-2</v>
      </c>
      <c r="I4" s="2">
        <f t="shared" si="0"/>
        <v>211.47819161006922</v>
      </c>
      <c r="J4" s="2">
        <f t="shared" ref="J4:J18" si="6">H4/999.102*1000000*60</f>
        <v>1291.6623164460323</v>
      </c>
      <c r="K4">
        <v>211</v>
      </c>
      <c r="L4">
        <v>1287</v>
      </c>
      <c r="M4">
        <v>27.098793650793208</v>
      </c>
      <c r="N4">
        <v>27.140720470006027</v>
      </c>
      <c r="O4">
        <v>31.436067924139355</v>
      </c>
      <c r="P4">
        <v>31.429036796536895</v>
      </c>
      <c r="Q4">
        <v>123.80961193568307</v>
      </c>
      <c r="R4">
        <v>123.0349000206145</v>
      </c>
      <c r="S4">
        <v>26.772164502164884</v>
      </c>
      <c r="T4">
        <v>26.793354462998746</v>
      </c>
      <c r="U4">
        <v>4685.4929064262287</v>
      </c>
      <c r="V4">
        <v>760.6742288364278</v>
      </c>
      <c r="W4">
        <v>-1780.881400778839</v>
      </c>
      <c r="X4">
        <v>-1952.440495715309</v>
      </c>
      <c r="Y4" s="8">
        <f t="shared" ref="Y4:Y18" si="7">M4/2+N4/2</f>
        <v>27.119757060399618</v>
      </c>
      <c r="Z4" s="8">
        <f t="shared" ref="Z4:Z18" si="8">O4/2+P4/2</f>
        <v>31.432552360338125</v>
      </c>
      <c r="AA4" s="3">
        <f t="shared" ref="AA4:AA18" si="9">W4</f>
        <v>-1780.881400778839</v>
      </c>
      <c r="AB4" s="3">
        <f t="shared" ref="AB4:AB18" si="10">X4</f>
        <v>-1952.440495715309</v>
      </c>
      <c r="AC4" s="3">
        <f t="shared" ref="AC4:AC18" si="11">Q4/2+R4/2</f>
        <v>123.42225597814878</v>
      </c>
      <c r="AD4" s="3">
        <f t="shared" ref="AD4:AD18" si="12">S4/2+T4/2</f>
        <v>26.782759482581817</v>
      </c>
      <c r="AE4" s="3">
        <f t="shared" ref="AE4:AE18" si="13">U4</f>
        <v>4685.4929064262287</v>
      </c>
      <c r="AF4" s="3">
        <f t="shared" ref="AF4:AF18" si="14">V4</f>
        <v>760.6742288364278</v>
      </c>
      <c r="AG4">
        <f t="shared" ref="AG4:AG18" si="15">AA4-AB4</f>
        <v>171.55909493647005</v>
      </c>
      <c r="AH4">
        <f t="shared" ref="AH4:AH18" si="16">AE4-AF4</f>
        <v>3924.8186775898012</v>
      </c>
      <c r="AI4">
        <f t="shared" ref="AI4:AI9" si="17">1011*K4/I4*F4*(AC4-AD4)</f>
        <v>443.91470615424407</v>
      </c>
      <c r="AJ4">
        <f t="shared" ref="AJ4:AJ18" si="18">L4/J4*H4*(AL4-AK4)*1000</f>
        <v>386.35334286120008</v>
      </c>
      <c r="AK4">
        <v>113.782</v>
      </c>
      <c r="AL4">
        <v>131.81</v>
      </c>
      <c r="AM4">
        <f t="shared" ref="AM4:AM18" si="19">AJ4/AI4</f>
        <v>0.87033238030856419</v>
      </c>
      <c r="AN4">
        <v>0.93100000000000005</v>
      </c>
      <c r="AO4">
        <f t="shared" ref="AO4:AO18" si="20">F4/AN4/36/18.0565*1000000</f>
        <v>7.5247330492773949</v>
      </c>
    </row>
    <row r="5" spans="1:41" x14ac:dyDescent="0.25">
      <c r="A5" s="1" t="s">
        <v>19</v>
      </c>
      <c r="B5" s="1">
        <v>150</v>
      </c>
      <c r="C5" s="1">
        <v>1500</v>
      </c>
      <c r="D5">
        <f t="shared" si="1"/>
        <v>1.8974293302792319E-4</v>
      </c>
      <c r="E5">
        <f t="shared" si="2"/>
        <v>8.9618222478184996E-4</v>
      </c>
      <c r="F5">
        <f t="shared" si="3"/>
        <v>6.8307455890052353E-3</v>
      </c>
      <c r="G5">
        <f t="shared" si="4"/>
        <v>24.590684120418846</v>
      </c>
      <c r="H5">
        <f t="shared" si="5"/>
        <v>3.2262560092146599E-2</v>
      </c>
      <c r="I5" s="2">
        <f t="shared" si="0"/>
        <v>317.21728741510378</v>
      </c>
      <c r="J5" s="2">
        <f t="shared" si="6"/>
        <v>1937.4934746690487</v>
      </c>
      <c r="K5">
        <v>317</v>
      </c>
      <c r="L5">
        <v>1910</v>
      </c>
      <c r="M5">
        <v>27.098637360445998</v>
      </c>
      <c r="N5">
        <v>27.119644138755504</v>
      </c>
      <c r="O5">
        <v>31.578144936204357</v>
      </c>
      <c r="P5">
        <v>31.50184110845289</v>
      </c>
      <c r="Q5">
        <v>126.44901714513502</v>
      </c>
      <c r="R5">
        <v>125.87323165869154</v>
      </c>
      <c r="S5">
        <v>27.08818181818156</v>
      </c>
      <c r="T5">
        <v>27.11762460127462</v>
      </c>
      <c r="U5">
        <v>9818.958239808384</v>
      </c>
      <c r="V5">
        <v>1609.4018534987329</v>
      </c>
      <c r="W5">
        <v>-578.67174921486412</v>
      </c>
      <c r="X5">
        <v>-1016.7902231860421</v>
      </c>
      <c r="Y5" s="8">
        <f t="shared" si="7"/>
        <v>27.109140749600751</v>
      </c>
      <c r="Z5" s="8">
        <f t="shared" si="8"/>
        <v>31.539993022328623</v>
      </c>
      <c r="AA5" s="3">
        <f t="shared" si="9"/>
        <v>-578.67174921486412</v>
      </c>
      <c r="AB5" s="3">
        <f t="shared" si="10"/>
        <v>-1016.7902231860421</v>
      </c>
      <c r="AC5" s="3">
        <f t="shared" si="11"/>
        <v>126.16112440191327</v>
      </c>
      <c r="AD5" s="3">
        <f t="shared" si="12"/>
        <v>27.10290320972809</v>
      </c>
      <c r="AE5" s="3">
        <f t="shared" si="13"/>
        <v>9818.958239808384</v>
      </c>
      <c r="AF5" s="3">
        <f t="shared" si="14"/>
        <v>1609.4018534987329</v>
      </c>
      <c r="AG5">
        <f t="shared" si="15"/>
        <v>438.11847397117799</v>
      </c>
      <c r="AH5">
        <f t="shared" si="16"/>
        <v>8209.5563863096504</v>
      </c>
      <c r="AI5">
        <f t="shared" si="17"/>
        <v>683.6159799784009</v>
      </c>
      <c r="AJ5">
        <f t="shared" si="18"/>
        <v>589.05571918699957</v>
      </c>
      <c r="AK5">
        <v>113.738</v>
      </c>
      <c r="AL5">
        <v>132.25899999999999</v>
      </c>
      <c r="AM5">
        <f t="shared" si="19"/>
        <v>0.86167634525689552</v>
      </c>
      <c r="AN5">
        <v>0.97</v>
      </c>
      <c r="AO5">
        <f t="shared" si="20"/>
        <v>10.833288353933899</v>
      </c>
    </row>
    <row r="6" spans="1:41" x14ac:dyDescent="0.25">
      <c r="A6" s="1" t="s">
        <v>20</v>
      </c>
      <c r="B6" s="1">
        <v>200</v>
      </c>
      <c r="C6" s="1">
        <v>2000</v>
      </c>
      <c r="D6">
        <f t="shared" si="1"/>
        <v>2.5299057737056431E-4</v>
      </c>
      <c r="E6">
        <f t="shared" si="2"/>
        <v>1.1949096330424664E-3</v>
      </c>
      <c r="F6">
        <f t="shared" si="3"/>
        <v>9.1076607853403154E-3</v>
      </c>
      <c r="G6">
        <f t="shared" si="4"/>
        <v>32.787578827225133</v>
      </c>
      <c r="H6">
        <f t="shared" si="5"/>
        <v>4.3016746789528791E-2</v>
      </c>
      <c r="I6" s="2">
        <f t="shared" si="0"/>
        <v>422.95638322013843</v>
      </c>
      <c r="J6" s="2">
        <f t="shared" si="6"/>
        <v>2583.3246328920645</v>
      </c>
      <c r="K6">
        <v>423</v>
      </c>
      <c r="L6">
        <v>2545</v>
      </c>
      <c r="M6">
        <v>27.803523369878988</v>
      </c>
      <c r="N6">
        <v>27.81295462414182</v>
      </c>
      <c r="O6">
        <v>32.925466086135756</v>
      </c>
      <c r="P6">
        <v>32.829396632219435</v>
      </c>
      <c r="Q6">
        <v>141.61419975869498</v>
      </c>
      <c r="R6">
        <v>141.31049362639578</v>
      </c>
      <c r="S6">
        <v>28.01559565650647</v>
      </c>
      <c r="T6">
        <v>28.046151707496204</v>
      </c>
      <c r="U6">
        <v>16435.379680177852</v>
      </c>
      <c r="V6">
        <v>2648.1441838120704</v>
      </c>
      <c r="W6">
        <v>-596.59796420744169</v>
      </c>
      <c r="X6">
        <v>-1364.4537015843077</v>
      </c>
      <c r="Y6" s="8">
        <f t="shared" si="7"/>
        <v>27.808238997010406</v>
      </c>
      <c r="Z6" s="8">
        <f t="shared" si="8"/>
        <v>32.877431359177592</v>
      </c>
      <c r="AA6" s="3">
        <f t="shared" si="9"/>
        <v>-596.59796420744169</v>
      </c>
      <c r="AB6" s="3">
        <f t="shared" si="10"/>
        <v>-1364.4537015843077</v>
      </c>
      <c r="AC6" s="3">
        <f t="shared" si="11"/>
        <v>141.4623466925454</v>
      </c>
      <c r="AD6" s="3">
        <f t="shared" si="12"/>
        <v>28.030873682001335</v>
      </c>
      <c r="AE6" s="3">
        <f t="shared" si="13"/>
        <v>16435.379680177852</v>
      </c>
      <c r="AF6" s="3">
        <f t="shared" si="14"/>
        <v>2648.1441838120704</v>
      </c>
      <c r="AG6">
        <f t="shared" si="15"/>
        <v>767.85573737686605</v>
      </c>
      <c r="AH6">
        <f t="shared" si="16"/>
        <v>13787.235496365782</v>
      </c>
      <c r="AI6">
        <f t="shared" si="17"/>
        <v>1044.567136129544</v>
      </c>
      <c r="AJ6">
        <f t="shared" si="18"/>
        <v>897.91727888199955</v>
      </c>
      <c r="AK6">
        <v>116.661</v>
      </c>
      <c r="AL6">
        <v>137.84899999999999</v>
      </c>
      <c r="AM6">
        <f t="shared" si="19"/>
        <v>0.85960705427615769</v>
      </c>
      <c r="AN6">
        <v>0.98899999999999999</v>
      </c>
      <c r="AO6">
        <f t="shared" si="20"/>
        <v>14.166888713604155</v>
      </c>
    </row>
    <row r="7" spans="1:41" x14ac:dyDescent="0.25">
      <c r="A7" s="1" t="s">
        <v>21</v>
      </c>
      <c r="B7" s="1">
        <v>250</v>
      </c>
      <c r="C7" s="1">
        <v>3000</v>
      </c>
      <c r="D7">
        <f t="shared" si="1"/>
        <v>3.7948586605584639E-4</v>
      </c>
      <c r="E7">
        <f t="shared" si="2"/>
        <v>1.4936370413030833E-3</v>
      </c>
      <c r="F7">
        <f t="shared" si="3"/>
        <v>1.3661491178010471E-2</v>
      </c>
      <c r="G7">
        <f t="shared" si="4"/>
        <v>49.181368240837692</v>
      </c>
      <c r="H7">
        <f t="shared" si="5"/>
        <v>5.3770933486910998E-2</v>
      </c>
      <c r="I7" s="2">
        <f t="shared" si="0"/>
        <v>634.43457483020757</v>
      </c>
      <c r="J7" s="2">
        <f t="shared" si="6"/>
        <v>3229.1557911150817</v>
      </c>
      <c r="K7">
        <v>634</v>
      </c>
      <c r="L7">
        <v>3265</v>
      </c>
      <c r="M7">
        <v>27.719097942386771</v>
      </c>
      <c r="N7">
        <v>27.718574186307361</v>
      </c>
      <c r="O7">
        <v>33.792279236812455</v>
      </c>
      <c r="P7">
        <v>33.726985708941335</v>
      </c>
      <c r="Q7">
        <v>144.47498915076693</v>
      </c>
      <c r="R7">
        <v>144.41630826786346</v>
      </c>
      <c r="S7">
        <v>28.534537224092904</v>
      </c>
      <c r="T7">
        <v>28.521472502805864</v>
      </c>
      <c r="U7">
        <v>33242.056549661305</v>
      </c>
      <c r="V7">
        <v>5320.197610040761</v>
      </c>
      <c r="W7">
        <v>1369.4495264068501</v>
      </c>
      <c r="X7">
        <v>77.150881205830046</v>
      </c>
      <c r="Y7" s="8">
        <f t="shared" si="7"/>
        <v>27.718836064347066</v>
      </c>
      <c r="Z7" s="8">
        <f t="shared" si="8"/>
        <v>33.759632472876895</v>
      </c>
      <c r="AA7" s="3">
        <f t="shared" si="9"/>
        <v>1369.4495264068501</v>
      </c>
      <c r="AB7" s="3">
        <f t="shared" si="10"/>
        <v>77.150881205830046</v>
      </c>
      <c r="AC7" s="3">
        <f t="shared" si="11"/>
        <v>144.44564870931521</v>
      </c>
      <c r="AD7" s="3">
        <f t="shared" si="12"/>
        <v>28.528004863449382</v>
      </c>
      <c r="AE7" s="3">
        <f t="shared" si="13"/>
        <v>33242.056549661305</v>
      </c>
      <c r="AF7" s="3">
        <f t="shared" si="14"/>
        <v>5320.197610040761</v>
      </c>
      <c r="AG7">
        <f t="shared" si="15"/>
        <v>1292.29864520102</v>
      </c>
      <c r="AH7">
        <f t="shared" si="16"/>
        <v>27921.858939620543</v>
      </c>
      <c r="AI7">
        <f t="shared" si="17"/>
        <v>1599.930883893772</v>
      </c>
      <c r="AJ7">
        <f t="shared" si="18"/>
        <v>1372.7325948244995</v>
      </c>
      <c r="AK7">
        <v>116.28700000000001</v>
      </c>
      <c r="AL7">
        <v>141.536</v>
      </c>
      <c r="AM7">
        <f t="shared" si="19"/>
        <v>0.85799493505848379</v>
      </c>
      <c r="AN7">
        <v>1.123</v>
      </c>
      <c r="AO7">
        <f t="shared" si="20"/>
        <v>18.71467444936043</v>
      </c>
    </row>
    <row r="8" spans="1:41" x14ac:dyDescent="0.25">
      <c r="A8" s="1" t="s">
        <v>22</v>
      </c>
      <c r="B8" s="1">
        <v>300</v>
      </c>
      <c r="C8" s="1">
        <v>4000</v>
      </c>
      <c r="D8">
        <f t="shared" si="1"/>
        <v>5.0598115474112862E-4</v>
      </c>
      <c r="E8">
        <f t="shared" si="2"/>
        <v>1.7923644495636999E-3</v>
      </c>
      <c r="F8">
        <f t="shared" si="3"/>
        <v>1.8215321570680631E-2</v>
      </c>
      <c r="G8">
        <f t="shared" si="4"/>
        <v>65.575157654450265</v>
      </c>
      <c r="H8">
        <f t="shared" si="5"/>
        <v>6.4525120184293197E-2</v>
      </c>
      <c r="I8" s="2">
        <f t="shared" si="0"/>
        <v>845.91276644027687</v>
      </c>
      <c r="J8" s="2">
        <f t="shared" si="6"/>
        <v>3874.9869493380975</v>
      </c>
      <c r="K8">
        <v>846</v>
      </c>
      <c r="L8">
        <v>3895</v>
      </c>
      <c r="M8">
        <v>33.925153422500962</v>
      </c>
      <c r="N8">
        <v>33.923501466275098</v>
      </c>
      <c r="O8">
        <v>39.926217724054155</v>
      </c>
      <c r="P8">
        <v>39.871676131893331</v>
      </c>
      <c r="Q8">
        <v>138.28989628781895</v>
      </c>
      <c r="R8">
        <v>138.48064945282852</v>
      </c>
      <c r="S8">
        <v>34.783310206708826</v>
      </c>
      <c r="T8">
        <v>34.718505829339939</v>
      </c>
      <c r="U8">
        <v>55299.106647280561</v>
      </c>
      <c r="V8">
        <v>9256.5761085497616</v>
      </c>
      <c r="W8">
        <v>738.42739646153677</v>
      </c>
      <c r="X8">
        <v>-983.19083669880411</v>
      </c>
      <c r="Y8" s="8">
        <f t="shared" si="7"/>
        <v>33.924327444388027</v>
      </c>
      <c r="Z8" s="8">
        <f t="shared" si="8"/>
        <v>39.898946927973739</v>
      </c>
      <c r="AA8" s="3">
        <f t="shared" si="9"/>
        <v>738.42739646153677</v>
      </c>
      <c r="AB8" s="3">
        <f t="shared" si="10"/>
        <v>-983.19083669880411</v>
      </c>
      <c r="AC8" s="3">
        <f t="shared" si="11"/>
        <v>138.38527287032372</v>
      </c>
      <c r="AD8" s="3">
        <f t="shared" si="12"/>
        <v>34.750908018024383</v>
      </c>
      <c r="AE8" s="3">
        <f t="shared" si="13"/>
        <v>55299.106647280561</v>
      </c>
      <c r="AF8" s="3">
        <f t="shared" si="14"/>
        <v>9256.5761085497616</v>
      </c>
      <c r="AG8">
        <f t="shared" si="15"/>
        <v>1721.6182331603409</v>
      </c>
      <c r="AH8">
        <f t="shared" si="16"/>
        <v>46042.530538730804</v>
      </c>
      <c r="AI8">
        <f t="shared" si="17"/>
        <v>1908.6951588525681</v>
      </c>
      <c r="AJ8">
        <f t="shared" si="18"/>
        <v>1619.513536355</v>
      </c>
      <c r="AK8">
        <v>142.22399999999999</v>
      </c>
      <c r="AL8">
        <v>167.19399999999999</v>
      </c>
      <c r="AM8">
        <f t="shared" si="19"/>
        <v>0.84849250486315864</v>
      </c>
      <c r="AN8">
        <v>1.3260000000000001</v>
      </c>
      <c r="AO8">
        <f t="shared" si="20"/>
        <v>21.13280986086653</v>
      </c>
    </row>
    <row r="9" spans="1:41" x14ac:dyDescent="0.25">
      <c r="A9" s="1" t="s">
        <v>23</v>
      </c>
      <c r="B9" s="1">
        <v>350</v>
      </c>
      <c r="C9" s="1">
        <v>4500</v>
      </c>
      <c r="D9">
        <f t="shared" si="1"/>
        <v>5.6922879908376971E-4</v>
      </c>
      <c r="E9">
        <f t="shared" si="2"/>
        <v>2.0910918578243166E-3</v>
      </c>
      <c r="F9">
        <f t="shared" si="3"/>
        <v>2.0492236767015708E-2</v>
      </c>
      <c r="G9">
        <f t="shared" si="4"/>
        <v>73.772052361256556</v>
      </c>
      <c r="H9">
        <f t="shared" si="5"/>
        <v>7.527930688167539E-2</v>
      </c>
      <c r="I9" s="2">
        <f t="shared" si="0"/>
        <v>951.65186224531146</v>
      </c>
      <c r="J9" s="2">
        <f t="shared" si="6"/>
        <v>4520.8181075611128</v>
      </c>
      <c r="K9">
        <v>952</v>
      </c>
      <c r="L9">
        <v>4522</v>
      </c>
      <c r="M9">
        <v>35.129287909150818</v>
      </c>
      <c r="N9">
        <v>35.125466083682134</v>
      </c>
      <c r="O9">
        <v>41.160876055140555</v>
      </c>
      <c r="P9">
        <v>41.103766684884867</v>
      </c>
      <c r="Q9">
        <v>144.46783992226997</v>
      </c>
      <c r="R9">
        <v>144.67177081435582</v>
      </c>
      <c r="S9">
        <v>36.126268901439744</v>
      </c>
      <c r="T9">
        <v>36.058150847148568</v>
      </c>
      <c r="U9">
        <v>67409.497193912772</v>
      </c>
      <c r="V9">
        <v>11362.873559470485</v>
      </c>
      <c r="W9">
        <v>1176.1891859728958</v>
      </c>
      <c r="X9">
        <v>-1144.0366988926385</v>
      </c>
      <c r="Y9" s="8">
        <f t="shared" si="7"/>
        <v>35.127376996416473</v>
      </c>
      <c r="Z9" s="8">
        <f t="shared" si="8"/>
        <v>41.132321370012711</v>
      </c>
      <c r="AA9" s="3">
        <f t="shared" si="9"/>
        <v>1176.1891859728958</v>
      </c>
      <c r="AB9" s="3">
        <f t="shared" si="10"/>
        <v>-1144.0366988926385</v>
      </c>
      <c r="AC9" s="3">
        <f t="shared" si="11"/>
        <v>144.5698053683129</v>
      </c>
      <c r="AD9" s="3">
        <f t="shared" si="12"/>
        <v>36.092209874294156</v>
      </c>
      <c r="AE9" s="3">
        <f t="shared" si="13"/>
        <v>67409.497193912772</v>
      </c>
      <c r="AF9" s="3">
        <f t="shared" si="14"/>
        <v>11362.873559470485</v>
      </c>
      <c r="AG9">
        <f t="shared" si="15"/>
        <v>2320.2258848655342</v>
      </c>
      <c r="AH9">
        <f t="shared" si="16"/>
        <v>56046.623634442287</v>
      </c>
      <c r="AI9">
        <f t="shared" si="17"/>
        <v>2248.2231598515405</v>
      </c>
      <c r="AJ9">
        <f t="shared" si="18"/>
        <v>1889.7033877904005</v>
      </c>
      <c r="AK9">
        <v>147.251</v>
      </c>
      <c r="AL9">
        <v>172.34700000000001</v>
      </c>
      <c r="AM9">
        <f t="shared" si="19"/>
        <v>0.84053194608812121</v>
      </c>
      <c r="AN9">
        <v>1.4079999999999999</v>
      </c>
      <c r="AO9">
        <f t="shared" si="20"/>
        <v>22.389821811042363</v>
      </c>
    </row>
    <row r="10" spans="1:41" x14ac:dyDescent="0.25">
      <c r="A10" s="1" t="s">
        <v>24</v>
      </c>
      <c r="B10" s="1">
        <v>400</v>
      </c>
      <c r="C10" s="1">
        <v>5000</v>
      </c>
      <c r="D10">
        <f t="shared" si="1"/>
        <v>6.3247644342641059E-4</v>
      </c>
      <c r="E10">
        <f t="shared" si="2"/>
        <v>2.3898192660849328E-3</v>
      </c>
      <c r="F10">
        <f t="shared" si="3"/>
        <v>2.2769151963350782E-2</v>
      </c>
      <c r="G10">
        <f t="shared" si="4"/>
        <v>81.968947068062818</v>
      </c>
      <c r="H10">
        <f t="shared" si="5"/>
        <v>8.6033493579057582E-2</v>
      </c>
      <c r="I10" s="2">
        <f t="shared" si="0"/>
        <v>1057.3909580503459</v>
      </c>
      <c r="J10" s="2">
        <f t="shared" si="6"/>
        <v>5166.6492657841291</v>
      </c>
      <c r="K10">
        <v>1057</v>
      </c>
      <c r="L10">
        <v>5161</v>
      </c>
      <c r="M10">
        <v>35.770746977548121</v>
      </c>
      <c r="N10">
        <v>35.76345266132865</v>
      </c>
      <c r="O10">
        <v>41.419586669806648</v>
      </c>
      <c r="P10">
        <v>41.360980726958829</v>
      </c>
      <c r="Q10">
        <v>142.27697028575957</v>
      </c>
      <c r="R10">
        <v>145.01094579211846</v>
      </c>
      <c r="S10">
        <v>36.777988891506205</v>
      </c>
      <c r="T10">
        <v>36.729877335531171</v>
      </c>
      <c r="U10">
        <v>74872.116514159483</v>
      </c>
      <c r="V10">
        <v>12562.308714755147</v>
      </c>
      <c r="W10">
        <v>2434.5900048818712</v>
      </c>
      <c r="X10">
        <v>-573.05989727558745</v>
      </c>
      <c r="Y10" s="8">
        <f t="shared" si="7"/>
        <v>35.767099819438386</v>
      </c>
      <c r="Z10" s="8">
        <f t="shared" si="8"/>
        <v>41.390283698382738</v>
      </c>
      <c r="AA10" s="3">
        <f t="shared" si="9"/>
        <v>2434.5900048818712</v>
      </c>
      <c r="AB10" s="3">
        <f t="shared" si="10"/>
        <v>-573.05989727558745</v>
      </c>
      <c r="AC10" s="3">
        <f t="shared" si="11"/>
        <v>143.64395803893902</v>
      </c>
      <c r="AD10" s="3">
        <f t="shared" si="12"/>
        <v>36.753933113518684</v>
      </c>
      <c r="AE10" s="3">
        <f t="shared" si="13"/>
        <v>74872.116514159483</v>
      </c>
      <c r="AF10" s="3">
        <f t="shared" si="14"/>
        <v>12562.308714755147</v>
      </c>
      <c r="AG10">
        <f t="shared" si="15"/>
        <v>3007.6499021574587</v>
      </c>
      <c r="AH10">
        <f t="shared" si="16"/>
        <v>62309.807799404334</v>
      </c>
      <c r="AI10">
        <f>1011*K10/I10*F10*(AC10-AD10)</f>
        <v>2459.6572022073747</v>
      </c>
      <c r="AJ10">
        <f t="shared" si="18"/>
        <v>2019.7483357973986</v>
      </c>
      <c r="AK10">
        <v>149.92500000000001</v>
      </c>
      <c r="AL10">
        <v>173.42699999999999</v>
      </c>
      <c r="AM10">
        <f t="shared" si="19"/>
        <v>0.82115033508930113</v>
      </c>
      <c r="AN10">
        <v>1.4730000000000001</v>
      </c>
      <c r="AO10">
        <f t="shared" si="20"/>
        <v>23.779791136718444</v>
      </c>
    </row>
    <row r="11" spans="1:41" x14ac:dyDescent="0.25">
      <c r="A11" s="1" t="s">
        <v>25</v>
      </c>
      <c r="B11" s="1">
        <v>450</v>
      </c>
      <c r="C11" s="1">
        <v>5500</v>
      </c>
      <c r="D11">
        <f t="shared" si="1"/>
        <v>6.9572408776905168E-4</v>
      </c>
      <c r="E11">
        <f t="shared" si="2"/>
        <v>2.6885466743455503E-3</v>
      </c>
      <c r="F11">
        <f t="shared" si="3"/>
        <v>2.504606715968586E-2</v>
      </c>
      <c r="G11">
        <f t="shared" si="4"/>
        <v>90.165841774869094</v>
      </c>
      <c r="H11">
        <f t="shared" si="5"/>
        <v>9.6787680276439816E-2</v>
      </c>
      <c r="I11" s="2">
        <f t="shared" si="0"/>
        <v>1163.1300538553805</v>
      </c>
      <c r="J11" s="2">
        <f t="shared" si="6"/>
        <v>5812.4804240071471</v>
      </c>
      <c r="K11">
        <v>1163</v>
      </c>
      <c r="L11">
        <v>5816</v>
      </c>
      <c r="M11">
        <v>33.683967128585621</v>
      </c>
      <c r="N11">
        <v>33.683803650426363</v>
      </c>
      <c r="O11">
        <v>38.923810974716808</v>
      </c>
      <c r="P11">
        <v>38.915021826385185</v>
      </c>
      <c r="Q11">
        <v>133.83428822547148</v>
      </c>
      <c r="R11">
        <v>136.45651979023376</v>
      </c>
      <c r="S11">
        <v>34.827623121319135</v>
      </c>
      <c r="T11">
        <v>34.725514604635009</v>
      </c>
      <c r="U11">
        <v>88705.675539647098</v>
      </c>
      <c r="V11">
        <v>15064.634647873523</v>
      </c>
      <c r="W11">
        <v>4548.053756880744</v>
      </c>
      <c r="X11">
        <v>745.45043758893962</v>
      </c>
      <c r="Y11" s="8">
        <f t="shared" si="7"/>
        <v>33.683885389505988</v>
      </c>
      <c r="Z11" s="8">
        <f t="shared" si="8"/>
        <v>38.919416400551</v>
      </c>
      <c r="AA11" s="3">
        <f t="shared" si="9"/>
        <v>4548.053756880744</v>
      </c>
      <c r="AB11" s="3">
        <f t="shared" si="10"/>
        <v>745.45043758893962</v>
      </c>
      <c r="AC11" s="3">
        <f t="shared" si="11"/>
        <v>135.14540400785262</v>
      </c>
      <c r="AD11" s="3">
        <f t="shared" si="12"/>
        <v>34.776568862977072</v>
      </c>
      <c r="AE11" s="3">
        <f t="shared" si="13"/>
        <v>88705.675539647098</v>
      </c>
      <c r="AF11" s="3">
        <f t="shared" si="14"/>
        <v>15064.634647873523</v>
      </c>
      <c r="AG11">
        <f t="shared" si="15"/>
        <v>3802.6033192918044</v>
      </c>
      <c r="AH11">
        <f t="shared" si="16"/>
        <v>73641.040891773577</v>
      </c>
      <c r="AI11">
        <f t="shared" ref="AI11:AI18" si="21">1011*K11/I11*F11*(AC11-AD11)</f>
        <v>2541.2127020949374</v>
      </c>
      <c r="AJ11">
        <f t="shared" si="18"/>
        <v>2119.0936102232004</v>
      </c>
      <c r="AK11">
        <v>141.21899999999999</v>
      </c>
      <c r="AL11">
        <v>163.1</v>
      </c>
      <c r="AM11">
        <f t="shared" si="19"/>
        <v>0.8338906886764148</v>
      </c>
      <c r="AN11">
        <v>1.6220000000000001</v>
      </c>
      <c r="AO11">
        <f t="shared" si="20"/>
        <v>23.754867804454314</v>
      </c>
    </row>
    <row r="12" spans="1:41" x14ac:dyDescent="0.25">
      <c r="A12" s="1" t="s">
        <v>26</v>
      </c>
      <c r="B12" s="1">
        <v>500</v>
      </c>
      <c r="C12" s="1">
        <v>6000</v>
      </c>
      <c r="D12">
        <f t="shared" si="1"/>
        <v>7.5897173211169277E-4</v>
      </c>
      <c r="E12">
        <f t="shared" si="2"/>
        <v>2.9872740826061665E-3</v>
      </c>
      <c r="F12">
        <f t="shared" si="3"/>
        <v>2.7322982356020941E-2</v>
      </c>
      <c r="G12">
        <f t="shared" si="4"/>
        <v>98.362736481675384</v>
      </c>
      <c r="H12">
        <f t="shared" si="5"/>
        <v>0.107541866973822</v>
      </c>
      <c r="I12" s="2">
        <f t="shared" si="0"/>
        <v>1268.8691496604151</v>
      </c>
      <c r="J12" s="2">
        <f t="shared" si="6"/>
        <v>6458.3115822301634</v>
      </c>
      <c r="K12">
        <v>1269</v>
      </c>
      <c r="L12">
        <v>6464</v>
      </c>
      <c r="M12">
        <v>33.81470310656691</v>
      </c>
      <c r="N12">
        <v>33.814933328567037</v>
      </c>
      <c r="O12">
        <v>38.554837164408433</v>
      </c>
      <c r="P12">
        <v>38.54994709183832</v>
      </c>
      <c r="Q12">
        <v>126.25365030565368</v>
      </c>
      <c r="R12">
        <v>128.43337468272762</v>
      </c>
      <c r="S12">
        <v>34.889704715261693</v>
      </c>
      <c r="T12">
        <v>34.789639652522723</v>
      </c>
      <c r="U12">
        <v>101310.02272551076</v>
      </c>
      <c r="V12">
        <v>17520.420737192031</v>
      </c>
      <c r="W12">
        <v>5440.628330482914</v>
      </c>
      <c r="X12">
        <v>821.01905188010915</v>
      </c>
      <c r="Y12" s="8">
        <f t="shared" si="7"/>
        <v>33.814818217566973</v>
      </c>
      <c r="Z12" s="8">
        <f t="shared" si="8"/>
        <v>38.552392128123373</v>
      </c>
      <c r="AA12" s="3">
        <f t="shared" si="9"/>
        <v>5440.628330482914</v>
      </c>
      <c r="AB12" s="3">
        <f t="shared" si="10"/>
        <v>821.01905188010915</v>
      </c>
      <c r="AC12" s="3">
        <f t="shared" si="11"/>
        <v>127.34351249419065</v>
      </c>
      <c r="AD12" s="3">
        <f t="shared" si="12"/>
        <v>34.839672183892205</v>
      </c>
      <c r="AE12" s="3">
        <f t="shared" si="13"/>
        <v>101310.02272551076</v>
      </c>
      <c r="AF12" s="3">
        <f t="shared" si="14"/>
        <v>17520.420737192031</v>
      </c>
      <c r="AG12">
        <f t="shared" si="15"/>
        <v>4619.6092786028048</v>
      </c>
      <c r="AH12">
        <f t="shared" si="16"/>
        <v>83789.601988318725</v>
      </c>
      <c r="AI12">
        <f t="shared" si="21"/>
        <v>2555.5465953862163</v>
      </c>
      <c r="AJ12">
        <f t="shared" si="18"/>
        <v>2131.0968216512001</v>
      </c>
      <c r="AK12">
        <v>141.767</v>
      </c>
      <c r="AL12">
        <v>161.566</v>
      </c>
      <c r="AM12">
        <f t="shared" si="19"/>
        <v>0.83391037576801852</v>
      </c>
      <c r="AN12">
        <v>1.7629999999999999</v>
      </c>
      <c r="AO12">
        <f t="shared" si="20"/>
        <v>23.841837103382602</v>
      </c>
    </row>
    <row r="13" spans="1:41" x14ac:dyDescent="0.25">
      <c r="A13" s="1" t="s">
        <v>27</v>
      </c>
      <c r="B13" s="1">
        <v>550</v>
      </c>
      <c r="C13" s="1">
        <v>6500</v>
      </c>
      <c r="D13">
        <f t="shared" si="1"/>
        <v>8.2221937645433386E-4</v>
      </c>
      <c r="E13">
        <f t="shared" si="2"/>
        <v>3.2860014908667828E-3</v>
      </c>
      <c r="F13">
        <f t="shared" si="3"/>
        <v>2.9599897552356019E-2</v>
      </c>
      <c r="G13">
        <f t="shared" si="4"/>
        <v>106.55963118848166</v>
      </c>
      <c r="H13">
        <f t="shared" si="5"/>
        <v>0.11829605367120417</v>
      </c>
      <c r="I13" s="2">
        <f t="shared" si="0"/>
        <v>1374.6082454654497</v>
      </c>
      <c r="J13" s="2">
        <f t="shared" si="6"/>
        <v>7104.1427404531769</v>
      </c>
      <c r="K13">
        <v>1375</v>
      </c>
      <c r="L13">
        <v>7135</v>
      </c>
      <c r="M13">
        <v>32.441129122414509</v>
      </c>
      <c r="N13">
        <v>32.428523807104547</v>
      </c>
      <c r="O13">
        <v>36.769437217338037</v>
      </c>
      <c r="P13">
        <v>36.769071599166296</v>
      </c>
      <c r="Q13">
        <v>119.24765765537057</v>
      </c>
      <c r="R13">
        <v>121.16907845926927</v>
      </c>
      <c r="S13">
        <v>33.446023934142509</v>
      </c>
      <c r="T13">
        <v>33.314780730728486</v>
      </c>
      <c r="U13">
        <v>113465.8637935178</v>
      </c>
      <c r="V13">
        <v>19932.013140477105</v>
      </c>
      <c r="W13">
        <v>5245.7565815241996</v>
      </c>
      <c r="X13">
        <v>-354.02411344598613</v>
      </c>
      <c r="Y13" s="8">
        <f t="shared" si="7"/>
        <v>32.434826464759524</v>
      </c>
      <c r="Z13" s="8">
        <f t="shared" si="8"/>
        <v>36.769254408252166</v>
      </c>
      <c r="AA13" s="3">
        <f t="shared" si="9"/>
        <v>5245.7565815241996</v>
      </c>
      <c r="AB13" s="3">
        <f t="shared" si="10"/>
        <v>-354.02411344598613</v>
      </c>
      <c r="AC13" s="3">
        <f t="shared" si="11"/>
        <v>120.20836805731992</v>
      </c>
      <c r="AD13" s="3">
        <f t="shared" si="12"/>
        <v>33.380402332435494</v>
      </c>
      <c r="AE13" s="3">
        <f t="shared" si="13"/>
        <v>113465.8637935178</v>
      </c>
      <c r="AF13" s="3">
        <f t="shared" si="14"/>
        <v>19932.013140477105</v>
      </c>
      <c r="AG13">
        <f t="shared" si="15"/>
        <v>5599.7806949701862</v>
      </c>
      <c r="AH13">
        <f t="shared" si="16"/>
        <v>93533.850653040688</v>
      </c>
      <c r="AI13">
        <f t="shared" si="21"/>
        <v>2599.1104967078331</v>
      </c>
      <c r="AJ13">
        <f t="shared" si="18"/>
        <v>2152.4785869014995</v>
      </c>
      <c r="AK13">
        <v>135.99600000000001</v>
      </c>
      <c r="AL13">
        <v>154.113</v>
      </c>
      <c r="AM13">
        <f t="shared" si="19"/>
        <v>0.82815970680274631</v>
      </c>
      <c r="AN13">
        <v>1.9019999999999999</v>
      </c>
      <c r="AO13">
        <f t="shared" si="20"/>
        <v>23.941073631809754</v>
      </c>
    </row>
    <row r="14" spans="1:41" x14ac:dyDescent="0.25">
      <c r="A14" s="1" t="s">
        <v>28</v>
      </c>
      <c r="B14" s="1">
        <v>575</v>
      </c>
      <c r="C14" s="1">
        <v>7000</v>
      </c>
      <c r="D14">
        <f t="shared" si="1"/>
        <v>8.8546702079697495E-4</v>
      </c>
      <c r="E14">
        <f t="shared" si="2"/>
        <v>3.4353651949970915E-3</v>
      </c>
      <c r="F14">
        <f t="shared" si="3"/>
        <v>3.18768127486911E-2</v>
      </c>
      <c r="G14">
        <f t="shared" si="4"/>
        <v>114.75652589528796</v>
      </c>
      <c r="H14">
        <f t="shared" si="5"/>
        <v>0.12367314701989529</v>
      </c>
      <c r="I14" s="2">
        <f t="shared" si="0"/>
        <v>1480.3473412704845</v>
      </c>
      <c r="J14" s="2">
        <f t="shared" si="6"/>
        <v>7427.0583195646868</v>
      </c>
      <c r="K14">
        <v>1480</v>
      </c>
      <c r="L14">
        <v>7415</v>
      </c>
      <c r="M14">
        <v>30.617715517241557</v>
      </c>
      <c r="N14">
        <v>30.619330721003269</v>
      </c>
      <c r="O14">
        <v>34.895845350052134</v>
      </c>
      <c r="P14">
        <v>34.941261755485876</v>
      </c>
      <c r="Q14">
        <v>113.734237199581</v>
      </c>
      <c r="R14">
        <v>115.36424242424394</v>
      </c>
      <c r="S14">
        <v>31.6859391327061</v>
      </c>
      <c r="T14">
        <v>31.50053944618724</v>
      </c>
      <c r="U14">
        <v>124777.30565566386</v>
      </c>
      <c r="V14">
        <v>22241.738297567368</v>
      </c>
      <c r="W14">
        <v>6191.25534271166</v>
      </c>
      <c r="X14">
        <v>191.67291717858416</v>
      </c>
      <c r="Y14" s="8">
        <f t="shared" si="7"/>
        <v>30.618523119122415</v>
      </c>
      <c r="Z14" s="8">
        <f t="shared" si="8"/>
        <v>34.918553552769005</v>
      </c>
      <c r="AA14" s="3">
        <f t="shared" si="9"/>
        <v>6191.25534271166</v>
      </c>
      <c r="AB14" s="3">
        <f t="shared" si="10"/>
        <v>191.67291717858416</v>
      </c>
      <c r="AC14" s="3">
        <f t="shared" si="11"/>
        <v>114.54923981191247</v>
      </c>
      <c r="AD14" s="3">
        <f t="shared" si="12"/>
        <v>31.593239289446672</v>
      </c>
      <c r="AE14" s="3">
        <f t="shared" si="13"/>
        <v>124777.30565566386</v>
      </c>
      <c r="AF14" s="3">
        <f t="shared" si="14"/>
        <v>22241.738297567368</v>
      </c>
      <c r="AG14">
        <f t="shared" si="15"/>
        <v>5999.5824255330754</v>
      </c>
      <c r="AH14">
        <f t="shared" si="16"/>
        <v>102535.56735809649</v>
      </c>
      <c r="AI14">
        <f>1011*I13/I14*F14*(AC14-AD14)</f>
        <v>2482.4994971031797</v>
      </c>
      <c r="AJ14">
        <f t="shared" si="18"/>
        <v>2218.9217006905001</v>
      </c>
      <c r="AK14">
        <v>128.40799999999999</v>
      </c>
      <c r="AL14">
        <v>146.37899999999999</v>
      </c>
      <c r="AM14">
        <f t="shared" si="19"/>
        <v>0.89382563955390615</v>
      </c>
      <c r="AN14">
        <v>2.032</v>
      </c>
      <c r="AO14">
        <f t="shared" si="20"/>
        <v>24.133211260896054</v>
      </c>
    </row>
    <row r="15" spans="1:41" x14ac:dyDescent="0.25">
      <c r="A15" s="1" t="s">
        <v>29</v>
      </c>
      <c r="B15" s="1">
        <v>600</v>
      </c>
      <c r="C15" s="1">
        <v>7500</v>
      </c>
      <c r="D15">
        <f t="shared" si="1"/>
        <v>9.4871466513961604E-4</v>
      </c>
      <c r="E15">
        <f t="shared" si="2"/>
        <v>3.5847288991273998E-3</v>
      </c>
      <c r="F15">
        <f t="shared" si="3"/>
        <v>3.4153727945026177E-2</v>
      </c>
      <c r="G15">
        <f t="shared" si="4"/>
        <v>122.95342060209424</v>
      </c>
      <c r="H15">
        <f t="shared" si="5"/>
        <v>0.12905024036858639</v>
      </c>
      <c r="I15" s="2">
        <f t="shared" si="0"/>
        <v>1586.0864370755189</v>
      </c>
      <c r="J15" s="2">
        <f t="shared" si="6"/>
        <v>7749.9738986761949</v>
      </c>
      <c r="K15">
        <v>1586</v>
      </c>
      <c r="L15">
        <v>7741</v>
      </c>
      <c r="M15">
        <v>33.575449871465366</v>
      </c>
      <c r="N15">
        <v>33.570606450105231</v>
      </c>
      <c r="O15">
        <v>38.088616499182066</v>
      </c>
      <c r="P15">
        <v>38.102990768871365</v>
      </c>
      <c r="Q15">
        <v>118.71754615564366</v>
      </c>
      <c r="R15">
        <v>119.16457875671942</v>
      </c>
      <c r="S15">
        <v>34.709956765599692</v>
      </c>
      <c r="T15">
        <v>34.526824608553234</v>
      </c>
      <c r="U15">
        <v>142674.11775122274</v>
      </c>
      <c r="V15">
        <v>26351.363918079733</v>
      </c>
      <c r="W15">
        <v>6349.6060189962682</v>
      </c>
      <c r="X15">
        <v>-211.70735532976323</v>
      </c>
      <c r="Y15" s="8">
        <f t="shared" si="7"/>
        <v>33.573028160785299</v>
      </c>
      <c r="Z15" s="8">
        <f t="shared" si="8"/>
        <v>38.095803634026716</v>
      </c>
      <c r="AA15" s="3">
        <f t="shared" si="9"/>
        <v>6349.6060189962682</v>
      </c>
      <c r="AB15" s="3">
        <f t="shared" si="10"/>
        <v>-211.70735532976323</v>
      </c>
      <c r="AC15" s="3">
        <f t="shared" si="11"/>
        <v>118.94106245618154</v>
      </c>
      <c r="AD15" s="3">
        <f t="shared" si="12"/>
        <v>34.618390687076463</v>
      </c>
      <c r="AE15" s="3">
        <f t="shared" si="13"/>
        <v>142674.11775122274</v>
      </c>
      <c r="AF15" s="3">
        <f t="shared" si="14"/>
        <v>26351.363918079733</v>
      </c>
      <c r="AG15">
        <f t="shared" si="15"/>
        <v>6561.3133743260314</v>
      </c>
      <c r="AH15">
        <f t="shared" si="16"/>
        <v>116322.75383314301</v>
      </c>
      <c r="AI15">
        <f t="shared" si="21"/>
        <v>2911.4541863111658</v>
      </c>
      <c r="AJ15">
        <f t="shared" si="18"/>
        <v>2436.0964025203002</v>
      </c>
      <c r="AK15">
        <v>140.756</v>
      </c>
      <c r="AL15">
        <v>159.655</v>
      </c>
      <c r="AM15">
        <f t="shared" si="19"/>
        <v>0.83672839984023673</v>
      </c>
      <c r="AN15">
        <v>2.1680000000000001</v>
      </c>
      <c r="AO15">
        <f t="shared" si="20"/>
        <v>24.234985478127033</v>
      </c>
    </row>
    <row r="16" spans="1:41" x14ac:dyDescent="0.25">
      <c r="A16" s="1" t="s">
        <v>30</v>
      </c>
      <c r="B16" s="1">
        <v>625</v>
      </c>
      <c r="C16" s="1">
        <v>8000</v>
      </c>
      <c r="D16">
        <f t="shared" si="1"/>
        <v>1.0119623094822572E-3</v>
      </c>
      <c r="E16">
        <f t="shared" si="2"/>
        <v>3.7340926032577082E-3</v>
      </c>
      <c r="F16">
        <f t="shared" si="3"/>
        <v>3.6430643141361262E-2</v>
      </c>
      <c r="G16">
        <f t="shared" si="4"/>
        <v>131.15031530890053</v>
      </c>
      <c r="H16">
        <f t="shared" si="5"/>
        <v>0.1344273337172775</v>
      </c>
      <c r="I16" s="2">
        <f t="shared" si="0"/>
        <v>1691.8255328805537</v>
      </c>
      <c r="J16" s="2">
        <f t="shared" si="6"/>
        <v>8072.8894777877022</v>
      </c>
      <c r="K16">
        <v>1692</v>
      </c>
      <c r="L16">
        <v>8046</v>
      </c>
      <c r="M16">
        <v>26.390750193349081</v>
      </c>
      <c r="N16">
        <v>26.391757950737102</v>
      </c>
      <c r="O16">
        <v>30.549334411399432</v>
      </c>
      <c r="P16">
        <v>30.579290820033599</v>
      </c>
      <c r="Q16">
        <v>104.16661112282742</v>
      </c>
      <c r="R16">
        <v>105.53565515948131</v>
      </c>
      <c r="S16">
        <v>27.669995312755983</v>
      </c>
      <c r="T16">
        <v>27.454999414094083</v>
      </c>
      <c r="U16">
        <v>146477.24347068905</v>
      </c>
      <c r="V16">
        <v>26691.203791473548</v>
      </c>
      <c r="W16">
        <v>7413.7564411328676</v>
      </c>
      <c r="X16">
        <v>397.2647650819722</v>
      </c>
      <c r="Y16" s="8">
        <f t="shared" si="7"/>
        <v>26.39125407204309</v>
      </c>
      <c r="Z16" s="8">
        <f t="shared" si="8"/>
        <v>30.564312615716517</v>
      </c>
      <c r="AA16" s="3">
        <f t="shared" si="9"/>
        <v>7413.7564411328676</v>
      </c>
      <c r="AB16" s="3">
        <f t="shared" si="10"/>
        <v>397.2647650819722</v>
      </c>
      <c r="AC16" s="3">
        <f t="shared" si="11"/>
        <v>104.85113314115436</v>
      </c>
      <c r="AD16" s="3">
        <f t="shared" si="12"/>
        <v>27.562497363425031</v>
      </c>
      <c r="AE16" s="3">
        <f t="shared" si="13"/>
        <v>146477.24347068905</v>
      </c>
      <c r="AF16" s="3">
        <f t="shared" si="14"/>
        <v>26691.203791473548</v>
      </c>
      <c r="AG16">
        <f t="shared" si="15"/>
        <v>7016.491676050895</v>
      </c>
      <c r="AH16">
        <f t="shared" si="16"/>
        <v>119786.03967921549</v>
      </c>
      <c r="AI16">
        <f t="shared" si="21"/>
        <v>2846.9406871652827</v>
      </c>
      <c r="AJ16">
        <f t="shared" si="18"/>
        <v>2337.139762120803</v>
      </c>
      <c r="AK16">
        <v>110.73699999999999</v>
      </c>
      <c r="AL16">
        <v>128.18100000000001</v>
      </c>
      <c r="AM16">
        <f t="shared" si="19"/>
        <v>0.82093026126508739</v>
      </c>
      <c r="AN16">
        <v>2.2850000000000001</v>
      </c>
      <c r="AO16">
        <f t="shared" si="20"/>
        <v>24.527007330861284</v>
      </c>
    </row>
    <row r="17" spans="1:41" x14ac:dyDescent="0.25">
      <c r="A17" s="1" t="s">
        <v>31</v>
      </c>
      <c r="B17" s="1">
        <v>650</v>
      </c>
      <c r="C17" s="1">
        <v>8500</v>
      </c>
      <c r="D17">
        <f t="shared" si="1"/>
        <v>1.0752099538248983E-3</v>
      </c>
      <c r="E17">
        <f t="shared" si="2"/>
        <v>3.8834563073880161E-3</v>
      </c>
      <c r="F17">
        <f t="shared" si="3"/>
        <v>3.8707558337696339E-2</v>
      </c>
      <c r="G17">
        <f t="shared" si="4"/>
        <v>139.34721001570682</v>
      </c>
      <c r="H17">
        <f t="shared" si="5"/>
        <v>0.13980442706596857</v>
      </c>
      <c r="I17" s="2">
        <f t="shared" si="0"/>
        <v>1797.5646286855886</v>
      </c>
      <c r="J17" s="2">
        <f t="shared" si="6"/>
        <v>8395.8050568992112</v>
      </c>
      <c r="K17">
        <v>1798</v>
      </c>
      <c r="L17">
        <v>8410</v>
      </c>
      <c r="M17">
        <v>23.806179509890764</v>
      </c>
      <c r="N17">
        <v>23.81768446198037</v>
      </c>
      <c r="O17">
        <v>27.899517137719148</v>
      </c>
      <c r="P17">
        <v>27.921059129827903</v>
      </c>
      <c r="Q17">
        <v>98.951654454194781</v>
      </c>
      <c r="R17">
        <v>100.19661030142076</v>
      </c>
      <c r="S17">
        <v>25.191463080763167</v>
      </c>
      <c r="T17">
        <v>24.937873688165897</v>
      </c>
      <c r="U17">
        <v>158778.03371070186</v>
      </c>
      <c r="V17">
        <v>29254.628836188669</v>
      </c>
      <c r="W17">
        <v>8607.1566724664026</v>
      </c>
      <c r="X17">
        <v>889.23591986125575</v>
      </c>
      <c r="Y17" s="8">
        <f t="shared" si="7"/>
        <v>23.811931985935566</v>
      </c>
      <c r="Z17" s="8">
        <f t="shared" si="8"/>
        <v>27.910288133773527</v>
      </c>
      <c r="AA17" s="3">
        <f t="shared" si="9"/>
        <v>8607.1566724664026</v>
      </c>
      <c r="AB17" s="3">
        <f t="shared" si="10"/>
        <v>889.23591986125575</v>
      </c>
      <c r="AC17" s="3">
        <f t="shared" si="11"/>
        <v>99.574132377807771</v>
      </c>
      <c r="AD17" s="3">
        <f t="shared" si="12"/>
        <v>25.064668384464532</v>
      </c>
      <c r="AE17" s="3">
        <f t="shared" si="13"/>
        <v>158778.03371070186</v>
      </c>
      <c r="AF17" s="3">
        <f t="shared" si="14"/>
        <v>29254.628836188669</v>
      </c>
      <c r="AG17">
        <f t="shared" si="15"/>
        <v>7717.9207526051468</v>
      </c>
      <c r="AH17">
        <f t="shared" si="16"/>
        <v>129523.40487451319</v>
      </c>
      <c r="AI17">
        <f t="shared" si="21"/>
        <v>2916.5105075841307</v>
      </c>
      <c r="AJ17">
        <f t="shared" si="18"/>
        <v>2399.5990565950005</v>
      </c>
      <c r="AK17">
        <v>99.951999999999998</v>
      </c>
      <c r="AL17">
        <v>117.087</v>
      </c>
      <c r="AM17">
        <f t="shared" si="19"/>
        <v>0.82276372752817206</v>
      </c>
      <c r="AN17">
        <v>2.4319999999999999</v>
      </c>
      <c r="AO17">
        <f t="shared" si="20"/>
        <v>24.484775898625276</v>
      </c>
    </row>
    <row r="18" spans="1:41" x14ac:dyDescent="0.25">
      <c r="A18" s="1" t="s">
        <v>32</v>
      </c>
      <c r="B18" s="1">
        <v>675</v>
      </c>
      <c r="C18" s="1">
        <v>9000</v>
      </c>
      <c r="D18">
        <f t="shared" si="1"/>
        <v>1.1384575981675394E-3</v>
      </c>
      <c r="E18">
        <f t="shared" si="2"/>
        <v>4.0328200115183239E-3</v>
      </c>
      <c r="F18">
        <f t="shared" si="3"/>
        <v>4.0984473534031417E-2</v>
      </c>
      <c r="G18">
        <f t="shared" si="4"/>
        <v>147.54410472251311</v>
      </c>
      <c r="H18">
        <f t="shared" si="5"/>
        <v>0.14518152041465965</v>
      </c>
      <c r="I18" s="2">
        <f t="shared" si="0"/>
        <v>1903.3037244906229</v>
      </c>
      <c r="J18" s="2">
        <f t="shared" si="6"/>
        <v>8718.7206360107157</v>
      </c>
      <c r="K18">
        <v>1903</v>
      </c>
      <c r="L18">
        <v>8684</v>
      </c>
      <c r="M18">
        <v>20.665082644628008</v>
      </c>
      <c r="N18">
        <v>20.64734159779611</v>
      </c>
      <c r="O18">
        <v>24.799842975206627</v>
      </c>
      <c r="P18">
        <v>24.752823691460108</v>
      </c>
      <c r="Q18">
        <v>93.533360881542677</v>
      </c>
      <c r="R18">
        <v>94.687038567491342</v>
      </c>
      <c r="S18">
        <v>22.130151515151304</v>
      </c>
      <c r="T18">
        <v>21.884793388429948</v>
      </c>
      <c r="U18">
        <v>173104.04958677685</v>
      </c>
      <c r="V18">
        <v>32329.285123966944</v>
      </c>
      <c r="W18">
        <v>12334.305096418733</v>
      </c>
      <c r="X18">
        <v>4095.3794765840221</v>
      </c>
      <c r="Y18" s="8">
        <f t="shared" si="7"/>
        <v>20.656212121212057</v>
      </c>
      <c r="Z18" s="8">
        <f t="shared" si="8"/>
        <v>24.776333333333369</v>
      </c>
      <c r="AA18" s="3">
        <f t="shared" si="9"/>
        <v>12334.305096418733</v>
      </c>
      <c r="AB18" s="3">
        <f t="shared" si="10"/>
        <v>4095.3794765840221</v>
      </c>
      <c r="AC18" s="3">
        <f t="shared" si="11"/>
        <v>94.110199724517003</v>
      </c>
      <c r="AD18" s="3">
        <f t="shared" si="12"/>
        <v>22.007472451790626</v>
      </c>
      <c r="AE18" s="3">
        <f t="shared" si="13"/>
        <v>173104.04958677685</v>
      </c>
      <c r="AF18" s="3">
        <f t="shared" si="14"/>
        <v>32329.285123966944</v>
      </c>
      <c r="AG18">
        <f t="shared" si="15"/>
        <v>8238.9256198347102</v>
      </c>
      <c r="AH18">
        <f t="shared" si="16"/>
        <v>140774.76446280989</v>
      </c>
      <c r="AI18">
        <f t="shared" si="21"/>
        <v>2987.1215795979633</v>
      </c>
      <c r="AJ18">
        <f t="shared" si="18"/>
        <v>2491.8051477696004</v>
      </c>
      <c r="AK18">
        <v>86.753</v>
      </c>
      <c r="AL18">
        <v>103.985</v>
      </c>
      <c r="AM18">
        <f t="shared" si="19"/>
        <v>0.83418270109547143</v>
      </c>
      <c r="AN18">
        <v>2.605</v>
      </c>
      <c r="AO18">
        <f t="shared" si="20"/>
        <v>24.203354403030819</v>
      </c>
    </row>
    <row r="19" spans="1:41" x14ac:dyDescent="0.25">
      <c r="A19" s="1"/>
      <c r="B19" s="1"/>
      <c r="I19" s="2"/>
      <c r="J19" s="4"/>
      <c r="M19">
        <v>-0.56000000000000005</v>
      </c>
      <c r="N19">
        <v>-0.59272727272727233</v>
      </c>
      <c r="O19">
        <v>-0.55545454545454509</v>
      </c>
      <c r="P19">
        <v>-0.61272727272727356</v>
      </c>
      <c r="Q19">
        <v>-0.70636363636363697</v>
      </c>
      <c r="R19">
        <v>-0.77090909090909132</v>
      </c>
      <c r="S19">
        <v>-0.72454545454545471</v>
      </c>
      <c r="T19">
        <v>-0.71181818181818202</v>
      </c>
      <c r="U19" s="3">
        <v>396.3064133016627</v>
      </c>
      <c r="V19" s="3">
        <v>353.5332541567696</v>
      </c>
      <c r="W19" s="3">
        <v>3366.5973871733968</v>
      </c>
      <c r="X19" s="3">
        <v>3338.4441805225651</v>
      </c>
      <c r="Y19" s="3"/>
      <c r="Z19" s="3"/>
      <c r="AA19" s="3"/>
      <c r="AB19" s="3"/>
      <c r="AC19" s="3"/>
      <c r="AD19" s="3"/>
      <c r="AE19" s="3"/>
      <c r="AF19" s="3"/>
    </row>
    <row r="20" spans="1:41" x14ac:dyDescent="0.25">
      <c r="A20" s="1"/>
      <c r="B20" s="1"/>
      <c r="J20" s="2"/>
      <c r="M20" s="5">
        <v>34.569287909150816</v>
      </c>
      <c r="N20" s="5">
        <v>34.532738810954861</v>
      </c>
      <c r="O20" s="5">
        <v>40.60542150968601</v>
      </c>
      <c r="P20" s="5">
        <v>40.491039412157591</v>
      </c>
      <c r="Q20" s="5">
        <v>143.76147628590633</v>
      </c>
      <c r="R20" s="5">
        <v>143.90086172344672</v>
      </c>
      <c r="S20" s="5">
        <v>35.401723446894287</v>
      </c>
      <c r="T20" s="5">
        <v>35.346332665330387</v>
      </c>
      <c r="U20" s="5">
        <v>67805.803607214431</v>
      </c>
      <c r="V20" s="5">
        <v>11716.406813627254</v>
      </c>
      <c r="W20" s="5">
        <v>4542.7865731462925</v>
      </c>
      <c r="X20" s="5">
        <v>2194.4074816299267</v>
      </c>
      <c r="Y20" s="3"/>
      <c r="Z20" s="3"/>
      <c r="AA20" s="3"/>
      <c r="AB20" s="3"/>
      <c r="AC20" s="3"/>
      <c r="AD20" s="3"/>
      <c r="AE20" s="3"/>
      <c r="AF20" s="3"/>
    </row>
    <row r="21" spans="1:41" x14ac:dyDescent="0.25">
      <c r="D21" s="1"/>
      <c r="E21" s="1"/>
      <c r="F21" s="1"/>
      <c r="G21" s="1"/>
      <c r="H21" s="1"/>
      <c r="I21" s="1"/>
      <c r="J21" s="1"/>
      <c r="K21" s="1"/>
      <c r="M21">
        <f>M20-M19</f>
        <v>35.129287909150818</v>
      </c>
      <c r="N21">
        <f t="shared" ref="N21:X21" si="22">N20-N19</f>
        <v>35.125466083682134</v>
      </c>
      <c r="O21">
        <f t="shared" si="22"/>
        <v>41.160876055140555</v>
      </c>
      <c r="P21">
        <f t="shared" si="22"/>
        <v>41.103766684884867</v>
      </c>
      <c r="Q21">
        <f t="shared" si="22"/>
        <v>144.46783992226997</v>
      </c>
      <c r="R21">
        <f t="shared" si="22"/>
        <v>144.67177081435582</v>
      </c>
      <c r="S21">
        <f t="shared" si="22"/>
        <v>36.126268901439744</v>
      </c>
      <c r="T21">
        <f t="shared" si="22"/>
        <v>36.058150847148568</v>
      </c>
      <c r="U21">
        <f t="shared" si="22"/>
        <v>67409.497193912772</v>
      </c>
      <c r="V21">
        <f t="shared" si="22"/>
        <v>11362.873559470485</v>
      </c>
      <c r="W21">
        <f t="shared" si="22"/>
        <v>1176.1891859728958</v>
      </c>
      <c r="X21">
        <f t="shared" si="22"/>
        <v>-1144.0366988926385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41" x14ac:dyDescent="0.25">
      <c r="A22" s="1"/>
      <c r="B22" s="1"/>
      <c r="C22" s="1"/>
    </row>
    <row r="23" spans="1:41" x14ac:dyDescent="0.25">
      <c r="A23" s="1"/>
      <c r="B23" s="1"/>
      <c r="C23" s="1"/>
    </row>
    <row r="24" spans="1:41" x14ac:dyDescent="0.25">
      <c r="A24" s="1"/>
      <c r="B24" s="1"/>
      <c r="C24" s="1"/>
    </row>
    <row r="25" spans="1:41" x14ac:dyDescent="0.25">
      <c r="A25" s="1"/>
      <c r="B25" s="1"/>
      <c r="C25" s="1"/>
    </row>
    <row r="26" spans="1:41" x14ac:dyDescent="0.25">
      <c r="A26" s="1"/>
      <c r="B26" s="1"/>
      <c r="C26" s="1"/>
      <c r="J26">
        <v>7743</v>
      </c>
    </row>
    <row r="27" spans="1:41" x14ac:dyDescent="0.25">
      <c r="A27" s="1"/>
      <c r="B27" s="1"/>
      <c r="C27" s="1"/>
      <c r="J27" s="5">
        <v>33.015449871465364</v>
      </c>
      <c r="K27" s="5">
        <v>32.977879177377957</v>
      </c>
      <c r="L27" s="5">
        <v>37.533161953727522</v>
      </c>
      <c r="M27" s="5">
        <v>37.490263496144088</v>
      </c>
      <c r="N27" s="5">
        <v>118.01118251928003</v>
      </c>
      <c r="O27" s="5">
        <v>118.39366966581034</v>
      </c>
      <c r="P27" s="5">
        <v>33.985411311054236</v>
      </c>
      <c r="Q27" s="5">
        <v>33.815006426735053</v>
      </c>
      <c r="R27" s="5">
        <v>143070.42416452442</v>
      </c>
      <c r="S27" s="5">
        <v>26704.897172236502</v>
      </c>
      <c r="T27" s="5">
        <v>9716.203406169665</v>
      </c>
      <c r="U27" s="5">
        <v>3126.7368251928019</v>
      </c>
    </row>
    <row r="28" spans="1:41" x14ac:dyDescent="0.25">
      <c r="A28" s="1"/>
      <c r="B28" s="1"/>
      <c r="C28" s="1"/>
    </row>
    <row r="29" spans="1:41" x14ac:dyDescent="0.25">
      <c r="A29" s="1"/>
      <c r="B29" s="1"/>
      <c r="C29" s="1"/>
    </row>
    <row r="30" spans="1:41" x14ac:dyDescent="0.25">
      <c r="A30" s="1"/>
      <c r="B30" s="1"/>
      <c r="C30" s="1"/>
    </row>
    <row r="31" spans="1:41" x14ac:dyDescent="0.25">
      <c r="A31" s="1"/>
      <c r="B31" s="1"/>
      <c r="C31" s="1"/>
    </row>
    <row r="32" spans="1:41" x14ac:dyDescent="0.25">
      <c r="A32" s="1"/>
      <c r="B32" s="1"/>
      <c r="C32" s="1"/>
    </row>
    <row r="33" spans="1:37" x14ac:dyDescent="0.25">
      <c r="A33" s="1"/>
      <c r="B33" s="1"/>
      <c r="C33" s="1"/>
    </row>
    <row r="34" spans="1:37" x14ac:dyDescent="0.25">
      <c r="A34" s="1"/>
      <c r="B34" s="1"/>
      <c r="C34" s="1"/>
    </row>
    <row r="35" spans="1:37" x14ac:dyDescent="0.25">
      <c r="A35" s="1"/>
      <c r="B35" s="1"/>
      <c r="C35" s="1"/>
    </row>
    <row r="36" spans="1:37" x14ac:dyDescent="0.25">
      <c r="A36" s="1"/>
      <c r="B36" s="1"/>
      <c r="C36" s="1"/>
    </row>
    <row r="37" spans="1:37" x14ac:dyDescent="0.25">
      <c r="A37" s="1"/>
      <c r="B37" s="1"/>
      <c r="C37" s="1"/>
    </row>
    <row r="39" spans="1:37" x14ac:dyDescent="0.25">
      <c r="D39" s="1"/>
    </row>
    <row r="40" spans="1:37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/>
      <c r="C41" s="1"/>
    </row>
    <row r="42" spans="1:37" x14ac:dyDescent="0.25">
      <c r="A42" s="1"/>
      <c r="B42" s="1"/>
      <c r="C42" s="1"/>
    </row>
    <row r="43" spans="1:37" x14ac:dyDescent="0.25">
      <c r="A43" s="1"/>
      <c r="B43" s="1"/>
      <c r="C43" s="1"/>
    </row>
    <row r="44" spans="1:37" x14ac:dyDescent="0.25">
      <c r="A44" s="1"/>
      <c r="B44" s="1"/>
      <c r="C44" s="1"/>
    </row>
    <row r="45" spans="1:37" x14ac:dyDescent="0.25">
      <c r="A45" s="1"/>
      <c r="B45" s="1"/>
      <c r="C45" s="1"/>
    </row>
    <row r="46" spans="1:37" x14ac:dyDescent="0.25">
      <c r="A46" s="1"/>
      <c r="B46" s="1"/>
      <c r="C46" s="1"/>
    </row>
    <row r="47" spans="1:37" x14ac:dyDescent="0.25">
      <c r="A47" s="1"/>
      <c r="B47" s="1"/>
      <c r="C47" s="1"/>
    </row>
    <row r="48" spans="1:37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9BDC-5814-4F89-B615-050E697FFC86}">
  <dimension ref="A1:AL21"/>
  <sheetViews>
    <sheetView workbookViewId="0">
      <selection activeCell="Q8" sqref="Q8"/>
    </sheetView>
  </sheetViews>
  <sheetFormatPr defaultRowHeight="13.8" x14ac:dyDescent="0.25"/>
  <sheetData>
    <row r="1" spans="1:38" x14ac:dyDescent="0.25">
      <c r="A1" s="1" t="s">
        <v>0</v>
      </c>
    </row>
    <row r="2" spans="1:38" x14ac:dyDescent="0.25">
      <c r="B2" s="1" t="s">
        <v>33</v>
      </c>
      <c r="C2" s="1" t="s">
        <v>34</v>
      </c>
      <c r="D2" s="1" t="s">
        <v>1</v>
      </c>
      <c r="E2" s="1" t="s">
        <v>2</v>
      </c>
      <c r="F2" s="1" t="s">
        <v>3</v>
      </c>
      <c r="G2" s="1" t="s">
        <v>36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13</v>
      </c>
      <c r="Z2" s="1" t="s">
        <v>14</v>
      </c>
      <c r="AA2" s="1" t="s">
        <v>51</v>
      </c>
      <c r="AB2" s="1" t="s">
        <v>52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54</v>
      </c>
      <c r="AH2" s="1" t="s">
        <v>53</v>
      </c>
      <c r="AI2" s="1" t="s">
        <v>37</v>
      </c>
      <c r="AJ2" s="1" t="s">
        <v>38</v>
      </c>
      <c r="AK2" s="1" t="s">
        <v>55</v>
      </c>
    </row>
    <row r="3" spans="1:38" x14ac:dyDescent="0.25">
      <c r="A3" s="1" t="s">
        <v>17</v>
      </c>
      <c r="B3" s="1">
        <v>50</v>
      </c>
      <c r="C3" s="1">
        <v>500</v>
      </c>
      <c r="D3">
        <f>C3*0.000024085*18.0565/3.438/1000</f>
        <v>6.3247644342641078E-5</v>
      </c>
      <c r="E3">
        <f>B3*0.001137568*18.0565/3.438/1000</f>
        <v>2.987274082606166E-4</v>
      </c>
      <c r="F3">
        <f>D3*36</f>
        <v>2.2769151963350789E-3</v>
      </c>
      <c r="G3">
        <f>F3*3600</f>
        <v>8.1968947068062832</v>
      </c>
      <c r="H3">
        <f>E3*36</f>
        <v>1.0754186697382198E-2</v>
      </c>
      <c r="I3" s="2">
        <f t="shared" ref="I3:I18" si="0">F3*1000/1.292*60</f>
        <v>105.73909580503461</v>
      </c>
      <c r="J3" s="2">
        <f>H3/999.102*1000000*60</f>
        <v>645.83115822301613</v>
      </c>
      <c r="Y3" s="3">
        <f>M3/2+N3/2</f>
        <v>0</v>
      </c>
      <c r="Z3" s="3">
        <f>O3/2+P3/2</f>
        <v>0</v>
      </c>
      <c r="AA3" s="3">
        <f>W3</f>
        <v>0</v>
      </c>
      <c r="AB3" s="3">
        <f>X3</f>
        <v>0</v>
      </c>
      <c r="AC3" s="3">
        <f>Q3/2+R3/2</f>
        <v>0</v>
      </c>
      <c r="AD3" s="3">
        <f>S3/2+T3/2</f>
        <v>0</v>
      </c>
      <c r="AE3" s="3">
        <f>U3</f>
        <v>0</v>
      </c>
      <c r="AF3" s="3">
        <f>V3</f>
        <v>0</v>
      </c>
      <c r="AG3">
        <f>AA3-AB3</f>
        <v>0</v>
      </c>
      <c r="AH3">
        <f>1011*K3/I3*F3*(AC3-AD3)</f>
        <v>0</v>
      </c>
      <c r="AI3">
        <f>L3/J3*H3*(AK3-AJ3)*1000</f>
        <v>0</v>
      </c>
      <c r="AJ3">
        <v>76.17</v>
      </c>
      <c r="AK3">
        <v>98.858000000000004</v>
      </c>
      <c r="AL3" t="e">
        <f>AI3/AH3</f>
        <v>#DIV/0!</v>
      </c>
    </row>
    <row r="4" spans="1:38" x14ac:dyDescent="0.25">
      <c r="A4" s="1" t="s">
        <v>18</v>
      </c>
      <c r="B4" s="1">
        <v>100</v>
      </c>
      <c r="C4" s="1">
        <v>1000</v>
      </c>
      <c r="D4">
        <f t="shared" ref="D4:D18" si="1">C4*0.000024085*18.0565/3.438/1000</f>
        <v>1.2649528868528216E-4</v>
      </c>
      <c r="E4">
        <f t="shared" ref="E4:E18" si="2">B4*0.001137568*18.0565/3.438/1000</f>
        <v>5.974548165212332E-4</v>
      </c>
      <c r="F4">
        <f t="shared" ref="F4:F18" si="3">D4*36</f>
        <v>4.5538303926701577E-3</v>
      </c>
      <c r="G4">
        <f t="shared" ref="G4:G18" si="4">F4*3600</f>
        <v>16.393789413612566</v>
      </c>
      <c r="H4">
        <f t="shared" ref="H4:H18" si="5">E4*36</f>
        <v>2.1508373394764396E-2</v>
      </c>
      <c r="I4" s="2">
        <f t="shared" si="0"/>
        <v>211.47819161006922</v>
      </c>
      <c r="J4" s="2">
        <f t="shared" ref="J4:J18" si="6">H4/999.102*1000000*60</f>
        <v>1291.6623164460323</v>
      </c>
      <c r="Y4" s="3">
        <f t="shared" ref="Y4:Y18" si="7">M4/2+N4/2</f>
        <v>0</v>
      </c>
      <c r="Z4" s="3">
        <f t="shared" ref="Z4:Z18" si="8">O4/2+P4/2</f>
        <v>0</v>
      </c>
      <c r="AA4" s="3">
        <f t="shared" ref="AA4:AB18" si="9">W4</f>
        <v>0</v>
      </c>
      <c r="AB4" s="3">
        <f t="shared" si="9"/>
        <v>0</v>
      </c>
      <c r="AC4" s="3">
        <f t="shared" ref="AC4:AC18" si="10">Q4/2+R4/2</f>
        <v>0</v>
      </c>
      <c r="AD4" s="3">
        <f t="shared" ref="AD4:AD18" si="11">S4/2+T4/2</f>
        <v>0</v>
      </c>
      <c r="AE4" s="3">
        <f t="shared" ref="AE4:AF18" si="12">U4</f>
        <v>0</v>
      </c>
      <c r="AF4" s="3">
        <f t="shared" si="12"/>
        <v>0</v>
      </c>
      <c r="AG4">
        <f t="shared" ref="AG4:AG18" si="13">AA4-AB4</f>
        <v>0</v>
      </c>
      <c r="AH4">
        <f t="shared" ref="AH4:AH18" si="14">1011*K4/I4*F4*(AC4-AD4)</f>
        <v>0</v>
      </c>
      <c r="AI4">
        <f t="shared" ref="AI4:AI18" si="15">L4/J4*H4*(AK4-AJ4)*1000</f>
        <v>0</v>
      </c>
      <c r="AJ4">
        <v>76.216999999999999</v>
      </c>
      <c r="AK4">
        <v>105.248</v>
      </c>
      <c r="AL4" t="e">
        <f t="shared" ref="AL4:AL18" si="16">AI4/AH4</f>
        <v>#DIV/0!</v>
      </c>
    </row>
    <row r="5" spans="1:38" x14ac:dyDescent="0.25">
      <c r="A5" s="1" t="s">
        <v>19</v>
      </c>
      <c r="B5" s="1">
        <v>150</v>
      </c>
      <c r="C5" s="1">
        <v>1500</v>
      </c>
      <c r="D5">
        <f t="shared" si="1"/>
        <v>1.8974293302792319E-4</v>
      </c>
      <c r="E5">
        <f t="shared" si="2"/>
        <v>8.9618222478184996E-4</v>
      </c>
      <c r="F5">
        <f t="shared" si="3"/>
        <v>6.8307455890052353E-3</v>
      </c>
      <c r="G5">
        <f t="shared" si="4"/>
        <v>24.590684120418846</v>
      </c>
      <c r="H5">
        <f t="shared" si="5"/>
        <v>3.2262560092146599E-2</v>
      </c>
      <c r="I5" s="2">
        <f t="shared" si="0"/>
        <v>317.21728741510378</v>
      </c>
      <c r="J5" s="2">
        <f t="shared" si="6"/>
        <v>1937.4934746690487</v>
      </c>
      <c r="Y5" s="3">
        <f t="shared" si="7"/>
        <v>0</v>
      </c>
      <c r="Z5" s="3">
        <f t="shared" si="8"/>
        <v>0</v>
      </c>
      <c r="AA5" s="3">
        <f t="shared" si="9"/>
        <v>0</v>
      </c>
      <c r="AB5" s="3">
        <f t="shared" si="9"/>
        <v>0</v>
      </c>
      <c r="AC5" s="3">
        <f t="shared" si="10"/>
        <v>0</v>
      </c>
      <c r="AD5" s="3">
        <f t="shared" si="11"/>
        <v>0</v>
      </c>
      <c r="AE5" s="3">
        <f t="shared" si="12"/>
        <v>0</v>
      </c>
      <c r="AF5" s="3">
        <f t="shared" si="12"/>
        <v>0</v>
      </c>
      <c r="AG5">
        <f t="shared" si="13"/>
        <v>0</v>
      </c>
      <c r="AH5">
        <f t="shared" si="14"/>
        <v>0</v>
      </c>
      <c r="AI5">
        <f t="shared" si="15"/>
        <v>0</v>
      </c>
      <c r="AJ5">
        <v>93.037000000000006</v>
      </c>
      <c r="AK5">
        <v>120.91800000000001</v>
      </c>
      <c r="AL5" t="e">
        <f t="shared" si="16"/>
        <v>#DIV/0!</v>
      </c>
    </row>
    <row r="6" spans="1:38" x14ac:dyDescent="0.25">
      <c r="A6" s="1" t="s">
        <v>20</v>
      </c>
      <c r="B6" s="1">
        <v>200</v>
      </c>
      <c r="C6" s="1">
        <v>2000</v>
      </c>
      <c r="D6">
        <f t="shared" si="1"/>
        <v>2.5299057737056431E-4</v>
      </c>
      <c r="E6">
        <f t="shared" si="2"/>
        <v>1.1949096330424664E-3</v>
      </c>
      <c r="F6">
        <f t="shared" si="3"/>
        <v>9.1076607853403154E-3</v>
      </c>
      <c r="G6">
        <f t="shared" si="4"/>
        <v>32.787578827225133</v>
      </c>
      <c r="H6">
        <f t="shared" si="5"/>
        <v>4.3016746789528791E-2</v>
      </c>
      <c r="I6" s="2">
        <f t="shared" si="0"/>
        <v>422.95638322013843</v>
      </c>
      <c r="J6" s="2">
        <f t="shared" si="6"/>
        <v>2583.3246328920645</v>
      </c>
      <c r="Y6" s="3">
        <f t="shared" si="7"/>
        <v>0</v>
      </c>
      <c r="Z6" s="3">
        <f t="shared" si="8"/>
        <v>0</v>
      </c>
      <c r="AA6" s="3">
        <f t="shared" si="9"/>
        <v>0</v>
      </c>
      <c r="AB6" s="3">
        <f t="shared" si="9"/>
        <v>0</v>
      </c>
      <c r="AC6" s="3">
        <f t="shared" si="10"/>
        <v>0</v>
      </c>
      <c r="AD6" s="3">
        <f t="shared" si="11"/>
        <v>0</v>
      </c>
      <c r="AE6" s="3">
        <f t="shared" si="12"/>
        <v>0</v>
      </c>
      <c r="AF6" s="3">
        <f t="shared" si="12"/>
        <v>0</v>
      </c>
      <c r="AG6">
        <f t="shared" si="13"/>
        <v>0</v>
      </c>
      <c r="AH6">
        <f t="shared" si="14"/>
        <v>0</v>
      </c>
      <c r="AI6">
        <f t="shared" si="15"/>
        <v>0</v>
      </c>
      <c r="AJ6">
        <v>100.315</v>
      </c>
      <c r="AK6">
        <v>127.797</v>
      </c>
      <c r="AL6" t="e">
        <f t="shared" si="16"/>
        <v>#DIV/0!</v>
      </c>
    </row>
    <row r="7" spans="1:38" x14ac:dyDescent="0.25">
      <c r="A7" s="1" t="s">
        <v>21</v>
      </c>
      <c r="B7" s="1">
        <v>250</v>
      </c>
      <c r="C7" s="1">
        <v>3000</v>
      </c>
      <c r="D7">
        <f t="shared" si="1"/>
        <v>3.7948586605584639E-4</v>
      </c>
      <c r="E7">
        <f t="shared" si="2"/>
        <v>1.4936370413030833E-3</v>
      </c>
      <c r="F7">
        <f t="shared" si="3"/>
        <v>1.3661491178010471E-2</v>
      </c>
      <c r="G7">
        <f t="shared" si="4"/>
        <v>49.181368240837692</v>
      </c>
      <c r="H7">
        <f t="shared" si="5"/>
        <v>5.3770933486910998E-2</v>
      </c>
      <c r="I7" s="2">
        <f t="shared" si="0"/>
        <v>634.43457483020757</v>
      </c>
      <c r="J7" s="2">
        <f t="shared" si="6"/>
        <v>3229.1557911150817</v>
      </c>
      <c r="Y7" s="3">
        <f t="shared" si="7"/>
        <v>0</v>
      </c>
      <c r="Z7" s="3">
        <f t="shared" si="8"/>
        <v>0</v>
      </c>
      <c r="AA7" s="3">
        <f t="shared" si="9"/>
        <v>0</v>
      </c>
      <c r="AB7" s="3">
        <f t="shared" si="9"/>
        <v>0</v>
      </c>
      <c r="AC7" s="3">
        <f t="shared" si="10"/>
        <v>0</v>
      </c>
      <c r="AD7" s="3">
        <f t="shared" si="11"/>
        <v>0</v>
      </c>
      <c r="AE7" s="3">
        <f t="shared" si="12"/>
        <v>0</v>
      </c>
      <c r="AF7" s="3">
        <f t="shared" si="12"/>
        <v>0</v>
      </c>
      <c r="AG7">
        <f t="shared" si="13"/>
        <v>0</v>
      </c>
      <c r="AH7">
        <f t="shared" si="14"/>
        <v>0</v>
      </c>
      <c r="AI7">
        <f t="shared" si="15"/>
        <v>0</v>
      </c>
      <c r="AJ7">
        <v>111.47199999999999</v>
      </c>
      <c r="AK7">
        <v>143.29499999999999</v>
      </c>
      <c r="AL7" t="e">
        <f t="shared" si="16"/>
        <v>#DIV/0!</v>
      </c>
    </row>
    <row r="8" spans="1:38" x14ac:dyDescent="0.25">
      <c r="A8" s="1" t="s">
        <v>22</v>
      </c>
      <c r="B8" s="1">
        <v>300</v>
      </c>
      <c r="C8" s="1">
        <v>4000</v>
      </c>
      <c r="D8">
        <f t="shared" si="1"/>
        <v>5.0598115474112862E-4</v>
      </c>
      <c r="E8">
        <f t="shared" si="2"/>
        <v>1.7923644495636999E-3</v>
      </c>
      <c r="F8">
        <f t="shared" si="3"/>
        <v>1.8215321570680631E-2</v>
      </c>
      <c r="G8">
        <f t="shared" si="4"/>
        <v>65.575157654450265</v>
      </c>
      <c r="H8">
        <f t="shared" si="5"/>
        <v>6.4525120184293197E-2</v>
      </c>
      <c r="I8" s="2">
        <f t="shared" si="0"/>
        <v>845.91276644027687</v>
      </c>
      <c r="J8" s="2">
        <f t="shared" si="6"/>
        <v>3874.9869493380975</v>
      </c>
      <c r="Y8" s="3">
        <f t="shared" si="7"/>
        <v>0</v>
      </c>
      <c r="Z8" s="3">
        <f t="shared" si="8"/>
        <v>0</v>
      </c>
      <c r="AA8" s="3">
        <f t="shared" si="9"/>
        <v>0</v>
      </c>
      <c r="AB8" s="3">
        <f t="shared" si="9"/>
        <v>0</v>
      </c>
      <c r="AC8" s="3">
        <f t="shared" si="10"/>
        <v>0</v>
      </c>
      <c r="AD8" s="3">
        <f t="shared" si="11"/>
        <v>0</v>
      </c>
      <c r="AE8" s="3">
        <f t="shared" si="12"/>
        <v>0</v>
      </c>
      <c r="AF8" s="3">
        <f t="shared" si="12"/>
        <v>0</v>
      </c>
      <c r="AG8">
        <f t="shared" si="13"/>
        <v>0</v>
      </c>
      <c r="AH8">
        <f t="shared" si="14"/>
        <v>0</v>
      </c>
      <c r="AI8">
        <f t="shared" si="15"/>
        <v>0</v>
      </c>
      <c r="AJ8">
        <v>124.63800000000001</v>
      </c>
      <c r="AK8">
        <v>158.57</v>
      </c>
      <c r="AL8" t="e">
        <f t="shared" si="16"/>
        <v>#DIV/0!</v>
      </c>
    </row>
    <row r="9" spans="1:38" x14ac:dyDescent="0.25">
      <c r="A9" s="1" t="s">
        <v>23</v>
      </c>
      <c r="B9" s="1">
        <v>350</v>
      </c>
      <c r="C9" s="1">
        <v>4500</v>
      </c>
      <c r="D9">
        <f t="shared" si="1"/>
        <v>5.6922879908376971E-4</v>
      </c>
      <c r="E9">
        <f t="shared" si="2"/>
        <v>2.0910918578243166E-3</v>
      </c>
      <c r="F9">
        <f t="shared" si="3"/>
        <v>2.0492236767015708E-2</v>
      </c>
      <c r="G9">
        <f t="shared" si="4"/>
        <v>73.772052361256556</v>
      </c>
      <c r="H9">
        <f t="shared" si="5"/>
        <v>7.527930688167539E-2</v>
      </c>
      <c r="I9" s="2">
        <f t="shared" si="0"/>
        <v>951.65186224531146</v>
      </c>
      <c r="J9" s="2">
        <f t="shared" si="6"/>
        <v>4520.8181075611128</v>
      </c>
      <c r="Y9" s="3">
        <f t="shared" si="7"/>
        <v>0</v>
      </c>
      <c r="Z9" s="3">
        <f t="shared" si="8"/>
        <v>0</v>
      </c>
      <c r="AA9" s="3">
        <f t="shared" si="9"/>
        <v>0</v>
      </c>
      <c r="AB9" s="3">
        <f t="shared" si="9"/>
        <v>0</v>
      </c>
      <c r="AC9" s="3">
        <f t="shared" si="10"/>
        <v>0</v>
      </c>
      <c r="AD9" s="3">
        <f t="shared" si="11"/>
        <v>0</v>
      </c>
      <c r="AE9" s="3">
        <f t="shared" si="12"/>
        <v>0</v>
      </c>
      <c r="AF9" s="3">
        <f t="shared" si="12"/>
        <v>0</v>
      </c>
      <c r="AG9">
        <f t="shared" si="13"/>
        <v>0</v>
      </c>
      <c r="AH9">
        <f t="shared" si="14"/>
        <v>0</v>
      </c>
      <c r="AI9">
        <f t="shared" si="15"/>
        <v>0</v>
      </c>
      <c r="AJ9">
        <v>146.07499999999999</v>
      </c>
      <c r="AK9">
        <v>176.12200000000001</v>
      </c>
      <c r="AL9" t="e">
        <f t="shared" si="16"/>
        <v>#DIV/0!</v>
      </c>
    </row>
    <row r="10" spans="1:38" x14ac:dyDescent="0.25">
      <c r="A10" s="1" t="s">
        <v>24</v>
      </c>
      <c r="B10" s="1">
        <v>400</v>
      </c>
      <c r="C10" s="1">
        <v>5000</v>
      </c>
      <c r="D10">
        <f t="shared" si="1"/>
        <v>6.3247644342641059E-4</v>
      </c>
      <c r="E10">
        <f t="shared" si="2"/>
        <v>2.3898192660849328E-3</v>
      </c>
      <c r="F10">
        <f t="shared" si="3"/>
        <v>2.2769151963350782E-2</v>
      </c>
      <c r="G10">
        <f t="shared" si="4"/>
        <v>81.968947068062818</v>
      </c>
      <c r="H10">
        <f t="shared" si="5"/>
        <v>8.6033493579057582E-2</v>
      </c>
      <c r="I10" s="2">
        <f t="shared" si="0"/>
        <v>1057.3909580503459</v>
      </c>
      <c r="J10" s="2">
        <f t="shared" si="6"/>
        <v>5166.6492657841291</v>
      </c>
      <c r="Y10" s="3">
        <f t="shared" si="7"/>
        <v>0</v>
      </c>
      <c r="Z10" s="3">
        <f t="shared" si="8"/>
        <v>0</v>
      </c>
      <c r="AA10" s="3">
        <f t="shared" si="9"/>
        <v>0</v>
      </c>
      <c r="AB10" s="3">
        <f t="shared" si="9"/>
        <v>0</v>
      </c>
      <c r="AC10" s="3">
        <f t="shared" si="10"/>
        <v>0</v>
      </c>
      <c r="AD10" s="3">
        <f t="shared" si="11"/>
        <v>0</v>
      </c>
      <c r="AE10" s="3">
        <f t="shared" si="12"/>
        <v>0</v>
      </c>
      <c r="AF10" s="3">
        <f t="shared" si="12"/>
        <v>0</v>
      </c>
      <c r="AG10">
        <f t="shared" si="13"/>
        <v>0</v>
      </c>
      <c r="AH10">
        <f t="shared" si="14"/>
        <v>0</v>
      </c>
      <c r="AI10">
        <f t="shared" si="15"/>
        <v>0</v>
      </c>
      <c r="AJ10">
        <v>112.818</v>
      </c>
      <c r="AK10">
        <v>140.70500000000001</v>
      </c>
      <c r="AL10" t="e">
        <f t="shared" si="16"/>
        <v>#DIV/0!</v>
      </c>
    </row>
    <row r="11" spans="1:38" x14ac:dyDescent="0.25">
      <c r="A11" s="1" t="s">
        <v>25</v>
      </c>
      <c r="B11" s="1">
        <v>450</v>
      </c>
      <c r="C11" s="1">
        <v>5500</v>
      </c>
      <c r="D11">
        <f t="shared" si="1"/>
        <v>6.9572408776905168E-4</v>
      </c>
      <c r="E11">
        <f t="shared" si="2"/>
        <v>2.6885466743455503E-3</v>
      </c>
      <c r="F11">
        <f t="shared" si="3"/>
        <v>2.504606715968586E-2</v>
      </c>
      <c r="G11">
        <f t="shared" si="4"/>
        <v>90.165841774869094</v>
      </c>
      <c r="H11">
        <f t="shared" si="5"/>
        <v>9.6787680276439816E-2</v>
      </c>
      <c r="I11" s="2">
        <f t="shared" si="0"/>
        <v>1163.1300538553805</v>
      </c>
      <c r="J11" s="2">
        <f t="shared" si="6"/>
        <v>5812.4804240071471</v>
      </c>
      <c r="Y11" s="3">
        <f t="shared" si="7"/>
        <v>0</v>
      </c>
      <c r="Z11" s="3">
        <f t="shared" si="8"/>
        <v>0</v>
      </c>
      <c r="AA11" s="3">
        <f t="shared" si="9"/>
        <v>0</v>
      </c>
      <c r="AB11" s="3">
        <f t="shared" si="9"/>
        <v>0</v>
      </c>
      <c r="AC11" s="3">
        <f t="shared" si="10"/>
        <v>0</v>
      </c>
      <c r="AD11" s="3">
        <f t="shared" si="11"/>
        <v>0</v>
      </c>
      <c r="AE11" s="3">
        <f t="shared" si="12"/>
        <v>0</v>
      </c>
      <c r="AF11" s="3">
        <f t="shared" si="12"/>
        <v>0</v>
      </c>
      <c r="AG11">
        <f t="shared" si="13"/>
        <v>0</v>
      </c>
      <c r="AH11">
        <f t="shared" si="14"/>
        <v>0</v>
      </c>
      <c r="AI11">
        <f t="shared" si="15"/>
        <v>0</v>
      </c>
      <c r="AJ11">
        <v>125.595</v>
      </c>
      <c r="AK11">
        <v>150.494</v>
      </c>
      <c r="AL11" t="e">
        <f t="shared" si="16"/>
        <v>#DIV/0!</v>
      </c>
    </row>
    <row r="12" spans="1:38" x14ac:dyDescent="0.25">
      <c r="A12" s="1" t="s">
        <v>26</v>
      </c>
      <c r="B12" s="1">
        <v>500</v>
      </c>
      <c r="C12" s="1">
        <v>6000</v>
      </c>
      <c r="D12">
        <f t="shared" si="1"/>
        <v>7.5897173211169277E-4</v>
      </c>
      <c r="E12">
        <f t="shared" si="2"/>
        <v>2.9872740826061665E-3</v>
      </c>
      <c r="F12">
        <f t="shared" si="3"/>
        <v>2.7322982356020941E-2</v>
      </c>
      <c r="G12">
        <f t="shared" si="4"/>
        <v>98.362736481675384</v>
      </c>
      <c r="H12">
        <f t="shared" si="5"/>
        <v>0.107541866973822</v>
      </c>
      <c r="I12" s="2">
        <f t="shared" si="0"/>
        <v>1268.8691496604151</v>
      </c>
      <c r="J12" s="2">
        <f t="shared" si="6"/>
        <v>6458.3115822301634</v>
      </c>
      <c r="K12">
        <v>1269</v>
      </c>
      <c r="L12">
        <v>6419</v>
      </c>
      <c r="M12">
        <v>33.489148622047239</v>
      </c>
      <c r="N12">
        <v>33.457195776664271</v>
      </c>
      <c r="O12">
        <v>38.574224230493812</v>
      </c>
      <c r="P12">
        <v>38.434690855404625</v>
      </c>
      <c r="Q12">
        <v>129.5275742662848</v>
      </c>
      <c r="R12">
        <v>129.80616991768028</v>
      </c>
      <c r="S12">
        <v>33.397970651395909</v>
      </c>
      <c r="T12">
        <v>33.322128221188073</v>
      </c>
      <c r="U12">
        <v>118789.42618110236</v>
      </c>
      <c r="V12">
        <v>12481.440452755905</v>
      </c>
      <c r="W12">
        <v>2035.2253937007872</v>
      </c>
      <c r="X12">
        <v>-1437.4977854330709</v>
      </c>
      <c r="Y12" s="3">
        <f t="shared" si="7"/>
        <v>33.473172199355758</v>
      </c>
      <c r="Z12" s="3">
        <f t="shared" si="8"/>
        <v>38.504457542949218</v>
      </c>
      <c r="AA12" s="3">
        <f t="shared" si="9"/>
        <v>2035.2253937007872</v>
      </c>
      <c r="AB12" s="3">
        <f t="shared" si="9"/>
        <v>-1437.4977854330709</v>
      </c>
      <c r="AC12" s="3">
        <f t="shared" si="10"/>
        <v>129.66687209198255</v>
      </c>
      <c r="AD12" s="3">
        <f t="shared" si="11"/>
        <v>33.360049436291987</v>
      </c>
      <c r="AE12" s="3">
        <f t="shared" si="12"/>
        <v>118789.42618110236</v>
      </c>
      <c r="AF12" s="3">
        <f t="shared" si="12"/>
        <v>12481.440452755905</v>
      </c>
      <c r="AG12">
        <f t="shared" si="13"/>
        <v>3472.7231791338581</v>
      </c>
      <c r="AH12">
        <f t="shared" si="14"/>
        <v>2660.6092452446433</v>
      </c>
      <c r="AI12">
        <f t="shared" si="15"/>
        <v>2247.5184643821017</v>
      </c>
      <c r="AJ12">
        <v>140.339</v>
      </c>
      <c r="AK12">
        <v>161.36600000000001</v>
      </c>
      <c r="AL12">
        <f t="shared" si="16"/>
        <v>0.84473827503949839</v>
      </c>
    </row>
    <row r="13" spans="1:38" x14ac:dyDescent="0.25">
      <c r="A13" s="1" t="s">
        <v>27</v>
      </c>
      <c r="B13" s="1">
        <v>550</v>
      </c>
      <c r="C13" s="1">
        <v>6500</v>
      </c>
      <c r="D13">
        <f t="shared" si="1"/>
        <v>8.2221937645433386E-4</v>
      </c>
      <c r="E13">
        <f t="shared" si="2"/>
        <v>3.2860014908667828E-3</v>
      </c>
      <c r="F13">
        <f t="shared" si="3"/>
        <v>2.9599897552356019E-2</v>
      </c>
      <c r="G13">
        <f t="shared" si="4"/>
        <v>106.55963118848166</v>
      </c>
      <c r="H13">
        <f t="shared" si="5"/>
        <v>0.11829605367120417</v>
      </c>
      <c r="I13" s="2">
        <f t="shared" si="0"/>
        <v>1374.6082454654497</v>
      </c>
      <c r="J13" s="2">
        <f t="shared" si="6"/>
        <v>7104.1427404531769</v>
      </c>
      <c r="K13" s="6">
        <v>1375</v>
      </c>
      <c r="L13" s="6">
        <v>7137</v>
      </c>
      <c r="M13" s="6">
        <v>33.353670120898187</v>
      </c>
      <c r="N13" s="6">
        <v>33.316108101742913</v>
      </c>
      <c r="O13" s="6">
        <v>37.929081488459708</v>
      </c>
      <c r="P13" s="6">
        <v>38.041276495525167</v>
      </c>
      <c r="Q13" s="6">
        <v>124.7241961061375</v>
      </c>
      <c r="R13" s="6">
        <v>124.97239872821437</v>
      </c>
      <c r="S13" s="6">
        <v>33.035404694614826</v>
      </c>
      <c r="T13" s="6">
        <v>32.953376903752897</v>
      </c>
      <c r="U13" s="6">
        <v>132342.03238341969</v>
      </c>
      <c r="V13" s="6">
        <v>14228.487046632124</v>
      </c>
      <c r="W13" s="6">
        <v>4253.9471070811742</v>
      </c>
      <c r="X13" s="6">
        <v>84.120682210707855</v>
      </c>
      <c r="Y13" s="3">
        <f t="shared" si="7"/>
        <v>33.33488911132055</v>
      </c>
      <c r="Z13" s="3">
        <f t="shared" si="8"/>
        <v>37.985178991992441</v>
      </c>
      <c r="AA13" s="3">
        <f t="shared" si="9"/>
        <v>4253.9471070811742</v>
      </c>
      <c r="AB13" s="3">
        <f t="shared" si="9"/>
        <v>84.120682210707855</v>
      </c>
      <c r="AC13" s="3">
        <f t="shared" si="10"/>
        <v>124.84829741717593</v>
      </c>
      <c r="AD13" s="3">
        <f t="shared" si="11"/>
        <v>32.994390799183861</v>
      </c>
      <c r="AE13" s="3">
        <f t="shared" si="12"/>
        <v>132342.03238341969</v>
      </c>
      <c r="AF13" s="3">
        <f t="shared" si="12"/>
        <v>14228.487046632124</v>
      </c>
      <c r="AG13">
        <f t="shared" si="13"/>
        <v>4169.8264248704663</v>
      </c>
      <c r="AH13">
        <f t="shared" si="14"/>
        <v>2749.55713705064</v>
      </c>
      <c r="AI13">
        <f t="shared" si="15"/>
        <v>2806.4817641835011</v>
      </c>
      <c r="AJ13">
        <v>139.76</v>
      </c>
      <c r="AK13">
        <v>163.375</v>
      </c>
      <c r="AL13">
        <f t="shared" si="16"/>
        <v>1.0207031984772363</v>
      </c>
    </row>
    <row r="14" spans="1:38" x14ac:dyDescent="0.25">
      <c r="A14" s="1" t="s">
        <v>28</v>
      </c>
      <c r="B14" s="1">
        <v>575</v>
      </c>
      <c r="C14" s="1">
        <v>7000</v>
      </c>
      <c r="D14">
        <f t="shared" si="1"/>
        <v>8.8546702079697495E-4</v>
      </c>
      <c r="E14">
        <f t="shared" si="2"/>
        <v>3.4353651949970915E-3</v>
      </c>
      <c r="F14">
        <f t="shared" si="3"/>
        <v>3.18768127486911E-2</v>
      </c>
      <c r="G14">
        <f t="shared" si="4"/>
        <v>114.75652589528796</v>
      </c>
      <c r="H14">
        <f t="shared" si="5"/>
        <v>0.12367314701989529</v>
      </c>
      <c r="I14" s="2">
        <f t="shared" si="0"/>
        <v>1480.3473412704845</v>
      </c>
      <c r="J14" s="2">
        <f t="shared" si="6"/>
        <v>7427.0583195646868</v>
      </c>
      <c r="Y14" s="3">
        <f t="shared" si="7"/>
        <v>0</v>
      </c>
      <c r="Z14" s="3">
        <f t="shared" si="8"/>
        <v>0</v>
      </c>
      <c r="AA14" s="3">
        <f t="shared" si="9"/>
        <v>0</v>
      </c>
      <c r="AB14" s="3">
        <f t="shared" si="9"/>
        <v>0</v>
      </c>
      <c r="AC14" s="3">
        <f t="shared" si="10"/>
        <v>0</v>
      </c>
      <c r="AD14" s="3">
        <f t="shared" si="11"/>
        <v>0</v>
      </c>
      <c r="AE14" s="3">
        <f t="shared" si="12"/>
        <v>0</v>
      </c>
      <c r="AF14" s="3">
        <f t="shared" si="12"/>
        <v>0</v>
      </c>
      <c r="AG14">
        <f t="shared" si="13"/>
        <v>0</v>
      </c>
      <c r="AH14">
        <f>1011*I13/I14*F14*(AC14-AD14)</f>
        <v>0</v>
      </c>
      <c r="AI14">
        <f t="shared" si="15"/>
        <v>0</v>
      </c>
      <c r="AL14" t="e">
        <f t="shared" si="16"/>
        <v>#DIV/0!</v>
      </c>
    </row>
    <row r="15" spans="1:38" x14ac:dyDescent="0.25">
      <c r="A15" s="1" t="s">
        <v>29</v>
      </c>
      <c r="B15" s="1">
        <v>600</v>
      </c>
      <c r="C15" s="1">
        <v>7500</v>
      </c>
      <c r="D15">
        <f t="shared" si="1"/>
        <v>9.4871466513961604E-4</v>
      </c>
      <c r="E15">
        <f t="shared" si="2"/>
        <v>3.5847288991273998E-3</v>
      </c>
      <c r="F15">
        <f t="shared" si="3"/>
        <v>3.4153727945026177E-2</v>
      </c>
      <c r="G15">
        <f t="shared" si="4"/>
        <v>122.95342060209424</v>
      </c>
      <c r="H15">
        <f t="shared" si="5"/>
        <v>0.12905024036858639</v>
      </c>
      <c r="I15" s="2">
        <f t="shared" si="0"/>
        <v>1586.0864370755189</v>
      </c>
      <c r="J15" s="2">
        <f t="shared" si="6"/>
        <v>7749.9738986761949</v>
      </c>
      <c r="K15">
        <v>1586</v>
      </c>
      <c r="L15">
        <v>7760</v>
      </c>
      <c r="M15">
        <v>32.372722540343666</v>
      </c>
      <c r="N15">
        <v>32.346683545501918</v>
      </c>
      <c r="O15">
        <v>36.671040177937599</v>
      </c>
      <c r="P15">
        <v>36.766954237849596</v>
      </c>
      <c r="Q15">
        <v>114.40506223084581</v>
      </c>
      <c r="R15">
        <v>114.63418342719356</v>
      </c>
      <c r="S15">
        <v>32.01452463205699</v>
      </c>
      <c r="T15">
        <v>31.98451469405115</v>
      </c>
      <c r="U15">
        <v>157143.05934409163</v>
      </c>
      <c r="V15">
        <v>17605.047371160854</v>
      </c>
      <c r="W15">
        <v>4765.965122332118</v>
      </c>
      <c r="X15">
        <v>-250.70874544508024</v>
      </c>
      <c r="Y15" s="3">
        <f t="shared" si="7"/>
        <v>32.359703042922789</v>
      </c>
      <c r="Z15" s="3">
        <f t="shared" si="8"/>
        <v>36.718997207893594</v>
      </c>
      <c r="AA15" s="3">
        <f t="shared" si="9"/>
        <v>4765.965122332118</v>
      </c>
      <c r="AB15" s="3">
        <f t="shared" si="9"/>
        <v>-250.70874544508024</v>
      </c>
      <c r="AC15" s="3">
        <f t="shared" si="10"/>
        <v>114.51962282901968</v>
      </c>
      <c r="AD15" s="3">
        <f t="shared" si="11"/>
        <v>31.99951966305407</v>
      </c>
      <c r="AE15" s="3">
        <f t="shared" si="12"/>
        <v>157143.05934409163</v>
      </c>
      <c r="AF15" s="3">
        <f t="shared" si="12"/>
        <v>17605.047371160854</v>
      </c>
      <c r="AG15">
        <f t="shared" si="13"/>
        <v>5016.6738677771982</v>
      </c>
      <c r="AH15">
        <f t="shared" si="14"/>
        <v>2849.2159318107156</v>
      </c>
      <c r="AI15">
        <f t="shared" si="15"/>
        <v>2354.2080210479994</v>
      </c>
      <c r="AJ15">
        <v>135.685</v>
      </c>
      <c r="AK15">
        <v>153.904</v>
      </c>
      <c r="AL15">
        <f t="shared" si="16"/>
        <v>0.82626521730554414</v>
      </c>
    </row>
    <row r="16" spans="1:38" x14ac:dyDescent="0.25">
      <c r="A16" s="1" t="s">
        <v>30</v>
      </c>
      <c r="B16" s="1">
        <v>625</v>
      </c>
      <c r="C16" s="1">
        <v>8000</v>
      </c>
      <c r="D16">
        <f t="shared" si="1"/>
        <v>1.0119623094822572E-3</v>
      </c>
      <c r="E16">
        <f t="shared" si="2"/>
        <v>3.7340926032577082E-3</v>
      </c>
      <c r="F16">
        <f t="shared" si="3"/>
        <v>3.6430643141361262E-2</v>
      </c>
      <c r="G16">
        <f t="shared" si="4"/>
        <v>131.15031530890053</v>
      </c>
      <c r="H16">
        <f t="shared" si="5"/>
        <v>0.1344273337172775</v>
      </c>
      <c r="I16" s="2">
        <f t="shared" si="0"/>
        <v>1691.8255328805537</v>
      </c>
      <c r="J16" s="2">
        <f t="shared" si="6"/>
        <v>8072.8894777877022</v>
      </c>
      <c r="K16">
        <v>1692</v>
      </c>
      <c r="L16">
        <v>8068</v>
      </c>
      <c r="M16">
        <v>31.78478218306417</v>
      </c>
      <c r="N16">
        <v>31.744274017710225</v>
      </c>
      <c r="O16">
        <v>35.865151070173127</v>
      </c>
      <c r="P16">
        <v>35.892228006941721</v>
      </c>
      <c r="Q16">
        <v>108.6459133182039</v>
      </c>
      <c r="R16">
        <v>108.89910292350861</v>
      </c>
      <c r="S16">
        <v>31.304354558803819</v>
      </c>
      <c r="T16">
        <v>31.314559248876346</v>
      </c>
      <c r="U16">
        <v>170904.57709251103</v>
      </c>
      <c r="V16">
        <v>19561.726872246694</v>
      </c>
      <c r="W16">
        <v>5279.8345570239835</v>
      </c>
      <c r="X16">
        <v>-382.86196769456637</v>
      </c>
      <c r="Y16" s="3">
        <f t="shared" si="7"/>
        <v>31.764528100387196</v>
      </c>
      <c r="Z16" s="3">
        <f t="shared" si="8"/>
        <v>35.878689538557424</v>
      </c>
      <c r="AA16" s="3">
        <f t="shared" si="9"/>
        <v>5279.8345570239835</v>
      </c>
      <c r="AB16" s="3">
        <f t="shared" si="9"/>
        <v>-382.86196769456637</v>
      </c>
      <c r="AC16" s="3">
        <f t="shared" si="10"/>
        <v>108.77250812085626</v>
      </c>
      <c r="AD16" s="3">
        <f t="shared" si="11"/>
        <v>31.309456903840083</v>
      </c>
      <c r="AE16" s="3">
        <f t="shared" si="12"/>
        <v>170904.57709251103</v>
      </c>
      <c r="AF16" s="3">
        <f t="shared" si="12"/>
        <v>19561.726872246694</v>
      </c>
      <c r="AG16">
        <f t="shared" si="13"/>
        <v>5662.6965247185499</v>
      </c>
      <c r="AH16">
        <f t="shared" si="14"/>
        <v>2853.3653109871279</v>
      </c>
      <c r="AI16">
        <f t="shared" si="15"/>
        <v>2309.5406350796006</v>
      </c>
      <c r="AJ16">
        <v>133.19800000000001</v>
      </c>
      <c r="AK16">
        <v>150.38900000000001</v>
      </c>
      <c r="AL16">
        <f t="shared" si="16"/>
        <v>0.80940937572434779</v>
      </c>
    </row>
    <row r="17" spans="1:38" x14ac:dyDescent="0.25">
      <c r="A17" s="1" t="s">
        <v>31</v>
      </c>
      <c r="B17" s="1">
        <v>650</v>
      </c>
      <c r="C17" s="1">
        <v>8500</v>
      </c>
      <c r="D17">
        <f t="shared" si="1"/>
        <v>1.0752099538248983E-3</v>
      </c>
      <c r="E17">
        <f t="shared" si="2"/>
        <v>3.8834563073880161E-3</v>
      </c>
      <c r="F17">
        <f t="shared" si="3"/>
        <v>3.8707558337696339E-2</v>
      </c>
      <c r="G17">
        <f t="shared" si="4"/>
        <v>139.34721001570682</v>
      </c>
      <c r="H17">
        <f t="shared" si="5"/>
        <v>0.13980442706596857</v>
      </c>
      <c r="I17" s="2">
        <f t="shared" si="0"/>
        <v>1797.5646286855886</v>
      </c>
      <c r="J17" s="2">
        <f t="shared" si="6"/>
        <v>8395.8050568992112</v>
      </c>
      <c r="K17">
        <v>1798</v>
      </c>
      <c r="L17">
        <v>8430</v>
      </c>
      <c r="M17">
        <v>33.702994886778917</v>
      </c>
      <c r="N17">
        <v>33.648194767248668</v>
      </c>
      <c r="O17">
        <v>37.371119264227637</v>
      </c>
      <c r="P17">
        <v>37.373516169732355</v>
      </c>
      <c r="Q17">
        <v>101.96620658742393</v>
      </c>
      <c r="R17">
        <v>102.20262932465639</v>
      </c>
      <c r="S17">
        <v>32.931356995815435</v>
      </c>
      <c r="T17">
        <v>32.940963543395348</v>
      </c>
      <c r="U17">
        <v>186526.87582176772</v>
      </c>
      <c r="V17">
        <v>21987.18334550767</v>
      </c>
      <c r="W17">
        <v>5750.4390065741409</v>
      </c>
      <c r="X17">
        <v>-360.40796201607009</v>
      </c>
      <c r="Y17" s="3">
        <f t="shared" si="7"/>
        <v>33.675594827013796</v>
      </c>
      <c r="Z17" s="3">
        <f t="shared" si="8"/>
        <v>37.372317716979992</v>
      </c>
      <c r="AA17" s="3">
        <f t="shared" si="9"/>
        <v>5750.4390065741409</v>
      </c>
      <c r="AB17" s="3">
        <f t="shared" si="9"/>
        <v>-360.40796201607009</v>
      </c>
      <c r="AC17" s="3">
        <f t="shared" si="10"/>
        <v>102.08441795604016</v>
      </c>
      <c r="AD17" s="3">
        <f t="shared" si="11"/>
        <v>32.936160269605395</v>
      </c>
      <c r="AE17" s="3">
        <f t="shared" si="12"/>
        <v>186526.87582176772</v>
      </c>
      <c r="AF17" s="3">
        <f t="shared" si="12"/>
        <v>21987.18334550767</v>
      </c>
      <c r="AG17">
        <f t="shared" si="13"/>
        <v>6110.846968590211</v>
      </c>
      <c r="AH17">
        <f t="shared" si="14"/>
        <v>2706.6577762744296</v>
      </c>
      <c r="AI17">
        <f t="shared" si="15"/>
        <v>2168.635315119001</v>
      </c>
      <c r="AJ17">
        <v>141.184</v>
      </c>
      <c r="AK17">
        <v>156.63300000000001</v>
      </c>
      <c r="AL17">
        <f t="shared" si="16"/>
        <v>0.80122257572732825</v>
      </c>
    </row>
    <row r="18" spans="1:38" x14ac:dyDescent="0.25">
      <c r="A18" s="1" t="s">
        <v>32</v>
      </c>
      <c r="B18" s="1">
        <v>675</v>
      </c>
      <c r="C18" s="1">
        <v>9000</v>
      </c>
      <c r="D18">
        <f t="shared" si="1"/>
        <v>1.1384575981675394E-3</v>
      </c>
      <c r="E18">
        <f t="shared" si="2"/>
        <v>4.0328200115183239E-3</v>
      </c>
      <c r="F18">
        <f t="shared" si="3"/>
        <v>4.0984473534031417E-2</v>
      </c>
      <c r="G18">
        <f t="shared" si="4"/>
        <v>147.54410472251311</v>
      </c>
      <c r="H18">
        <f t="shared" si="5"/>
        <v>0.14518152041465965</v>
      </c>
      <c r="I18" s="2">
        <f t="shared" si="0"/>
        <v>1903.3037244906229</v>
      </c>
      <c r="J18" s="2">
        <f t="shared" si="6"/>
        <v>8718.7206360107157</v>
      </c>
      <c r="K18">
        <v>1903</v>
      </c>
      <c r="L18">
        <v>8737</v>
      </c>
      <c r="M18">
        <v>34.773739237392412</v>
      </c>
      <c r="N18">
        <v>34.743349658950869</v>
      </c>
      <c r="O18">
        <v>38.238384434753236</v>
      </c>
      <c r="P18">
        <v>38.237273398188343</v>
      </c>
      <c r="Q18">
        <v>97.063669909425442</v>
      </c>
      <c r="R18">
        <v>97.352766409482541</v>
      </c>
      <c r="S18">
        <v>33.868850497595815</v>
      </c>
      <c r="T18">
        <v>33.908460248237809</v>
      </c>
      <c r="U18">
        <v>202302.58302583024</v>
      </c>
      <c r="V18">
        <v>24486.608856088562</v>
      </c>
      <c r="W18">
        <v>7570.6666666666661</v>
      </c>
      <c r="X18">
        <v>953.65067650676519</v>
      </c>
      <c r="Y18" s="3">
        <f t="shared" si="7"/>
        <v>34.758544448171641</v>
      </c>
      <c r="Z18" s="3">
        <f t="shared" si="8"/>
        <v>38.237828916470789</v>
      </c>
      <c r="AA18" s="3">
        <f t="shared" si="9"/>
        <v>7570.6666666666661</v>
      </c>
      <c r="AB18" s="3">
        <f t="shared" si="9"/>
        <v>953.65067650676519</v>
      </c>
      <c r="AC18" s="3">
        <f t="shared" si="10"/>
        <v>97.208218159453992</v>
      </c>
      <c r="AD18" s="3">
        <f t="shared" si="11"/>
        <v>33.888655372916816</v>
      </c>
      <c r="AE18" s="3">
        <f t="shared" si="12"/>
        <v>202302.58302583024</v>
      </c>
      <c r="AF18" s="3">
        <f t="shared" si="12"/>
        <v>24486.608856088562</v>
      </c>
      <c r="AG18">
        <f t="shared" si="13"/>
        <v>6617.0159901599009</v>
      </c>
      <c r="AH18">
        <f t="shared" si="14"/>
        <v>2623.2465756107226</v>
      </c>
      <c r="AI18">
        <f t="shared" si="15"/>
        <v>2115.801485874701</v>
      </c>
      <c r="AJ18">
        <v>145.708</v>
      </c>
      <c r="AK18">
        <v>160.251</v>
      </c>
      <c r="AL18">
        <f t="shared" si="16"/>
        <v>0.8065583714264899</v>
      </c>
    </row>
    <row r="19" spans="1:38" x14ac:dyDescent="0.25">
      <c r="A19" s="1"/>
      <c r="B19" s="1"/>
      <c r="I19" s="2"/>
      <c r="J19" s="4"/>
      <c r="M19">
        <v>-0.56000000000000005</v>
      </c>
      <c r="N19">
        <v>-0.59272727272727233</v>
      </c>
      <c r="O19">
        <v>-0.55545454545454509</v>
      </c>
      <c r="P19">
        <v>-0.61272727272727356</v>
      </c>
      <c r="Q19">
        <v>-0.70636363636363697</v>
      </c>
      <c r="R19">
        <v>-0.77090909090909132</v>
      </c>
      <c r="S19">
        <v>-0.72454545454545471</v>
      </c>
      <c r="T19">
        <v>-0.71181818181818202</v>
      </c>
      <c r="U19">
        <v>558</v>
      </c>
      <c r="V19">
        <v>334</v>
      </c>
      <c r="W19">
        <v>4391</v>
      </c>
      <c r="X19">
        <v>4519</v>
      </c>
      <c r="Y19" s="3"/>
      <c r="Z19" s="3"/>
      <c r="AA19" s="3"/>
      <c r="AB19" s="3"/>
      <c r="AC19" s="3"/>
      <c r="AD19" s="3"/>
      <c r="AE19" s="3"/>
      <c r="AF19" s="3"/>
    </row>
    <row r="20" spans="1:38" x14ac:dyDescent="0.25">
      <c r="A20" s="1"/>
      <c r="B20" s="1"/>
      <c r="J20" s="2"/>
      <c r="M20" s="5">
        <v>34.21373923739241</v>
      </c>
      <c r="N20" s="5">
        <v>34.150622386223596</v>
      </c>
      <c r="O20" s="5">
        <v>37.682929889298691</v>
      </c>
      <c r="P20" s="5">
        <v>37.624546125461066</v>
      </c>
      <c r="Q20" s="5">
        <v>96.357306273061809</v>
      </c>
      <c r="R20" s="5">
        <v>96.581857318573455</v>
      </c>
      <c r="S20" s="5">
        <v>33.144305043050359</v>
      </c>
      <c r="T20" s="5">
        <v>33.196642066419628</v>
      </c>
      <c r="U20" s="5">
        <v>202860.58302583024</v>
      </c>
      <c r="V20" s="5">
        <v>24820.608856088562</v>
      </c>
      <c r="W20" s="5">
        <v>11961.666666666666</v>
      </c>
      <c r="X20" s="5">
        <v>5472.6506765067652</v>
      </c>
      <c r="Y20" s="3"/>
      <c r="Z20" s="3"/>
      <c r="AA20" s="3"/>
      <c r="AB20" s="3"/>
      <c r="AC20" s="3"/>
      <c r="AD20" s="3"/>
      <c r="AE20" s="3"/>
      <c r="AF20" s="3"/>
    </row>
    <row r="21" spans="1:38" x14ac:dyDescent="0.25">
      <c r="D21" s="1"/>
      <c r="E21" s="1"/>
      <c r="F21" s="1"/>
      <c r="G21" s="1"/>
      <c r="H21" s="1"/>
      <c r="I21" s="1"/>
      <c r="J21" s="1"/>
      <c r="K21" s="1"/>
      <c r="M21">
        <f>M20-M19</f>
        <v>34.773739237392412</v>
      </c>
      <c r="N21">
        <f t="shared" ref="N21:X21" si="17">N20-N19</f>
        <v>34.743349658950869</v>
      </c>
      <c r="O21">
        <f t="shared" si="17"/>
        <v>38.238384434753236</v>
      </c>
      <c r="P21">
        <f t="shared" si="17"/>
        <v>38.237273398188343</v>
      </c>
      <c r="Q21">
        <f t="shared" si="17"/>
        <v>97.063669909425442</v>
      </c>
      <c r="R21">
        <f t="shared" si="17"/>
        <v>97.352766409482541</v>
      </c>
      <c r="S21">
        <f t="shared" si="17"/>
        <v>33.868850497595815</v>
      </c>
      <c r="T21">
        <f t="shared" si="17"/>
        <v>33.908460248237809</v>
      </c>
      <c r="U21">
        <f t="shared" si="17"/>
        <v>202302.58302583024</v>
      </c>
      <c r="V21">
        <f t="shared" si="17"/>
        <v>24486.608856088562</v>
      </c>
      <c r="W21">
        <f t="shared" si="17"/>
        <v>7570.6666666666661</v>
      </c>
      <c r="X21">
        <f t="shared" si="17"/>
        <v>953.65067650676519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7B45-4166-450A-8B19-39BC175B7D44}">
  <dimension ref="A1:X53"/>
  <sheetViews>
    <sheetView workbookViewId="0">
      <selection activeCell="H3" sqref="H3:H18"/>
    </sheetView>
  </sheetViews>
  <sheetFormatPr defaultColWidth="9" defaultRowHeight="13.8" x14ac:dyDescent="0.25"/>
  <cols>
    <col min="4" max="4" width="18.109375" customWidth="1"/>
    <col min="5" max="5" width="14.88671875" bestFit="1" customWidth="1"/>
    <col min="6" max="6" width="16.88671875" bestFit="1" customWidth="1"/>
    <col min="7" max="7" width="16.88671875" customWidth="1"/>
    <col min="8" max="8" width="14.88671875" bestFit="1" customWidth="1"/>
    <col min="9" max="9" width="13.6640625" bestFit="1" customWidth="1"/>
    <col min="10" max="10" width="10.44140625" customWidth="1"/>
    <col min="11" max="11" width="17.77734375" bestFit="1" customWidth="1"/>
    <col min="12" max="12" width="17.33203125" bestFit="1" customWidth="1"/>
    <col min="13" max="16" width="17.33203125" customWidth="1"/>
    <col min="17" max="18" width="16" bestFit="1" customWidth="1"/>
    <col min="19" max="20" width="16.109375" bestFit="1" customWidth="1"/>
    <col min="21" max="22" width="13.88671875" bestFit="1" customWidth="1"/>
    <col min="23" max="24" width="15" bestFit="1" customWidth="1"/>
  </cols>
  <sheetData>
    <row r="1" spans="1:22" x14ac:dyDescent="0.25">
      <c r="A1" s="1" t="s">
        <v>0</v>
      </c>
    </row>
    <row r="2" spans="1:22" x14ac:dyDescent="0.25">
      <c r="B2" s="1" t="s">
        <v>33</v>
      </c>
      <c r="C2" s="1" t="s">
        <v>34</v>
      </c>
      <c r="D2" s="1" t="s">
        <v>1</v>
      </c>
      <c r="E2" s="1" t="s">
        <v>2</v>
      </c>
      <c r="F2" s="1" t="s">
        <v>3</v>
      </c>
      <c r="G2" s="1" t="s">
        <v>36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35</v>
      </c>
    </row>
    <row r="3" spans="1:22" x14ac:dyDescent="0.25">
      <c r="A3" s="1" t="s">
        <v>17</v>
      </c>
      <c r="B3" s="1">
        <v>50</v>
      </c>
      <c r="C3" s="1">
        <v>500</v>
      </c>
      <c r="D3">
        <f>C3*0.000024085*15.68/2.57/1000</f>
        <v>7.3473307392996114E-5</v>
      </c>
      <c r="E3">
        <f>B3*0.001137568*15.68/2.57/1000</f>
        <v>3.4702463501945529E-4</v>
      </c>
      <c r="F3">
        <f>D3*36</f>
        <v>2.6450390661478603E-3</v>
      </c>
      <c r="G3">
        <f>F3*3600</f>
        <v>9.5221406381322975</v>
      </c>
      <c r="H3">
        <f>E3*36</f>
        <v>1.2492886860700391E-2</v>
      </c>
      <c r="I3" s="2">
        <f t="shared" ref="I3:I18" si="0">F3*1000/1.292*60</f>
        <v>122.8346315548542</v>
      </c>
      <c r="J3" s="2">
        <f>H3/999.102*1000000*60</f>
        <v>750.246933388206</v>
      </c>
      <c r="L3">
        <v>1012.8</v>
      </c>
      <c r="M3">
        <v>14.5</v>
      </c>
      <c r="N3">
        <v>25.2</v>
      </c>
      <c r="O3">
        <v>2.6</v>
      </c>
      <c r="P3">
        <v>2.85</v>
      </c>
      <c r="U3">
        <f t="shared" ref="U3:U5" si="1">P3-O3</f>
        <v>0.25</v>
      </c>
      <c r="V3">
        <f>(N3-M3)*L3</f>
        <v>10836.96</v>
      </c>
    </row>
    <row r="4" spans="1:22" x14ac:dyDescent="0.25">
      <c r="A4" s="1" t="s">
        <v>18</v>
      </c>
      <c r="B4" s="1">
        <v>100</v>
      </c>
      <c r="C4" s="1">
        <v>1000</v>
      </c>
      <c r="D4">
        <f t="shared" ref="D4:D18" si="2">C4*0.000024085*15.68/2.57/1000</f>
        <v>1.4694661478599223E-4</v>
      </c>
      <c r="E4">
        <f t="shared" ref="E4:E18" si="3">B4*0.001137568*15.68/2.57/1000</f>
        <v>6.9404927003891058E-4</v>
      </c>
      <c r="F4">
        <f t="shared" ref="F4:F18" si="4">D4*36</f>
        <v>5.2900781322957205E-3</v>
      </c>
      <c r="G4">
        <f t="shared" ref="G4:G18" si="5">F4*3600</f>
        <v>19.044281276264595</v>
      </c>
      <c r="H4">
        <f t="shared" ref="H4:H18" si="6">E4*36</f>
        <v>2.4985773721400782E-2</v>
      </c>
      <c r="I4" s="2">
        <f t="shared" si="0"/>
        <v>245.6692631097084</v>
      </c>
      <c r="J4" s="2">
        <f t="shared" ref="J4:J18" si="7">H4/999.102*1000000*60</f>
        <v>1500.493866776412</v>
      </c>
      <c r="L4">
        <v>2036.6</v>
      </c>
      <c r="M4">
        <v>16.5</v>
      </c>
      <c r="N4">
        <v>19.899999999999999</v>
      </c>
      <c r="O4">
        <v>3.33</v>
      </c>
      <c r="P4">
        <v>4.0199999999999996</v>
      </c>
      <c r="U4">
        <f t="shared" si="1"/>
        <v>0.6899999999999995</v>
      </c>
      <c r="V4">
        <f t="shared" ref="V4:V10" si="8">(N4-M4)*L4</f>
        <v>6924.4399999999969</v>
      </c>
    </row>
    <row r="5" spans="1:22" x14ac:dyDescent="0.25">
      <c r="A5" s="1" t="s">
        <v>19</v>
      </c>
      <c r="B5" s="1">
        <v>125</v>
      </c>
      <c r="C5" s="1">
        <v>1500</v>
      </c>
      <c r="D5">
        <f t="shared" si="2"/>
        <v>2.204199221789883E-4</v>
      </c>
      <c r="E5">
        <f t="shared" si="3"/>
        <v>8.6756158754863831E-4</v>
      </c>
      <c r="F5">
        <f t="shared" si="4"/>
        <v>7.9351171984435795E-3</v>
      </c>
      <c r="G5">
        <f t="shared" si="5"/>
        <v>28.566421914396887</v>
      </c>
      <c r="H5">
        <f t="shared" si="6"/>
        <v>3.1232217151750979E-2</v>
      </c>
      <c r="I5" s="2">
        <f t="shared" si="0"/>
        <v>368.50389466456255</v>
      </c>
      <c r="J5" s="2">
        <f t="shared" si="7"/>
        <v>1875.6173334705152</v>
      </c>
      <c r="L5">
        <v>2555</v>
      </c>
      <c r="M5">
        <v>19.2</v>
      </c>
      <c r="N5">
        <v>21.2</v>
      </c>
      <c r="O5">
        <v>3.26</v>
      </c>
      <c r="P5">
        <v>4.2300000000000004</v>
      </c>
      <c r="U5">
        <f t="shared" si="1"/>
        <v>0.97000000000000064</v>
      </c>
      <c r="V5">
        <f t="shared" si="8"/>
        <v>5110</v>
      </c>
    </row>
    <row r="6" spans="1:22" x14ac:dyDescent="0.25">
      <c r="A6" s="1" t="s">
        <v>20</v>
      </c>
      <c r="B6" s="1">
        <v>150</v>
      </c>
      <c r="C6" s="1">
        <v>2000</v>
      </c>
      <c r="D6">
        <f t="shared" si="2"/>
        <v>2.9389322957198446E-4</v>
      </c>
      <c r="E6">
        <f t="shared" si="3"/>
        <v>1.0410739050583657E-3</v>
      </c>
      <c r="F6">
        <f t="shared" si="4"/>
        <v>1.0580156264591441E-2</v>
      </c>
      <c r="G6">
        <f t="shared" si="5"/>
        <v>38.08856255252919</v>
      </c>
      <c r="H6">
        <f t="shared" si="6"/>
        <v>3.7478660582101163E-2</v>
      </c>
      <c r="I6" s="2">
        <f t="shared" si="0"/>
        <v>491.33852621941679</v>
      </c>
      <c r="J6" s="2">
        <f t="shared" si="7"/>
        <v>2250.7408001646181</v>
      </c>
      <c r="L6">
        <v>3060.2</v>
      </c>
      <c r="M6">
        <v>20</v>
      </c>
      <c r="N6">
        <v>21.6</v>
      </c>
      <c r="O6">
        <v>4.1500000000000004</v>
      </c>
      <c r="P6">
        <v>5.54</v>
      </c>
      <c r="U6">
        <f>P6-O6</f>
        <v>1.3899999999999997</v>
      </c>
      <c r="V6">
        <f t="shared" si="8"/>
        <v>4896.3200000000043</v>
      </c>
    </row>
    <row r="7" spans="1:22" x14ac:dyDescent="0.25">
      <c r="A7" s="1" t="s">
        <v>21</v>
      </c>
      <c r="B7" s="1">
        <v>175</v>
      </c>
      <c r="C7" s="1">
        <v>2500</v>
      </c>
      <c r="D7">
        <f t="shared" si="2"/>
        <v>3.6736653696498056E-4</v>
      </c>
      <c r="E7">
        <f t="shared" si="3"/>
        <v>1.2145862225680934E-3</v>
      </c>
      <c r="F7">
        <f t="shared" si="4"/>
        <v>1.3225195330739299E-2</v>
      </c>
      <c r="G7">
        <f t="shared" si="5"/>
        <v>47.610703190661475</v>
      </c>
      <c r="H7">
        <f t="shared" si="6"/>
        <v>4.372510401245136E-2</v>
      </c>
      <c r="I7" s="2">
        <f t="shared" si="0"/>
        <v>614.17315777427086</v>
      </c>
      <c r="J7" s="2">
        <f t="shared" si="7"/>
        <v>2625.8642668587208</v>
      </c>
      <c r="L7">
        <v>3569.1</v>
      </c>
      <c r="M7">
        <v>21.9</v>
      </c>
      <c r="N7">
        <v>22.9</v>
      </c>
      <c r="O7">
        <v>4.9400000000000004</v>
      </c>
      <c r="P7">
        <v>6.84</v>
      </c>
      <c r="U7">
        <f>P7-O7</f>
        <v>1.8999999999999995</v>
      </c>
      <c r="V7">
        <f t="shared" si="8"/>
        <v>3569.1</v>
      </c>
    </row>
    <row r="8" spans="1:22" x14ac:dyDescent="0.25">
      <c r="A8" s="1" t="s">
        <v>22</v>
      </c>
      <c r="B8" s="1">
        <v>200</v>
      </c>
      <c r="C8" s="1">
        <v>3000</v>
      </c>
      <c r="D8">
        <f t="shared" si="2"/>
        <v>4.408398443579766E-4</v>
      </c>
      <c r="E8">
        <f t="shared" si="3"/>
        <v>1.3880985400778212E-3</v>
      </c>
      <c r="F8">
        <f t="shared" si="4"/>
        <v>1.5870234396887159E-2</v>
      </c>
      <c r="G8">
        <f t="shared" si="5"/>
        <v>57.132843828793774</v>
      </c>
      <c r="H8">
        <f t="shared" si="6"/>
        <v>4.9971547442801564E-2</v>
      </c>
      <c r="I8" s="2">
        <f t="shared" si="0"/>
        <v>737.0077893291251</v>
      </c>
      <c r="J8" s="2">
        <f t="shared" si="7"/>
        <v>3000.987733552824</v>
      </c>
      <c r="L8">
        <v>4080.6</v>
      </c>
      <c r="M8">
        <v>23.1</v>
      </c>
      <c r="N8">
        <v>25.2</v>
      </c>
      <c r="O8">
        <v>5.9</v>
      </c>
      <c r="P8">
        <v>8.39</v>
      </c>
      <c r="U8">
        <f>P8-O8</f>
        <v>2.4900000000000002</v>
      </c>
      <c r="V8">
        <f t="shared" si="8"/>
        <v>8569.2599999999911</v>
      </c>
    </row>
    <row r="9" spans="1:22" x14ac:dyDescent="0.25">
      <c r="A9" s="1" t="s">
        <v>23</v>
      </c>
      <c r="B9" s="1">
        <v>225</v>
      </c>
      <c r="C9" s="1">
        <v>3500</v>
      </c>
      <c r="D9">
        <f t="shared" si="2"/>
        <v>5.1431315175097265E-4</v>
      </c>
      <c r="E9">
        <f t="shared" si="3"/>
        <v>1.5616108575875489E-3</v>
      </c>
      <c r="F9">
        <f t="shared" si="4"/>
        <v>1.8515273463035015E-2</v>
      </c>
      <c r="G9">
        <f t="shared" si="5"/>
        <v>66.654984466926052</v>
      </c>
      <c r="H9">
        <f t="shared" si="6"/>
        <v>5.6217990873151762E-2</v>
      </c>
      <c r="I9" s="2">
        <f t="shared" si="0"/>
        <v>859.842420883979</v>
      </c>
      <c r="J9" s="2">
        <f t="shared" si="7"/>
        <v>3376.1112002469276</v>
      </c>
      <c r="L9">
        <v>4598.7</v>
      </c>
      <c r="M9">
        <v>25</v>
      </c>
      <c r="N9">
        <v>26.8</v>
      </c>
      <c r="O9">
        <v>6.48</v>
      </c>
      <c r="P9">
        <v>9.6199999999999992</v>
      </c>
      <c r="U9">
        <f>P9-O9</f>
        <v>3.1399999999999988</v>
      </c>
      <c r="V9">
        <f t="shared" si="8"/>
        <v>8277.6600000000035</v>
      </c>
    </row>
    <row r="10" spans="1:22" x14ac:dyDescent="0.25">
      <c r="A10" s="1" t="s">
        <v>24</v>
      </c>
      <c r="B10" s="1">
        <v>250</v>
      </c>
      <c r="C10" s="1">
        <v>4000</v>
      </c>
      <c r="D10">
        <f t="shared" si="2"/>
        <v>5.8778645914396891E-4</v>
      </c>
      <c r="E10">
        <f t="shared" si="3"/>
        <v>1.7351231750972766E-3</v>
      </c>
      <c r="F10">
        <f t="shared" si="4"/>
        <v>2.1160312529182882E-2</v>
      </c>
      <c r="G10">
        <f t="shared" si="5"/>
        <v>76.17712510505838</v>
      </c>
      <c r="H10">
        <f t="shared" si="6"/>
        <v>6.2464434303501959E-2</v>
      </c>
      <c r="I10" s="2">
        <f t="shared" si="0"/>
        <v>982.67705243883358</v>
      </c>
      <c r="J10" s="2">
        <f t="shared" si="7"/>
        <v>3751.2346669410304</v>
      </c>
      <c r="L10">
        <v>5107.5</v>
      </c>
      <c r="M10">
        <v>26.8</v>
      </c>
      <c r="N10">
        <v>27.2</v>
      </c>
      <c r="O10">
        <v>6.67</v>
      </c>
      <c r="P10">
        <v>10.56</v>
      </c>
      <c r="U10">
        <f>P10-O10</f>
        <v>3.8900000000000006</v>
      </c>
      <c r="V10">
        <f t="shared" si="8"/>
        <v>2042.9999999999927</v>
      </c>
    </row>
    <row r="11" spans="1:22" x14ac:dyDescent="0.25">
      <c r="A11" s="1" t="s">
        <v>25</v>
      </c>
      <c r="B11" s="1">
        <v>275</v>
      </c>
      <c r="C11" s="1">
        <v>4500</v>
      </c>
      <c r="D11">
        <f t="shared" si="2"/>
        <v>6.6125976653696507E-4</v>
      </c>
      <c r="E11">
        <f t="shared" si="3"/>
        <v>1.9086354926070043E-3</v>
      </c>
      <c r="F11">
        <f t="shared" si="4"/>
        <v>2.3805351595330742E-2</v>
      </c>
      <c r="G11">
        <f t="shared" si="5"/>
        <v>85.699265743190665</v>
      </c>
      <c r="H11">
        <f t="shared" si="6"/>
        <v>6.8710877733852149E-2</v>
      </c>
      <c r="I11" s="2">
        <f t="shared" si="0"/>
        <v>1105.5116839936877</v>
      </c>
      <c r="J11" s="2">
        <f t="shared" si="7"/>
        <v>4126.3581336351335</v>
      </c>
    </row>
    <row r="12" spans="1:22" x14ac:dyDescent="0.25">
      <c r="A12" s="1" t="s">
        <v>26</v>
      </c>
      <c r="B12" s="1">
        <v>300</v>
      </c>
      <c r="C12" s="1">
        <v>5000</v>
      </c>
      <c r="D12">
        <f t="shared" si="2"/>
        <v>7.3473307392996111E-4</v>
      </c>
      <c r="E12">
        <f t="shared" si="3"/>
        <v>2.0821478101167314E-3</v>
      </c>
      <c r="F12">
        <f t="shared" si="4"/>
        <v>2.6450390661478598E-2</v>
      </c>
      <c r="G12">
        <f t="shared" si="5"/>
        <v>95.22140638132295</v>
      </c>
      <c r="H12">
        <f t="shared" si="6"/>
        <v>7.4957321164202326E-2</v>
      </c>
      <c r="I12" s="2">
        <f t="shared" si="0"/>
        <v>1228.3463155485417</v>
      </c>
      <c r="J12" s="2">
        <f t="shared" si="7"/>
        <v>4501.4816003292362</v>
      </c>
    </row>
    <row r="13" spans="1:22" x14ac:dyDescent="0.25">
      <c r="A13" s="1" t="s">
        <v>27</v>
      </c>
      <c r="B13" s="1">
        <v>325</v>
      </c>
      <c r="C13" s="1">
        <v>5500</v>
      </c>
      <c r="D13">
        <f t="shared" si="2"/>
        <v>8.0820638132295737E-4</v>
      </c>
      <c r="E13">
        <f t="shared" si="3"/>
        <v>2.2556601276264594E-3</v>
      </c>
      <c r="F13">
        <f t="shared" si="4"/>
        <v>2.9095429727626465E-2</v>
      </c>
      <c r="G13">
        <f t="shared" si="5"/>
        <v>104.74354701945528</v>
      </c>
      <c r="H13">
        <f t="shared" si="6"/>
        <v>8.120376459455253E-2</v>
      </c>
      <c r="I13" s="2">
        <f t="shared" si="0"/>
        <v>1351.1809471033962</v>
      </c>
      <c r="J13" s="2">
        <f t="shared" si="7"/>
        <v>4876.605067023339</v>
      </c>
    </row>
    <row r="14" spans="1:22" x14ac:dyDescent="0.25">
      <c r="A14" s="1" t="s">
        <v>28</v>
      </c>
      <c r="B14" s="1">
        <v>350</v>
      </c>
      <c r="C14" s="1">
        <v>6000</v>
      </c>
      <c r="D14">
        <f t="shared" si="2"/>
        <v>8.816796887159532E-4</v>
      </c>
      <c r="E14">
        <f t="shared" si="3"/>
        <v>2.4291724451361869E-3</v>
      </c>
      <c r="F14">
        <f t="shared" si="4"/>
        <v>3.1740468793774318E-2</v>
      </c>
      <c r="G14">
        <f t="shared" si="5"/>
        <v>114.26568765758755</v>
      </c>
      <c r="H14">
        <f t="shared" si="6"/>
        <v>8.745020802490272E-2</v>
      </c>
      <c r="I14" s="2">
        <f t="shared" si="0"/>
        <v>1474.0155786582502</v>
      </c>
      <c r="J14" s="2">
        <f t="shared" si="7"/>
        <v>5251.7285337174417</v>
      </c>
    </row>
    <row r="15" spans="1:22" x14ac:dyDescent="0.25">
      <c r="A15" s="1" t="s">
        <v>29</v>
      </c>
      <c r="B15" s="1">
        <v>375</v>
      </c>
      <c r="C15" s="1">
        <v>6500</v>
      </c>
      <c r="D15">
        <f t="shared" si="2"/>
        <v>9.5515299610894958E-4</v>
      </c>
      <c r="E15">
        <f t="shared" si="3"/>
        <v>2.6026847626459148E-3</v>
      </c>
      <c r="F15">
        <f t="shared" si="4"/>
        <v>3.4385507859922185E-2</v>
      </c>
      <c r="G15">
        <f t="shared" si="5"/>
        <v>123.78782829571986</v>
      </c>
      <c r="H15">
        <f t="shared" si="6"/>
        <v>9.3696651455252938E-2</v>
      </c>
      <c r="I15" s="2">
        <f t="shared" si="0"/>
        <v>1596.8502102131044</v>
      </c>
      <c r="J15" s="2">
        <f t="shared" si="7"/>
        <v>5626.8520004115462</v>
      </c>
    </row>
    <row r="16" spans="1:22" x14ac:dyDescent="0.25">
      <c r="A16" s="1" t="s">
        <v>30</v>
      </c>
      <c r="B16" s="1">
        <v>400</v>
      </c>
      <c r="C16" s="1">
        <v>7000</v>
      </c>
      <c r="D16">
        <f t="shared" si="2"/>
        <v>1.0286263035019453E-3</v>
      </c>
      <c r="E16">
        <f t="shared" si="3"/>
        <v>2.7761970801556423E-3</v>
      </c>
      <c r="F16">
        <f t="shared" si="4"/>
        <v>3.7030546926070031E-2</v>
      </c>
      <c r="G16">
        <f t="shared" si="5"/>
        <v>133.3099689338521</v>
      </c>
      <c r="H16">
        <f t="shared" si="6"/>
        <v>9.9943094885603129E-2</v>
      </c>
      <c r="I16" s="2">
        <f t="shared" si="0"/>
        <v>1719.684841767958</v>
      </c>
      <c r="J16" s="2">
        <f t="shared" si="7"/>
        <v>6001.975467105648</v>
      </c>
    </row>
    <row r="17" spans="1:10" x14ac:dyDescent="0.25">
      <c r="A17" s="1" t="s">
        <v>31</v>
      </c>
      <c r="B17" s="1">
        <v>425</v>
      </c>
      <c r="C17" s="1">
        <v>7500</v>
      </c>
      <c r="D17">
        <f t="shared" si="2"/>
        <v>1.1020996108949417E-3</v>
      </c>
      <c r="E17">
        <f t="shared" si="3"/>
        <v>2.9497093976653698E-3</v>
      </c>
      <c r="F17">
        <f t="shared" si="4"/>
        <v>3.9675585992217897E-2</v>
      </c>
      <c r="G17">
        <f t="shared" si="5"/>
        <v>142.83210957198443</v>
      </c>
      <c r="H17">
        <f t="shared" si="6"/>
        <v>0.10618953831595332</v>
      </c>
      <c r="I17" s="2">
        <f t="shared" si="0"/>
        <v>1842.5194733228125</v>
      </c>
      <c r="J17" s="2">
        <f t="shared" si="7"/>
        <v>6377.0989337997507</v>
      </c>
    </row>
    <row r="18" spans="1:10" x14ac:dyDescent="0.25">
      <c r="A18" s="1" t="s">
        <v>32</v>
      </c>
      <c r="B18" s="1">
        <v>450</v>
      </c>
      <c r="C18" s="1">
        <v>8100</v>
      </c>
      <c r="D18">
        <f t="shared" si="2"/>
        <v>1.1902675797665369E-3</v>
      </c>
      <c r="E18">
        <f t="shared" si="3"/>
        <v>3.1232217151750978E-3</v>
      </c>
      <c r="F18">
        <f t="shared" si="4"/>
        <v>4.2849632871595329E-2</v>
      </c>
      <c r="G18">
        <f t="shared" si="5"/>
        <v>154.25867833774319</v>
      </c>
      <c r="H18">
        <f t="shared" si="6"/>
        <v>0.11243598174630352</v>
      </c>
      <c r="I18" s="2">
        <f t="shared" si="0"/>
        <v>1989.9210311886377</v>
      </c>
      <c r="J18" s="2">
        <f t="shared" si="7"/>
        <v>6752.2224004938553</v>
      </c>
    </row>
    <row r="19" spans="1:10" x14ac:dyDescent="0.25">
      <c r="A19" s="1"/>
      <c r="B19" s="1"/>
      <c r="C19" s="1"/>
    </row>
    <row r="20" spans="1:10" x14ac:dyDescent="0.25">
      <c r="A20" s="1"/>
      <c r="B20" s="1"/>
      <c r="C20" s="1"/>
    </row>
    <row r="21" spans="1:10" x14ac:dyDescent="0.25">
      <c r="A21" s="1"/>
      <c r="B21" s="1"/>
      <c r="C21" s="1"/>
    </row>
    <row r="22" spans="1:10" x14ac:dyDescent="0.25">
      <c r="A22" s="1"/>
      <c r="B22" s="1"/>
      <c r="C22" s="1"/>
    </row>
    <row r="23" spans="1:10" x14ac:dyDescent="0.25">
      <c r="A23" s="1"/>
      <c r="B23" s="1"/>
      <c r="C23" s="1"/>
    </row>
    <row r="24" spans="1:10" x14ac:dyDescent="0.25">
      <c r="A24" s="1"/>
      <c r="B24" s="1"/>
      <c r="C24" s="1"/>
    </row>
    <row r="25" spans="1:10" x14ac:dyDescent="0.25">
      <c r="A25" s="1"/>
      <c r="B25" s="1"/>
      <c r="C25" s="1"/>
    </row>
    <row r="26" spans="1:10" x14ac:dyDescent="0.25">
      <c r="A26" s="1"/>
      <c r="B26" s="1"/>
      <c r="C26" s="1"/>
    </row>
    <row r="27" spans="1:10" x14ac:dyDescent="0.25">
      <c r="A27" s="1"/>
      <c r="B27" s="1"/>
      <c r="C27" s="1"/>
    </row>
    <row r="28" spans="1:10" x14ac:dyDescent="0.25">
      <c r="A28" s="1"/>
      <c r="B28" s="1"/>
      <c r="C28" s="1"/>
    </row>
    <row r="29" spans="1:10" x14ac:dyDescent="0.25">
      <c r="A29" s="1"/>
      <c r="B29" s="1"/>
      <c r="C29" s="1"/>
    </row>
    <row r="30" spans="1:10" x14ac:dyDescent="0.25">
      <c r="A30" s="1"/>
      <c r="B30" s="1"/>
      <c r="C30" s="1"/>
    </row>
    <row r="31" spans="1:10" x14ac:dyDescent="0.25">
      <c r="A31" s="1"/>
      <c r="B31" s="1"/>
      <c r="C31" s="1"/>
    </row>
    <row r="32" spans="1:10" x14ac:dyDescent="0.25">
      <c r="A32" s="1"/>
      <c r="B32" s="1"/>
      <c r="C32" s="1"/>
    </row>
    <row r="33" spans="1:24" x14ac:dyDescent="0.25">
      <c r="A33" s="1"/>
      <c r="B33" s="1"/>
      <c r="C33" s="1"/>
    </row>
    <row r="34" spans="1:24" x14ac:dyDescent="0.25">
      <c r="A34" s="1"/>
      <c r="B34" s="1"/>
      <c r="C34" s="1"/>
    </row>
    <row r="36" spans="1:24" x14ac:dyDescent="0.25">
      <c r="D36" s="1"/>
    </row>
    <row r="37" spans="1:24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</row>
    <row r="39" spans="1:24" x14ac:dyDescent="0.25">
      <c r="A39" s="1"/>
      <c r="B39" s="1"/>
      <c r="C39" s="1"/>
    </row>
    <row r="40" spans="1:24" x14ac:dyDescent="0.25">
      <c r="A40" s="1"/>
      <c r="B40" s="1"/>
      <c r="C40" s="1"/>
    </row>
    <row r="41" spans="1:24" x14ac:dyDescent="0.25">
      <c r="A41" s="1"/>
      <c r="B41" s="1"/>
      <c r="C41" s="1"/>
    </row>
    <row r="42" spans="1:24" x14ac:dyDescent="0.25">
      <c r="A42" s="1"/>
      <c r="B42" s="1"/>
      <c r="C42" s="1"/>
    </row>
    <row r="43" spans="1:24" x14ac:dyDescent="0.25">
      <c r="A43" s="1"/>
      <c r="B43" s="1"/>
      <c r="C43" s="1"/>
    </row>
    <row r="44" spans="1:24" x14ac:dyDescent="0.25">
      <c r="A44" s="1"/>
      <c r="B44" s="1"/>
      <c r="C44" s="1"/>
    </row>
    <row r="45" spans="1:24" x14ac:dyDescent="0.25">
      <c r="A45" s="1"/>
      <c r="B45" s="1"/>
      <c r="C45" s="1"/>
    </row>
    <row r="46" spans="1:24" x14ac:dyDescent="0.25">
      <c r="A46" s="1"/>
      <c r="B46" s="1"/>
      <c r="C46" s="1"/>
    </row>
    <row r="47" spans="1:24" x14ac:dyDescent="0.25">
      <c r="A47" s="1"/>
      <c r="B47" s="1"/>
      <c r="C47" s="1"/>
    </row>
    <row r="48" spans="1:24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194D-658C-4175-93A4-796562C1F5E1}">
  <dimension ref="A1:F16"/>
  <sheetViews>
    <sheetView tabSelected="1" workbookViewId="0">
      <selection activeCell="H10" sqref="H10"/>
    </sheetView>
  </sheetViews>
  <sheetFormatPr defaultRowHeight="13.8" x14ac:dyDescent="0.25"/>
  <cols>
    <col min="1" max="1" width="11.33203125" customWidth="1"/>
    <col min="2" max="2" width="17.6640625" customWidth="1"/>
    <col min="3" max="3" width="12.6640625" customWidth="1"/>
    <col min="4" max="4" width="10.109375" customWidth="1"/>
    <col min="5" max="5" width="8.5546875" customWidth="1"/>
  </cols>
  <sheetData>
    <row r="1" spans="1:6" ht="16.8" x14ac:dyDescent="0.25">
      <c r="A1" s="9">
        <v>122.98399999999999</v>
      </c>
      <c r="B1" s="9">
        <v>495.92</v>
      </c>
      <c r="C1" s="10">
        <v>101820.92</v>
      </c>
      <c r="D1" s="9">
        <v>0.89600000000000002</v>
      </c>
      <c r="F1">
        <v>0.89600000000000002</v>
      </c>
    </row>
    <row r="2" spans="1:6" ht="16.8" x14ac:dyDescent="0.25">
      <c r="A2" s="9">
        <v>123.422</v>
      </c>
      <c r="B2" s="10">
        <v>4685.49</v>
      </c>
      <c r="C2" s="10">
        <v>106010.49</v>
      </c>
      <c r="D2" s="9">
        <v>0.93100000000000005</v>
      </c>
      <c r="F2">
        <v>0.93100000000000005</v>
      </c>
    </row>
    <row r="3" spans="1:6" ht="16.8" x14ac:dyDescent="0.25">
      <c r="A3" s="9">
        <v>126.161</v>
      </c>
      <c r="B3" s="10">
        <v>9818.9599999999991</v>
      </c>
      <c r="C3" s="10">
        <v>111143.96</v>
      </c>
      <c r="D3" s="9">
        <v>0.97</v>
      </c>
      <c r="F3">
        <v>0.97</v>
      </c>
    </row>
    <row r="4" spans="1:6" ht="16.8" x14ac:dyDescent="0.25">
      <c r="A4" s="9">
        <v>141.46199999999999</v>
      </c>
      <c r="B4" s="10">
        <v>16435.38</v>
      </c>
      <c r="C4" s="10">
        <v>117760.38</v>
      </c>
      <c r="D4" s="9">
        <v>0.98899999999999999</v>
      </c>
      <c r="F4">
        <v>0.98899999999999999</v>
      </c>
    </row>
    <row r="5" spans="1:6" ht="16.8" x14ac:dyDescent="0.25">
      <c r="A5" s="9">
        <v>144.446</v>
      </c>
      <c r="B5" s="10">
        <v>33242.06</v>
      </c>
      <c r="C5" s="10">
        <v>134567.06</v>
      </c>
      <c r="D5" s="9">
        <v>1.123</v>
      </c>
      <c r="F5">
        <v>1.123</v>
      </c>
    </row>
    <row r="6" spans="1:6" ht="16.8" x14ac:dyDescent="0.25">
      <c r="A6" s="9">
        <v>138.38499999999999</v>
      </c>
      <c r="B6" s="10">
        <v>55299.11</v>
      </c>
      <c r="C6" s="10">
        <v>156624.10999999999</v>
      </c>
      <c r="D6" s="9">
        <v>1.3260000000000001</v>
      </c>
      <c r="F6">
        <v>1.3260000000000001</v>
      </c>
    </row>
    <row r="7" spans="1:6" ht="16.8" x14ac:dyDescent="0.25">
      <c r="A7" s="9">
        <v>144.57</v>
      </c>
      <c r="B7" s="10">
        <v>67409.5</v>
      </c>
      <c r="C7" s="10">
        <v>168734.5</v>
      </c>
      <c r="D7" s="9">
        <v>1.4079999999999999</v>
      </c>
      <c r="F7">
        <v>1.4079999999999999</v>
      </c>
    </row>
    <row r="8" spans="1:6" ht="16.8" x14ac:dyDescent="0.25">
      <c r="A8" s="9">
        <v>143.64400000000001</v>
      </c>
      <c r="B8" s="10">
        <v>74872.12</v>
      </c>
      <c r="C8" s="10">
        <v>176197.12</v>
      </c>
      <c r="D8" s="9">
        <v>1.4730000000000001</v>
      </c>
      <c r="F8">
        <v>1.4730000000000001</v>
      </c>
    </row>
    <row r="9" spans="1:6" ht="16.8" x14ac:dyDescent="0.25">
      <c r="A9" s="9">
        <v>135.14500000000001</v>
      </c>
      <c r="B9" s="10">
        <v>88705.68</v>
      </c>
      <c r="C9" s="10">
        <v>190030.68</v>
      </c>
      <c r="D9" s="9">
        <v>1.6220000000000001</v>
      </c>
      <c r="F9">
        <v>1.6220000000000001</v>
      </c>
    </row>
    <row r="10" spans="1:6" ht="16.8" x14ac:dyDescent="0.25">
      <c r="A10" s="9">
        <v>127.34399999999999</v>
      </c>
      <c r="B10" s="10">
        <v>101310.02</v>
      </c>
      <c r="C10" s="10">
        <v>202635.02</v>
      </c>
      <c r="D10" s="9">
        <v>1.7629999999999999</v>
      </c>
      <c r="F10">
        <v>1.7629999999999999</v>
      </c>
    </row>
    <row r="11" spans="1:6" ht="16.8" x14ac:dyDescent="0.25">
      <c r="A11" s="9">
        <v>120.208</v>
      </c>
      <c r="B11" s="10">
        <v>113465.86</v>
      </c>
      <c r="C11" s="10">
        <v>214790.86</v>
      </c>
      <c r="D11" s="9">
        <v>1.9019999999999999</v>
      </c>
      <c r="F11">
        <v>1.9019999999999999</v>
      </c>
    </row>
    <row r="12" spans="1:6" ht="16.8" x14ac:dyDescent="0.25">
      <c r="A12" s="9">
        <v>114.54900000000001</v>
      </c>
      <c r="B12" s="10">
        <v>124777.31</v>
      </c>
      <c r="C12" s="10">
        <v>226102.31</v>
      </c>
      <c r="D12" s="9">
        <v>2.032</v>
      </c>
      <c r="F12">
        <v>2.032</v>
      </c>
    </row>
    <row r="13" spans="1:6" ht="16.8" x14ac:dyDescent="0.25">
      <c r="A13" s="9">
        <v>118.941</v>
      </c>
      <c r="B13" s="10">
        <v>142674.12</v>
      </c>
      <c r="C13" s="10">
        <v>243999.12</v>
      </c>
      <c r="D13" s="9">
        <v>2.1680000000000001</v>
      </c>
      <c r="F13">
        <v>2.1680000000000001</v>
      </c>
    </row>
    <row r="14" spans="1:6" ht="16.8" x14ac:dyDescent="0.25">
      <c r="A14" s="9">
        <v>104.851</v>
      </c>
      <c r="B14" s="10">
        <v>146477.24</v>
      </c>
      <c r="C14" s="10">
        <v>247802.23999999999</v>
      </c>
      <c r="D14" s="9">
        <v>2.2850000000000001</v>
      </c>
      <c r="F14">
        <v>2.2850000000000001</v>
      </c>
    </row>
    <row r="15" spans="1:6" ht="16.8" x14ac:dyDescent="0.25">
      <c r="A15" s="9">
        <v>99.573999999999998</v>
      </c>
      <c r="B15" s="10">
        <v>158778.03</v>
      </c>
      <c r="C15" s="10">
        <v>260103.03</v>
      </c>
      <c r="D15" s="9">
        <v>2.4319999999999999</v>
      </c>
      <c r="F15">
        <v>2.4319999999999999</v>
      </c>
    </row>
    <row r="16" spans="1:6" ht="16.8" x14ac:dyDescent="0.25">
      <c r="A16" s="9">
        <v>94.11</v>
      </c>
      <c r="B16" s="10">
        <v>173104.05</v>
      </c>
      <c r="C16" s="10">
        <v>274429.05</v>
      </c>
      <c r="D16" s="9">
        <v>2.605</v>
      </c>
      <c r="F16">
        <v>2.605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张月亮</dc:creator>
  <cp:lastModifiedBy>Lu Alex</cp:lastModifiedBy>
  <dcterms:created xsi:type="dcterms:W3CDTF">2015-06-05T18:19:00Z</dcterms:created>
  <dcterms:modified xsi:type="dcterms:W3CDTF">2026-06-11T10:23:43Z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524EA06A76C2456C8AB639582DE92FC0</vt:lpwstr>
  </property>
  <property fmtid="{D5CDD505-2E9C-101B-9397-08002B2CF9AE}" pid="3" name="KSOProductBuildVer">
    <vt:lpwstr>2052-11.1.0.13703</vt:lpwstr>
  </property>
</Properties>
</file>