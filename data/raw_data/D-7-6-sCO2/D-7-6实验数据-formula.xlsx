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09博士期间资料\06项目资料\上海电气辅机厂超二项目\07实验记录\临时文件\"/>
    </mc:Choice>
  </mc:AlternateContent>
  <xr:revisionPtr revIDLastSave="0" documentId="13_ncr:1_{CEA0D1CF-8403-4DE0-A14F-1852CCB4EBCD}" xr6:coauthVersionLast="47" xr6:coauthVersionMax="47" xr10:uidLastSave="{00000000-0000-0000-0000-000000000000}"/>
  <bookViews>
    <workbookView xWindow="-108" yWindow="-108" windowWidth="23256" windowHeight="12456" tabRatio="599" activeTab="1" xr2:uid="{00000000-000D-0000-FFFF-FFFF00000000}"/>
  </bookViews>
  <sheets>
    <sheet name="实验数据处理" sheetId="1" r:id="rId1"/>
    <sheet name="无公式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6" i="1" l="1"/>
  <c r="Y6" i="1"/>
  <c r="AA6" i="1"/>
  <c r="AB6" i="1"/>
  <c r="AG6" i="1"/>
  <c r="AH6" i="1"/>
  <c r="U7" i="1"/>
  <c r="Y7" i="1"/>
  <c r="AA7" i="1"/>
  <c r="AB7" i="1"/>
  <c r="AG7" i="1"/>
  <c r="AH7" i="1"/>
  <c r="U8" i="1"/>
  <c r="Y8" i="1"/>
  <c r="AA8" i="1"/>
  <c r="AB8" i="1"/>
  <c r="AG8" i="1"/>
  <c r="AH8" i="1"/>
  <c r="U9" i="1"/>
  <c r="Y9" i="1"/>
  <c r="AA9" i="1"/>
  <c r="AB9" i="1"/>
  <c r="AG9" i="1"/>
  <c r="AH9" i="1"/>
  <c r="U10" i="1"/>
  <c r="Y10" i="1"/>
  <c r="AA10" i="1"/>
  <c r="AB10" i="1"/>
  <c r="AG10" i="1"/>
  <c r="AH10" i="1"/>
  <c r="U11" i="1"/>
  <c r="Y11" i="1"/>
  <c r="AA11" i="1"/>
  <c r="AB11" i="1"/>
  <c r="AG11" i="1"/>
  <c r="AH11" i="1"/>
  <c r="U12" i="1"/>
  <c r="Y12" i="1"/>
  <c r="AA12" i="1"/>
  <c r="AB12" i="1"/>
  <c r="AG12" i="1"/>
  <c r="AH12" i="1"/>
  <c r="U13" i="1"/>
  <c r="Y13" i="1"/>
  <c r="AA13" i="1"/>
  <c r="AB13" i="1"/>
  <c r="AG13" i="1"/>
  <c r="AH13" i="1"/>
  <c r="U14" i="1"/>
  <c r="Y14" i="1"/>
  <c r="AA14" i="1"/>
  <c r="AB14" i="1"/>
  <c r="AG14" i="1"/>
  <c r="AH14" i="1"/>
  <c r="U15" i="1"/>
  <c r="Y15" i="1"/>
  <c r="AA15" i="1"/>
  <c r="AB15" i="1"/>
  <c r="AG15" i="1"/>
  <c r="AH15" i="1"/>
  <c r="U16" i="1"/>
  <c r="Y16" i="1"/>
  <c r="AA16" i="1"/>
  <c r="AB16" i="1"/>
  <c r="AG16" i="1"/>
  <c r="AH16" i="1"/>
  <c r="U17" i="1"/>
  <c r="Y17" i="1"/>
  <c r="AA17" i="1"/>
  <c r="AB17" i="1"/>
  <c r="AG17" i="1"/>
  <c r="AH17" i="1"/>
  <c r="U18" i="1"/>
  <c r="Y18" i="1"/>
  <c r="AA18" i="1"/>
  <c r="AB18" i="1"/>
  <c r="AG18" i="1"/>
  <c r="AH18" i="1"/>
  <c r="U19" i="1"/>
  <c r="Y19" i="1"/>
  <c r="AA19" i="1"/>
  <c r="AB19" i="1"/>
  <c r="AG19" i="1"/>
  <c r="AH19" i="1"/>
  <c r="U20" i="1"/>
  <c r="Y20" i="1"/>
  <c r="AA20" i="1"/>
  <c r="AB20" i="1"/>
  <c r="AG20" i="1"/>
  <c r="AH20" i="1"/>
  <c r="U21" i="1"/>
  <c r="Y21" i="1"/>
  <c r="AA21" i="1"/>
  <c r="AB21" i="1"/>
  <c r="AG21" i="1"/>
  <c r="AH21" i="1"/>
  <c r="U22" i="1"/>
  <c r="Y22" i="1"/>
  <c r="AA22" i="1"/>
  <c r="AB22" i="1"/>
  <c r="AG22" i="1"/>
  <c r="AH22" i="1"/>
  <c r="U23" i="1"/>
  <c r="Y23" i="1"/>
  <c r="AA23" i="1"/>
  <c r="AB23" i="1"/>
  <c r="AG23" i="1"/>
  <c r="AH23" i="1"/>
  <c r="U24" i="1"/>
  <c r="Y24" i="1"/>
  <c r="AA24" i="1"/>
  <c r="AB24" i="1"/>
  <c r="AG24" i="1"/>
  <c r="AH24" i="1"/>
  <c r="U25" i="1"/>
  <c r="Y25" i="1"/>
  <c r="AA25" i="1"/>
  <c r="AB25" i="1"/>
  <c r="AG25" i="1"/>
  <c r="AH25" i="1"/>
  <c r="U26" i="1"/>
  <c r="Y26" i="1"/>
  <c r="AA26" i="1"/>
  <c r="AB26" i="1"/>
  <c r="AG26" i="1"/>
  <c r="AH26" i="1"/>
  <c r="U27" i="1"/>
  <c r="Y27" i="1"/>
  <c r="AA27" i="1"/>
  <c r="AB27" i="1"/>
  <c r="AG27" i="1"/>
  <c r="AH27" i="1"/>
  <c r="U28" i="1"/>
  <c r="Y28" i="1"/>
  <c r="AA28" i="1"/>
  <c r="AB28" i="1"/>
  <c r="AG28" i="1"/>
  <c r="AH28" i="1"/>
  <c r="U29" i="1"/>
  <c r="Y29" i="1"/>
  <c r="AA29" i="1"/>
  <c r="AB29" i="1"/>
  <c r="AG29" i="1"/>
  <c r="AU29" i="1" s="1"/>
  <c r="AH29" i="1"/>
  <c r="U30" i="1"/>
  <c r="Y30" i="1"/>
  <c r="AA30" i="1"/>
  <c r="AU30" i="1" s="1"/>
  <c r="AB30" i="1"/>
  <c r="AG30" i="1"/>
  <c r="AH30" i="1"/>
  <c r="U31" i="1"/>
  <c r="Y31" i="1"/>
  <c r="AA31" i="1"/>
  <c r="AU31" i="1" s="1"/>
  <c r="AB31" i="1"/>
  <c r="AG31" i="1"/>
  <c r="AH31" i="1"/>
  <c r="U32" i="1"/>
  <c r="Y32" i="1"/>
  <c r="AA32" i="1"/>
  <c r="AB32" i="1"/>
  <c r="AG32" i="1"/>
  <c r="AH32" i="1"/>
  <c r="U33" i="1"/>
  <c r="Y33" i="1"/>
  <c r="AA33" i="1"/>
  <c r="AU33" i="1" s="1"/>
  <c r="AB33" i="1"/>
  <c r="AG33" i="1"/>
  <c r="AH33" i="1"/>
  <c r="U34" i="1"/>
  <c r="Y34" i="1"/>
  <c r="AA34" i="1"/>
  <c r="AU34" i="1" s="1"/>
  <c r="AB34" i="1"/>
  <c r="AG34" i="1"/>
  <c r="AH34" i="1"/>
  <c r="U35" i="1"/>
  <c r="Y35" i="1"/>
  <c r="AA35" i="1"/>
  <c r="AB35" i="1"/>
  <c r="AG35" i="1"/>
  <c r="AH35" i="1"/>
  <c r="U36" i="1"/>
  <c r="Y36" i="1"/>
  <c r="AA36" i="1"/>
  <c r="AB36" i="1"/>
  <c r="AG36" i="1"/>
  <c r="AH36" i="1"/>
  <c r="U37" i="1"/>
  <c r="Y37" i="1"/>
  <c r="AA37" i="1"/>
  <c r="AB37" i="1"/>
  <c r="AG37" i="1"/>
  <c r="AH37" i="1"/>
  <c r="AU37" i="1"/>
  <c r="U38" i="1"/>
  <c r="Y38" i="1"/>
  <c r="AA38" i="1"/>
  <c r="AB38" i="1"/>
  <c r="AG38" i="1"/>
  <c r="AH38" i="1"/>
  <c r="U39" i="1"/>
  <c r="Y39" i="1"/>
  <c r="AA39" i="1"/>
  <c r="AB39" i="1"/>
  <c r="AG39" i="1"/>
  <c r="AH39" i="1"/>
  <c r="U40" i="1"/>
  <c r="Y40" i="1"/>
  <c r="AA40" i="1"/>
  <c r="AB40" i="1"/>
  <c r="AG40" i="1"/>
  <c r="AH40" i="1"/>
  <c r="U41" i="1"/>
  <c r="Y41" i="1"/>
  <c r="AA41" i="1"/>
  <c r="AU41" i="1" s="1"/>
  <c r="AB41" i="1"/>
  <c r="AG41" i="1"/>
  <c r="AH41" i="1"/>
  <c r="U42" i="1"/>
  <c r="Y42" i="1"/>
  <c r="AA42" i="1"/>
  <c r="AB42" i="1"/>
  <c r="AG42" i="1"/>
  <c r="AU42" i="1" s="1"/>
  <c r="AH42" i="1"/>
  <c r="U43" i="1"/>
  <c r="Y43" i="1"/>
  <c r="AA43" i="1"/>
  <c r="AB43" i="1"/>
  <c r="AG43" i="1"/>
  <c r="AH43" i="1"/>
  <c r="U44" i="1"/>
  <c r="Y44" i="1"/>
  <c r="AA44" i="1"/>
  <c r="AB44" i="1"/>
  <c r="AG44" i="1"/>
  <c r="AH44" i="1"/>
  <c r="U45" i="1"/>
  <c r="Y45" i="1"/>
  <c r="AA45" i="1"/>
  <c r="AB45" i="1"/>
  <c r="AG45" i="1"/>
  <c r="AH45" i="1"/>
  <c r="U46" i="1"/>
  <c r="Y46" i="1"/>
  <c r="AA46" i="1"/>
  <c r="AB46" i="1"/>
  <c r="AG46" i="1"/>
  <c r="AH46" i="1"/>
  <c r="U47" i="1"/>
  <c r="Y47" i="1"/>
  <c r="AA47" i="1"/>
  <c r="AB47" i="1"/>
  <c r="AG47" i="1"/>
  <c r="AH47" i="1"/>
  <c r="U48" i="1"/>
  <c r="Y48" i="1"/>
  <c r="AA48" i="1"/>
  <c r="AB48" i="1"/>
  <c r="AG48" i="1"/>
  <c r="AH48" i="1"/>
  <c r="U49" i="1"/>
  <c r="Y49" i="1"/>
  <c r="AA49" i="1"/>
  <c r="AB49" i="1"/>
  <c r="AG49" i="1"/>
  <c r="AH49" i="1"/>
  <c r="U50" i="1"/>
  <c r="Y50" i="1"/>
  <c r="AA50" i="1"/>
  <c r="AB50" i="1"/>
  <c r="AG50" i="1"/>
  <c r="AH50" i="1"/>
  <c r="U51" i="1"/>
  <c r="Y51" i="1"/>
  <c r="AA51" i="1"/>
  <c r="AB51" i="1"/>
  <c r="AG51" i="1"/>
  <c r="AH51" i="1"/>
  <c r="U52" i="1"/>
  <c r="Y52" i="1"/>
  <c r="AA52" i="1"/>
  <c r="AB52" i="1"/>
  <c r="AG52" i="1"/>
  <c r="AH52" i="1"/>
  <c r="U53" i="1"/>
  <c r="Y53" i="1"/>
  <c r="AA53" i="1"/>
  <c r="AB53" i="1"/>
  <c r="AG53" i="1"/>
  <c r="AH53" i="1"/>
  <c r="U54" i="1"/>
  <c r="Y54" i="1"/>
  <c r="AA54" i="1"/>
  <c r="AB54" i="1"/>
  <c r="AG54" i="1"/>
  <c r="AH54" i="1"/>
  <c r="U55" i="1"/>
  <c r="Y55" i="1"/>
  <c r="AA55" i="1"/>
  <c r="AB55" i="1"/>
  <c r="AG55" i="1"/>
  <c r="AH55" i="1"/>
  <c r="S42" i="1"/>
  <c r="AE33" i="1"/>
  <c r="AC28" i="1"/>
  <c r="AD37" i="1"/>
  <c r="R53" i="1"/>
  <c r="V47" i="1"/>
  <c r="V26" i="1"/>
  <c r="AJ17" i="1"/>
  <c r="AF32" i="1"/>
  <c r="W20" i="1"/>
  <c r="R23" i="1"/>
  <c r="R31" i="1"/>
  <c r="AJ23" i="1"/>
  <c r="R38" i="1"/>
  <c r="W46" i="1"/>
  <c r="AI19" i="1"/>
  <c r="AL46" i="1"/>
  <c r="AJ37" i="1"/>
  <c r="R35" i="1"/>
  <c r="R8" i="1"/>
  <c r="AJ21" i="1"/>
  <c r="AK43" i="1"/>
  <c r="AF38" i="1"/>
  <c r="AL45" i="1"/>
  <c r="W27" i="1"/>
  <c r="AJ24" i="1"/>
  <c r="AI30" i="1"/>
  <c r="S48" i="1"/>
  <c r="W32" i="1"/>
  <c r="AI29" i="1"/>
  <c r="R19" i="1"/>
  <c r="AC8" i="1"/>
  <c r="S6" i="1"/>
  <c r="AC44" i="1"/>
  <c r="AK49" i="1"/>
  <c r="AK36" i="1"/>
  <c r="AD31" i="1"/>
  <c r="S50" i="1"/>
  <c r="R33" i="1"/>
  <c r="AI8" i="1"/>
  <c r="AJ39" i="1"/>
  <c r="AK46" i="1"/>
  <c r="AC32" i="1"/>
  <c r="V30" i="1"/>
  <c r="AL50" i="1"/>
  <c r="W12" i="1"/>
  <c r="AD50" i="1"/>
  <c r="AK50" i="1"/>
  <c r="V44" i="1"/>
  <c r="V52" i="1"/>
  <c r="W30" i="1"/>
  <c r="AI51" i="1"/>
  <c r="S24" i="1"/>
  <c r="V14" i="1"/>
  <c r="W13" i="1"/>
  <c r="AD38" i="1"/>
  <c r="AI25" i="1"/>
  <c r="AE36" i="1"/>
  <c r="AC15" i="1"/>
  <c r="R51" i="1"/>
  <c r="AD54" i="1"/>
  <c r="R41" i="1"/>
  <c r="AC41" i="1"/>
  <c r="V50" i="1"/>
  <c r="AE39" i="1"/>
  <c r="S40" i="1"/>
  <c r="AJ10" i="1"/>
  <c r="AD49" i="1"/>
  <c r="R17" i="1"/>
  <c r="AL44" i="1"/>
  <c r="W52" i="1"/>
  <c r="AD30" i="1"/>
  <c r="W7" i="1"/>
  <c r="AL38" i="1"/>
  <c r="AI39" i="1"/>
  <c r="AK37" i="1"/>
  <c r="AL54" i="1"/>
  <c r="AI55" i="1"/>
  <c r="V31" i="1"/>
  <c r="AI50" i="1"/>
  <c r="S20" i="1"/>
  <c r="W40" i="1"/>
  <c r="AJ48" i="1"/>
  <c r="V12" i="1"/>
  <c r="W21" i="1"/>
  <c r="W6" i="1"/>
  <c r="AD53" i="1"/>
  <c r="AF39" i="1"/>
  <c r="R25" i="1"/>
  <c r="AC14" i="1"/>
  <c r="AK44" i="1"/>
  <c r="V53" i="1"/>
  <c r="AC39" i="1"/>
  <c r="AC24" i="1"/>
  <c r="R21" i="1"/>
  <c r="AC35" i="1"/>
  <c r="S15" i="1"/>
  <c r="AD33" i="1"/>
  <c r="AC49" i="1"/>
  <c r="AJ41" i="1"/>
  <c r="R29" i="1"/>
  <c r="AI26" i="1"/>
  <c r="V11" i="1"/>
  <c r="AJ52" i="1"/>
  <c r="W29" i="1"/>
  <c r="W45" i="1"/>
  <c r="AF33" i="1"/>
  <c r="V9" i="1"/>
  <c r="V54" i="1"/>
  <c r="AI36" i="1"/>
  <c r="AI40" i="1"/>
  <c r="V40" i="1"/>
  <c r="S38" i="1"/>
  <c r="AE38" i="1"/>
  <c r="R34" i="1"/>
  <c r="AC20" i="1"/>
  <c r="V48" i="1"/>
  <c r="R28" i="1"/>
  <c r="AC52" i="1"/>
  <c r="S18" i="1"/>
  <c r="AJ55" i="1"/>
  <c r="AC54" i="1"/>
  <c r="AF41" i="1"/>
  <c r="V42" i="1"/>
  <c r="S49" i="1"/>
  <c r="AL47" i="1"/>
  <c r="AC36" i="1"/>
  <c r="AI16" i="1"/>
  <c r="AL52" i="1"/>
  <c r="R9" i="1"/>
  <c r="AE41" i="1"/>
  <c r="AJ51" i="1"/>
  <c r="R18" i="1"/>
  <c r="V20" i="1"/>
  <c r="V28" i="1"/>
  <c r="AD46" i="1"/>
  <c r="AL31" i="1"/>
  <c r="AC34" i="1"/>
  <c r="AC19" i="1"/>
  <c r="AJ25" i="1"/>
  <c r="AL32" i="1"/>
  <c r="V37" i="1"/>
  <c r="AK38" i="1"/>
  <c r="AC55" i="1"/>
  <c r="R12" i="1"/>
  <c r="R32" i="1"/>
  <c r="AL37" i="1"/>
  <c r="V27" i="1"/>
  <c r="AJ33" i="1"/>
  <c r="AF36" i="1"/>
  <c r="S45" i="1"/>
  <c r="R15" i="1"/>
  <c r="AI31" i="1"/>
  <c r="AI35" i="1"/>
  <c r="AE31" i="1"/>
  <c r="AI7" i="1"/>
  <c r="AJ46" i="1"/>
  <c r="V25" i="1"/>
  <c r="AK54" i="1"/>
  <c r="W48" i="1"/>
  <c r="W54" i="1"/>
  <c r="W25" i="1"/>
  <c r="AJ12" i="1"/>
  <c r="AK47" i="1"/>
  <c r="R30" i="1"/>
  <c r="R48" i="1"/>
  <c r="AE35" i="1"/>
  <c r="V7" i="1"/>
  <c r="S17" i="1"/>
  <c r="AD34" i="1"/>
  <c r="AD32" i="1"/>
  <c r="AC45" i="1"/>
  <c r="AC53" i="1"/>
  <c r="R10" i="1"/>
  <c r="AI14" i="1"/>
  <c r="V35" i="1"/>
  <c r="AK42" i="1"/>
  <c r="V24" i="1"/>
  <c r="AI47" i="1"/>
  <c r="AJ15" i="1"/>
  <c r="AC12" i="1"/>
  <c r="R44" i="1"/>
  <c r="S25" i="1"/>
  <c r="AJ8" i="1"/>
  <c r="AF34" i="1"/>
  <c r="W36" i="1"/>
  <c r="W53" i="1"/>
  <c r="S52" i="1"/>
  <c r="W24" i="1"/>
  <c r="AI48" i="1"/>
  <c r="R40" i="1"/>
  <c r="S37" i="1"/>
  <c r="S39" i="1"/>
  <c r="S54" i="1"/>
  <c r="V41" i="1"/>
  <c r="AJ35" i="1"/>
  <c r="V19" i="1"/>
  <c r="AJ26" i="1"/>
  <c r="AJ18" i="1"/>
  <c r="AJ32" i="1"/>
  <c r="W44" i="1"/>
  <c r="AJ38" i="1"/>
  <c r="AK48" i="1"/>
  <c r="AI17" i="1"/>
  <c r="AI21" i="1"/>
  <c r="AJ44" i="1"/>
  <c r="AJ27" i="1"/>
  <c r="AL40" i="1"/>
  <c r="AI37" i="1"/>
  <c r="R49" i="1"/>
  <c r="V21" i="1"/>
  <c r="V29" i="1"/>
  <c r="V8" i="1"/>
  <c r="AI54" i="1"/>
  <c r="AE32" i="1"/>
  <c r="W43" i="1"/>
  <c r="AL49" i="1"/>
  <c r="R26" i="1"/>
  <c r="AJ53" i="1"/>
  <c r="W19" i="1"/>
  <c r="AC46" i="1"/>
  <c r="AJ40" i="1"/>
  <c r="R16" i="1"/>
  <c r="R24" i="1"/>
  <c r="AF29" i="1"/>
  <c r="S30" i="1"/>
  <c r="AD42" i="1"/>
  <c r="S16" i="1"/>
  <c r="R22" i="1"/>
  <c r="S28" i="1"/>
  <c r="S32" i="1"/>
  <c r="V49" i="1"/>
  <c r="V18" i="1"/>
  <c r="R54" i="1"/>
  <c r="AD40" i="1"/>
  <c r="AC50" i="1"/>
  <c r="AL43" i="1"/>
  <c r="S19" i="1"/>
  <c r="AD35" i="1"/>
  <c r="S36" i="1"/>
  <c r="S47" i="1"/>
  <c r="AC31" i="1"/>
  <c r="V39" i="1"/>
  <c r="S46" i="1"/>
  <c r="AL30" i="1"/>
  <c r="W23" i="1"/>
  <c r="R6" i="1"/>
  <c r="R14" i="1"/>
  <c r="W10" i="1"/>
  <c r="AL51" i="1"/>
  <c r="W49" i="1"/>
  <c r="S11" i="1"/>
  <c r="S26" i="1"/>
  <c r="AL53" i="1"/>
  <c r="S27" i="1"/>
  <c r="S44" i="1"/>
  <c r="AI28" i="1"/>
  <c r="W33" i="1"/>
  <c r="AE37" i="1"/>
  <c r="AC33" i="1"/>
  <c r="AL29" i="1"/>
  <c r="S22" i="1"/>
  <c r="AI43" i="1"/>
  <c r="AD52" i="1"/>
  <c r="S8" i="1"/>
  <c r="R47" i="1"/>
  <c r="AK40" i="1"/>
  <c r="W47" i="1"/>
  <c r="AF28" i="1"/>
  <c r="W51" i="1"/>
  <c r="S33" i="1"/>
  <c r="AF42" i="1"/>
  <c r="AK51" i="1"/>
  <c r="R13" i="1"/>
  <c r="AI20" i="1"/>
  <c r="V22" i="1"/>
  <c r="AC23" i="1"/>
  <c r="AI12" i="1"/>
  <c r="AJ31" i="1"/>
  <c r="W28" i="1"/>
  <c r="AJ49" i="1"/>
  <c r="AD55" i="1"/>
  <c r="W17" i="1"/>
  <c r="AJ34" i="1"/>
  <c r="AC29" i="1"/>
  <c r="W41" i="1"/>
  <c r="S51" i="1"/>
  <c r="S35" i="1"/>
  <c r="AJ36" i="1"/>
  <c r="W35" i="1"/>
  <c r="R7" i="1"/>
  <c r="AC10" i="1"/>
  <c r="R37" i="1"/>
  <c r="V36" i="1"/>
  <c r="R55" i="1"/>
  <c r="R20" i="1"/>
  <c r="AK41" i="1"/>
  <c r="AI15" i="1"/>
  <c r="AE29" i="1"/>
  <c r="AI44" i="1"/>
  <c r="AC13" i="1"/>
  <c r="AI18" i="1"/>
  <c r="AK34" i="1"/>
  <c r="AC6" i="1"/>
  <c r="AJ45" i="1"/>
  <c r="AI32" i="1"/>
  <c r="AI10" i="1"/>
  <c r="R11" i="1"/>
  <c r="AE34" i="1"/>
  <c r="V43" i="1"/>
  <c r="V23" i="1"/>
  <c r="AC40" i="1"/>
  <c r="AD29" i="1"/>
  <c r="AC47" i="1"/>
  <c r="W55" i="1"/>
  <c r="AL42" i="1"/>
  <c r="S31" i="1"/>
  <c r="W38" i="1"/>
  <c r="AJ54" i="1"/>
  <c r="AI22" i="1"/>
  <c r="W42" i="1"/>
  <c r="AK55" i="1"/>
  <c r="AL41" i="1"/>
  <c r="AJ11" i="1"/>
  <c r="S23" i="1"/>
  <c r="AK52" i="1"/>
  <c r="S29" i="1"/>
  <c r="V51" i="1"/>
  <c r="V13" i="1"/>
  <c r="AF43" i="1"/>
  <c r="AJ14" i="1"/>
  <c r="AC7" i="1"/>
  <c r="V17" i="1"/>
  <c r="AK35" i="1"/>
  <c r="AI6" i="1"/>
  <c r="AJ22" i="1"/>
  <c r="AF35" i="1"/>
  <c r="AE30" i="1"/>
  <c r="R27" i="1"/>
  <c r="AE42" i="1"/>
  <c r="S41" i="1"/>
  <c r="S12" i="1"/>
  <c r="AF46" i="1"/>
  <c r="R50" i="1"/>
  <c r="AI49" i="1"/>
  <c r="V15" i="1"/>
  <c r="AJ19" i="1"/>
  <c r="AI33" i="1"/>
  <c r="AC42" i="1"/>
  <c r="V33" i="1"/>
  <c r="V55" i="1"/>
  <c r="S7" i="1"/>
  <c r="AF27" i="1"/>
  <c r="V38" i="1"/>
  <c r="AC30" i="1"/>
  <c r="AJ28" i="1"/>
  <c r="AL34" i="1"/>
  <c r="AJ29" i="1"/>
  <c r="AD45" i="1"/>
  <c r="S21" i="1"/>
  <c r="W15" i="1"/>
  <c r="AK45" i="1"/>
  <c r="AJ13" i="1"/>
  <c r="R36" i="1"/>
  <c r="AC11" i="1"/>
  <c r="AI46" i="1"/>
  <c r="AC17" i="1"/>
  <c r="AI23" i="1"/>
  <c r="AJ16" i="1"/>
  <c r="AI38" i="1"/>
  <c r="AI52" i="1"/>
  <c r="AF30" i="1"/>
  <c r="W11" i="1"/>
  <c r="S10" i="1"/>
  <c r="S34" i="1"/>
  <c r="AJ50" i="1"/>
  <c r="V46" i="1"/>
  <c r="AC22" i="1"/>
  <c r="S9" i="1"/>
  <c r="AI34" i="1"/>
  <c r="AF37" i="1"/>
  <c r="AK53" i="1"/>
  <c r="S43" i="1"/>
  <c r="AL36" i="1"/>
  <c r="V32" i="1"/>
  <c r="W39" i="1"/>
  <c r="S55" i="1"/>
  <c r="R42" i="1"/>
  <c r="V10" i="1"/>
  <c r="AC51" i="1"/>
  <c r="AE40" i="1"/>
  <c r="W14" i="1"/>
  <c r="AC38" i="1"/>
  <c r="V45" i="1"/>
  <c r="W8" i="1"/>
  <c r="W16" i="1"/>
  <c r="AL35" i="1"/>
  <c r="V6" i="1"/>
  <c r="AI45" i="1"/>
  <c r="AD36" i="1"/>
  <c r="AI13" i="1"/>
  <c r="AF31" i="1"/>
  <c r="AI27" i="1"/>
  <c r="R45" i="1"/>
  <c r="AC26" i="1"/>
  <c r="R39" i="1"/>
  <c r="AL55" i="1"/>
  <c r="AD41" i="1"/>
  <c r="R52" i="1"/>
  <c r="AJ47" i="1"/>
  <c r="AI9" i="1"/>
  <c r="AK39" i="1"/>
  <c r="AJ20" i="1"/>
  <c r="AC9" i="1"/>
  <c r="AC25" i="1"/>
  <c r="S14" i="1"/>
  <c r="V34" i="1"/>
  <c r="AL39" i="1"/>
  <c r="AE46" i="1"/>
  <c r="AI41" i="1"/>
  <c r="W37" i="1"/>
  <c r="S13" i="1"/>
  <c r="W18" i="1"/>
  <c r="W26" i="1"/>
  <c r="W50" i="1"/>
  <c r="S53" i="1"/>
  <c r="AC21" i="1"/>
  <c r="AI24" i="1"/>
  <c r="AI42" i="1"/>
  <c r="AJ9" i="1"/>
  <c r="AJ42" i="1"/>
  <c r="AL33" i="1"/>
  <c r="AJ43" i="1"/>
  <c r="W31" i="1"/>
  <c r="AI11" i="1"/>
  <c r="W22" i="1"/>
  <c r="AC18" i="1"/>
  <c r="AC48" i="1"/>
  <c r="AF40" i="1"/>
  <c r="R43" i="1"/>
  <c r="AL48" i="1"/>
  <c r="W34" i="1"/>
  <c r="AE45" i="1"/>
  <c r="AC37" i="1"/>
  <c r="AD51" i="1"/>
  <c r="AC16" i="1"/>
  <c r="AI53" i="1"/>
  <c r="R46" i="1"/>
  <c r="AD39" i="1"/>
  <c r="AJ30" i="1"/>
  <c r="W9" i="1"/>
  <c r="V16" i="1"/>
  <c r="AC27" i="1"/>
  <c r="AU36" i="1" l="1"/>
  <c r="AU32" i="1"/>
  <c r="AU46" i="1"/>
  <c r="AU38" i="1"/>
  <c r="AU39" i="1"/>
  <c r="AU35" i="1"/>
  <c r="AU40" i="1"/>
  <c r="AM55" i="1"/>
  <c r="AM51" i="1"/>
  <c r="AM52" i="1"/>
  <c r="AM48" i="1"/>
  <c r="AM44" i="1"/>
  <c r="AM47" i="1"/>
  <c r="AM53" i="1"/>
  <c r="AM49" i="1"/>
  <c r="AM54" i="1"/>
  <c r="AM50" i="1"/>
  <c r="AM45" i="1"/>
  <c r="AN45" i="1"/>
  <c r="AR53" i="1"/>
  <c r="AQ53" i="1"/>
  <c r="AQ52" i="1"/>
  <c r="AR52" i="1"/>
  <c r="T48" i="1"/>
  <c r="T44" i="1"/>
  <c r="T38" i="1"/>
  <c r="AM36" i="1"/>
  <c r="AN36" i="1"/>
  <c r="T53" i="1"/>
  <c r="T52" i="1"/>
  <c r="T51" i="1"/>
  <c r="T49" i="1"/>
  <c r="X47" i="1"/>
  <c r="AM46" i="1"/>
  <c r="AN46" i="1"/>
  <c r="AQ45" i="1"/>
  <c r="AR45" i="1"/>
  <c r="X43" i="1"/>
  <c r="AM42" i="1"/>
  <c r="AN42" i="1"/>
  <c r="X39" i="1"/>
  <c r="AM34" i="1"/>
  <c r="AN34" i="1"/>
  <c r="AN30" i="1"/>
  <c r="AM30" i="1"/>
  <c r="AM24" i="1"/>
  <c r="AM20" i="1"/>
  <c r="AM16" i="1"/>
  <c r="AM12" i="1"/>
  <c r="AM8" i="1"/>
  <c r="AR48" i="1"/>
  <c r="AQ48" i="1"/>
  <c r="AR55" i="1"/>
  <c r="AQ55" i="1"/>
  <c r="AR51" i="1"/>
  <c r="AQ51" i="1"/>
  <c r="AR49" i="1"/>
  <c r="AQ49" i="1"/>
  <c r="AM40" i="1"/>
  <c r="AN40" i="1"/>
  <c r="T55" i="1"/>
  <c r="T54" i="1"/>
  <c r="T50" i="1"/>
  <c r="T45" i="1"/>
  <c r="T40" i="1"/>
  <c r="X31" i="1"/>
  <c r="AQ54" i="1"/>
  <c r="AR54" i="1"/>
  <c r="AR50" i="1"/>
  <c r="AQ50" i="1"/>
  <c r="AM37" i="1"/>
  <c r="AN37" i="1"/>
  <c r="X48" i="1"/>
  <c r="AQ46" i="1"/>
  <c r="AR46" i="1"/>
  <c r="X44" i="1"/>
  <c r="AQ42" i="1"/>
  <c r="AR42" i="1"/>
  <c r="X41" i="1"/>
  <c r="AM39" i="1"/>
  <c r="AN39" i="1"/>
  <c r="AM33" i="1"/>
  <c r="AN33" i="1"/>
  <c r="AM29" i="1"/>
  <c r="AN29" i="1"/>
  <c r="AM25" i="1"/>
  <c r="AM21" i="1"/>
  <c r="AM17" i="1"/>
  <c r="AM13" i="1"/>
  <c r="AM9" i="1"/>
  <c r="AQ6" i="1"/>
  <c r="X46" i="1"/>
  <c r="X42" i="1"/>
  <c r="AM35" i="1"/>
  <c r="AN35" i="1"/>
  <c r="X32" i="1"/>
  <c r="X55" i="1"/>
  <c r="X54" i="1"/>
  <c r="X53" i="1"/>
  <c r="X52" i="1"/>
  <c r="X51" i="1"/>
  <c r="X50" i="1"/>
  <c r="X49" i="1"/>
  <c r="T46" i="1"/>
  <c r="AV46" i="1" s="1"/>
  <c r="AO46" i="1" s="1"/>
  <c r="T42" i="1"/>
  <c r="AV42" i="1" s="1"/>
  <c r="AO42" i="1" s="1"/>
  <c r="X38" i="1"/>
  <c r="X34" i="1"/>
  <c r="X30" i="1"/>
  <c r="T39" i="1"/>
  <c r="AV39" i="1" s="1"/>
  <c r="AO39" i="1" s="1"/>
  <c r="X35" i="1"/>
  <c r="AM28" i="1"/>
  <c r="AM26" i="1"/>
  <c r="AM22" i="1"/>
  <c r="AM18" i="1"/>
  <c r="AM14" i="1"/>
  <c r="AM10" i="1"/>
  <c r="AQ7" i="1"/>
  <c r="AM6" i="1"/>
  <c r="AQ47" i="1"/>
  <c r="AR47" i="1"/>
  <c r="X45" i="1"/>
  <c r="AQ43" i="1"/>
  <c r="AR43" i="1"/>
  <c r="AM41" i="1"/>
  <c r="AN41" i="1"/>
  <c r="X37" i="1"/>
  <c r="X36" i="1"/>
  <c r="AM32" i="1"/>
  <c r="AN32" i="1"/>
  <c r="T47" i="1"/>
  <c r="T43" i="1"/>
  <c r="X40" i="1"/>
  <c r="AM38" i="1"/>
  <c r="AN38" i="1"/>
  <c r="X33" i="1"/>
  <c r="AR44" i="1"/>
  <c r="AQ44" i="1"/>
  <c r="T41" i="1"/>
  <c r="AV41" i="1" s="1"/>
  <c r="AO41" i="1" s="1"/>
  <c r="AM31" i="1"/>
  <c r="AN31" i="1"/>
  <c r="AM27" i="1"/>
  <c r="AM23" i="1"/>
  <c r="AM19" i="1"/>
  <c r="AM15" i="1"/>
  <c r="AM11" i="1"/>
  <c r="AM7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AQ41" i="1"/>
  <c r="AR41" i="1"/>
  <c r="AQ40" i="1"/>
  <c r="AR40" i="1"/>
  <c r="AQ39" i="1"/>
  <c r="AR39" i="1"/>
  <c r="AQ38" i="1"/>
  <c r="AR38" i="1"/>
  <c r="AQ37" i="1"/>
  <c r="AR37" i="1"/>
  <c r="AQ36" i="1"/>
  <c r="AR36" i="1"/>
  <c r="AQ35" i="1"/>
  <c r="AR35" i="1"/>
  <c r="AQ34" i="1"/>
  <c r="AR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T37" i="1"/>
  <c r="AV37" i="1" s="1"/>
  <c r="AO37" i="1" s="1"/>
  <c r="T36" i="1"/>
  <c r="AV36" i="1" s="1"/>
  <c r="AO36" i="1" s="1"/>
  <c r="T35" i="1"/>
  <c r="AV35" i="1" s="1"/>
  <c r="AO35" i="1" s="1"/>
  <c r="T34" i="1"/>
  <c r="AV34" i="1" s="1"/>
  <c r="AO34" i="1" s="1"/>
  <c r="T33" i="1"/>
  <c r="AV33" i="1" s="1"/>
  <c r="AO33" i="1" s="1"/>
  <c r="T32" i="1"/>
  <c r="AV32" i="1" s="1"/>
  <c r="AO32" i="1" s="1"/>
  <c r="T31" i="1"/>
  <c r="AV31" i="1" s="1"/>
  <c r="AO31" i="1" s="1"/>
  <c r="T30" i="1"/>
  <c r="AV30" i="1" s="1"/>
  <c r="AO30" i="1" s="1"/>
  <c r="T29" i="1"/>
  <c r="AV29" i="1" s="1"/>
  <c r="AO29" i="1" s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AU47" i="1"/>
  <c r="AU43" i="1"/>
  <c r="AU55" i="1"/>
  <c r="AU54" i="1"/>
  <c r="AU53" i="1"/>
  <c r="AU52" i="1"/>
  <c r="AU51" i="1"/>
  <c r="AU50" i="1"/>
  <c r="AU49" i="1"/>
  <c r="AU48" i="1"/>
  <c r="AU44" i="1"/>
  <c r="AU45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K27" i="1"/>
  <c r="AF50" i="1"/>
  <c r="AL19" i="1"/>
  <c r="AD23" i="1"/>
  <c r="AD7" i="1"/>
  <c r="AD8" i="1"/>
  <c r="AE48" i="1"/>
  <c r="AE53" i="1"/>
  <c r="AE21" i="1"/>
  <c r="AL9" i="1"/>
  <c r="AF52" i="1"/>
  <c r="AE18" i="1"/>
  <c r="AL23" i="1"/>
  <c r="AL25" i="1"/>
  <c r="AL15" i="1"/>
  <c r="AD12" i="1"/>
  <c r="AL21" i="1"/>
  <c r="AK32" i="1"/>
  <c r="AF15" i="1"/>
  <c r="AD43" i="1"/>
  <c r="AK26" i="1"/>
  <c r="AK13" i="1"/>
  <c r="AF48" i="1"/>
  <c r="AE44" i="1"/>
  <c r="AD9" i="1"/>
  <c r="AF23" i="1"/>
  <c r="AF19" i="1"/>
  <c r="AD20" i="1"/>
  <c r="AE11" i="1"/>
  <c r="AE23" i="1"/>
  <c r="AD14" i="1"/>
  <c r="AD13" i="1"/>
  <c r="AD26" i="1"/>
  <c r="AL7" i="1"/>
  <c r="AE9" i="1"/>
  <c r="AL24" i="1"/>
  <c r="AF44" i="1"/>
  <c r="AL12" i="1"/>
  <c r="AF49" i="1"/>
  <c r="AD10" i="1"/>
  <c r="AE13" i="1"/>
  <c r="AF11" i="1"/>
  <c r="AD18" i="1"/>
  <c r="AE12" i="1"/>
  <c r="AL27" i="1"/>
  <c r="AD11" i="1"/>
  <c r="AK20" i="1"/>
  <c r="AE47" i="1"/>
  <c r="AD21" i="1"/>
  <c r="AK33" i="1"/>
  <c r="AD28" i="1"/>
  <c r="AF14" i="1"/>
  <c r="AF22" i="1"/>
  <c r="AD19" i="1"/>
  <c r="AE52" i="1"/>
  <c r="AK18" i="1"/>
  <c r="AK16" i="1"/>
  <c r="AF13" i="1"/>
  <c r="AF54" i="1"/>
  <c r="AL8" i="1"/>
  <c r="AF17" i="1"/>
  <c r="AE17" i="1"/>
  <c r="AF6" i="1"/>
  <c r="AL26" i="1"/>
  <c r="AK15" i="1"/>
  <c r="AK11" i="1"/>
  <c r="AK7" i="1"/>
  <c r="AL18" i="1"/>
  <c r="AF24" i="1"/>
  <c r="AL28" i="1"/>
  <c r="AE22" i="1"/>
  <c r="AK22" i="1"/>
  <c r="AD44" i="1"/>
  <c r="AD17" i="1"/>
  <c r="AL16" i="1"/>
  <c r="AL20" i="1"/>
  <c r="AD47" i="1"/>
  <c r="AF21" i="1"/>
  <c r="AL6" i="1"/>
  <c r="AF20" i="1"/>
  <c r="AK9" i="1"/>
  <c r="AF45" i="1"/>
  <c r="AL17" i="1"/>
  <c r="AE15" i="1"/>
  <c r="AF16" i="1"/>
  <c r="AD25" i="1"/>
  <c r="AD6" i="1"/>
  <c r="AK10" i="1"/>
  <c r="AF47" i="1"/>
  <c r="AE27" i="1"/>
  <c r="AL13" i="1"/>
  <c r="AD24" i="1"/>
  <c r="AD27" i="1"/>
  <c r="AE49" i="1"/>
  <c r="AK25" i="1"/>
  <c r="AE6" i="1"/>
  <c r="AK28" i="1"/>
  <c r="AF55" i="1"/>
  <c r="AK23" i="1"/>
  <c r="AF26" i="1"/>
  <c r="AD22" i="1"/>
  <c r="AK6" i="1"/>
  <c r="AL10" i="1"/>
  <c r="AD15" i="1"/>
  <c r="AF51" i="1"/>
  <c r="AE50" i="1"/>
  <c r="AE10" i="1"/>
  <c r="AJ7" i="1"/>
  <c r="AE8" i="1"/>
  <c r="AF53" i="1"/>
  <c r="AE19" i="1"/>
  <c r="AF12" i="1"/>
  <c r="AE26" i="1"/>
  <c r="AK31" i="1"/>
  <c r="AF8" i="1"/>
  <c r="AE54" i="1"/>
  <c r="AL22" i="1"/>
  <c r="AE28" i="1"/>
  <c r="AD16" i="1"/>
  <c r="AK19" i="1"/>
  <c r="AK12" i="1"/>
  <c r="AE51" i="1"/>
  <c r="AK24" i="1"/>
  <c r="AK30" i="1"/>
  <c r="AF9" i="1"/>
  <c r="AE20" i="1"/>
  <c r="AK14" i="1"/>
  <c r="AE25" i="1"/>
  <c r="AE24" i="1"/>
  <c r="AF7" i="1"/>
  <c r="AE55" i="1"/>
  <c r="AE16" i="1"/>
  <c r="AE7" i="1"/>
  <c r="AC43" i="1"/>
  <c r="AD48" i="1"/>
  <c r="AK17" i="1"/>
  <c r="AF18" i="1"/>
  <c r="AK8" i="1"/>
  <c r="AJ6" i="1"/>
  <c r="AF25" i="1"/>
  <c r="AK29" i="1"/>
  <c r="AK21" i="1"/>
  <c r="AE14" i="1"/>
  <c r="AL11" i="1"/>
  <c r="AE43" i="1"/>
  <c r="AL14" i="1"/>
  <c r="AF10" i="1"/>
  <c r="AV55" i="1" l="1"/>
  <c r="AV38" i="1"/>
  <c r="AO38" i="1" s="1"/>
  <c r="AV40" i="1"/>
  <c r="AO40" i="1" s="1"/>
  <c r="AV10" i="1"/>
  <c r="AO10" i="1" s="1"/>
  <c r="AV18" i="1"/>
  <c r="AV26" i="1"/>
  <c r="AO26" i="1" s="1"/>
  <c r="AR12" i="1"/>
  <c r="AN23" i="1"/>
  <c r="AR15" i="1"/>
  <c r="AT12" i="1"/>
  <c r="AR10" i="1"/>
  <c r="AR11" i="1"/>
  <c r="AR19" i="1"/>
  <c r="AR27" i="1"/>
  <c r="AN44" i="1"/>
  <c r="AN47" i="1"/>
  <c r="AN15" i="1"/>
  <c r="AN51" i="1"/>
  <c r="AN7" i="1"/>
  <c r="AN55" i="1"/>
  <c r="AR7" i="1"/>
  <c r="AR13" i="1"/>
  <c r="AR21" i="1"/>
  <c r="AR29" i="1"/>
  <c r="AT19" i="1"/>
  <c r="AP50" i="1"/>
  <c r="AR28" i="1"/>
  <c r="AR14" i="1"/>
  <c r="AR22" i="1"/>
  <c r="AR30" i="1"/>
  <c r="AN8" i="1"/>
  <c r="AN12" i="1"/>
  <c r="AN16" i="1"/>
  <c r="AN20" i="1"/>
  <c r="AN24" i="1"/>
  <c r="AN28" i="1"/>
  <c r="AN48" i="1"/>
  <c r="AN52" i="1"/>
  <c r="AR20" i="1"/>
  <c r="AN19" i="1"/>
  <c r="AR16" i="1"/>
  <c r="AR24" i="1"/>
  <c r="AR32" i="1"/>
  <c r="AN9" i="1"/>
  <c r="AN13" i="1"/>
  <c r="AN17" i="1"/>
  <c r="AN21" i="1"/>
  <c r="AN25" i="1"/>
  <c r="AN49" i="1"/>
  <c r="AN53" i="1"/>
  <c r="AN11" i="1"/>
  <c r="AR31" i="1"/>
  <c r="AR8" i="1"/>
  <c r="AR9" i="1"/>
  <c r="AR17" i="1"/>
  <c r="AR25" i="1"/>
  <c r="AR33" i="1"/>
  <c r="AN43" i="1"/>
  <c r="AM43" i="1"/>
  <c r="AR6" i="1"/>
  <c r="AN27" i="1"/>
  <c r="AR23" i="1"/>
  <c r="AR18" i="1"/>
  <c r="AR26" i="1"/>
  <c r="AN6" i="1"/>
  <c r="AN10" i="1"/>
  <c r="AN14" i="1"/>
  <c r="AN18" i="1"/>
  <c r="AN22" i="1"/>
  <c r="AN26" i="1"/>
  <c r="AN50" i="1"/>
  <c r="AN54" i="1"/>
  <c r="AV9" i="1"/>
  <c r="AO9" i="1" s="1"/>
  <c r="AV17" i="1"/>
  <c r="AO17" i="1" s="1"/>
  <c r="AV25" i="1"/>
  <c r="AO25" i="1" s="1"/>
  <c r="Z13" i="1"/>
  <c r="AW13" i="1"/>
  <c r="AS13" i="1" s="1"/>
  <c r="Z21" i="1"/>
  <c r="AW21" i="1"/>
  <c r="AS21" i="1" s="1"/>
  <c r="Z29" i="1"/>
  <c r="AW29" i="1"/>
  <c r="AS29" i="1" s="1"/>
  <c r="AW45" i="1"/>
  <c r="AS45" i="1" s="1"/>
  <c r="Z45" i="1"/>
  <c r="Z34" i="1"/>
  <c r="AW34" i="1"/>
  <c r="AS34" i="1" s="1"/>
  <c r="AW51" i="1"/>
  <c r="AS51" i="1" s="1"/>
  <c r="Z51" i="1"/>
  <c r="AV54" i="1"/>
  <c r="AO54" i="1" s="1"/>
  <c r="AV51" i="1"/>
  <c r="AO51" i="1" s="1"/>
  <c r="AV44" i="1"/>
  <c r="AO44" i="1" s="1"/>
  <c r="Z6" i="1"/>
  <c r="AW6" i="1"/>
  <c r="AS6" i="1" s="1"/>
  <c r="Z22" i="1"/>
  <c r="AW22" i="1"/>
  <c r="AS22" i="1" s="1"/>
  <c r="AW40" i="1"/>
  <c r="AS40" i="1" s="1"/>
  <c r="Z40" i="1"/>
  <c r="AW38" i="1"/>
  <c r="AS38" i="1" s="1"/>
  <c r="Z38" i="1"/>
  <c r="AW52" i="1"/>
  <c r="AS52" i="1" s="1"/>
  <c r="Z52" i="1"/>
  <c r="AW42" i="1"/>
  <c r="AS42" i="1" s="1"/>
  <c r="Z42" i="1"/>
  <c r="AW41" i="1"/>
  <c r="AS41" i="1" s="1"/>
  <c r="Z41" i="1"/>
  <c r="AO55" i="1"/>
  <c r="AW43" i="1"/>
  <c r="AS43" i="1" s="1"/>
  <c r="Z43" i="1"/>
  <c r="AV52" i="1"/>
  <c r="AO52" i="1" s="1"/>
  <c r="AO18" i="1"/>
  <c r="Z14" i="1"/>
  <c r="AW14" i="1"/>
  <c r="AS14" i="1" s="1"/>
  <c r="AV11" i="1"/>
  <c r="AO11" i="1" s="1"/>
  <c r="AV19" i="1"/>
  <c r="AO19" i="1" s="1"/>
  <c r="AV27" i="1"/>
  <c r="AO27" i="1" s="1"/>
  <c r="Z7" i="1"/>
  <c r="AW7" i="1"/>
  <c r="AS7" i="1" s="1"/>
  <c r="Z15" i="1"/>
  <c r="AW15" i="1"/>
  <c r="AS15" i="1" s="1"/>
  <c r="Z23" i="1"/>
  <c r="AW23" i="1"/>
  <c r="AS23" i="1" s="1"/>
  <c r="AV43" i="1"/>
  <c r="AO43" i="1" s="1"/>
  <c r="Z36" i="1"/>
  <c r="AW36" i="1"/>
  <c r="AS36" i="1" s="1"/>
  <c r="AW53" i="1"/>
  <c r="AS53" i="1" s="1"/>
  <c r="Z53" i="1"/>
  <c r="AW46" i="1"/>
  <c r="AS46" i="1" s="1"/>
  <c r="Z46" i="1"/>
  <c r="Z31" i="1"/>
  <c r="AW31" i="1"/>
  <c r="AS31" i="1" s="1"/>
  <c r="AV53" i="1"/>
  <c r="AO53" i="1" s="1"/>
  <c r="AV48" i="1"/>
  <c r="AO48" i="1" s="1"/>
  <c r="AV12" i="1"/>
  <c r="AO12" i="1" s="1"/>
  <c r="AV20" i="1"/>
  <c r="AO20" i="1" s="1"/>
  <c r="AV28" i="1"/>
  <c r="AO28" i="1" s="1"/>
  <c r="Z8" i="1"/>
  <c r="AW8" i="1"/>
  <c r="AS8" i="1" s="1"/>
  <c r="Z16" i="1"/>
  <c r="AW16" i="1"/>
  <c r="AS16" i="1" s="1"/>
  <c r="Z24" i="1"/>
  <c r="AW24" i="1"/>
  <c r="AS24" i="1" s="1"/>
  <c r="Z37" i="1"/>
  <c r="AW37" i="1"/>
  <c r="AS37" i="1" s="1"/>
  <c r="AW54" i="1"/>
  <c r="AS54" i="1" s="1"/>
  <c r="Z54" i="1"/>
  <c r="Z9" i="1"/>
  <c r="AW9" i="1"/>
  <c r="AS9" i="1" s="1"/>
  <c r="AV47" i="1"/>
  <c r="AO47" i="1" s="1"/>
  <c r="AW55" i="1"/>
  <c r="AS55" i="1" s="1"/>
  <c r="Z55" i="1"/>
  <c r="AW44" i="1"/>
  <c r="AS44" i="1" s="1"/>
  <c r="Z44" i="1"/>
  <c r="AV13" i="1"/>
  <c r="AO13" i="1" s="1"/>
  <c r="AV6" i="1"/>
  <c r="AO6" i="1" s="1"/>
  <c r="AV14" i="1"/>
  <c r="AO14" i="1" s="1"/>
  <c r="AV22" i="1"/>
  <c r="AO22" i="1" s="1"/>
  <c r="Z10" i="1"/>
  <c r="AW10" i="1"/>
  <c r="AS10" i="1" s="1"/>
  <c r="Z18" i="1"/>
  <c r="AW18" i="1"/>
  <c r="AS18" i="1" s="1"/>
  <c r="Z26" i="1"/>
  <c r="AW26" i="1"/>
  <c r="AS26" i="1" s="1"/>
  <c r="Z33" i="1"/>
  <c r="AW33" i="1"/>
  <c r="AS33" i="1" s="1"/>
  <c r="Z32" i="1"/>
  <c r="AW32" i="1"/>
  <c r="AS32" i="1" s="1"/>
  <c r="AV45" i="1"/>
  <c r="AO45" i="1" s="1"/>
  <c r="AV21" i="1"/>
  <c r="AO21" i="1" s="1"/>
  <c r="Z25" i="1"/>
  <c r="AW25" i="1"/>
  <c r="AS25" i="1" s="1"/>
  <c r="AV7" i="1"/>
  <c r="AO7" i="1" s="1"/>
  <c r="AV15" i="1"/>
  <c r="AO15" i="1" s="1"/>
  <c r="AV23" i="1"/>
  <c r="AO23" i="1" s="1"/>
  <c r="Z11" i="1"/>
  <c r="AW11" i="1"/>
  <c r="AS11" i="1" s="1"/>
  <c r="Z19" i="1"/>
  <c r="AW19" i="1"/>
  <c r="AS19" i="1" s="1"/>
  <c r="Z27" i="1"/>
  <c r="AW27" i="1"/>
  <c r="AS27" i="1" s="1"/>
  <c r="Z30" i="1"/>
  <c r="AW30" i="1"/>
  <c r="AS30" i="1" s="1"/>
  <c r="AW49" i="1"/>
  <c r="AS49" i="1" s="1"/>
  <c r="Z49" i="1"/>
  <c r="AW39" i="1"/>
  <c r="AS39" i="1" s="1"/>
  <c r="Z39" i="1"/>
  <c r="AW47" i="1"/>
  <c r="AS47" i="1" s="1"/>
  <c r="Z47" i="1"/>
  <c r="Z17" i="1"/>
  <c r="AW17" i="1"/>
  <c r="AS17" i="1" s="1"/>
  <c r="AV8" i="1"/>
  <c r="AO8" i="1" s="1"/>
  <c r="AV16" i="1"/>
  <c r="AO16" i="1" s="1"/>
  <c r="AV24" i="1"/>
  <c r="AO24" i="1" s="1"/>
  <c r="Z12" i="1"/>
  <c r="AW12" i="1"/>
  <c r="AS12" i="1" s="1"/>
  <c r="Z20" i="1"/>
  <c r="AW20" i="1"/>
  <c r="AS20" i="1" s="1"/>
  <c r="Z28" i="1"/>
  <c r="AW28" i="1"/>
  <c r="AS28" i="1" s="1"/>
  <c r="Z35" i="1"/>
  <c r="AW35" i="1"/>
  <c r="AS35" i="1" s="1"/>
  <c r="AW50" i="1"/>
  <c r="AS50" i="1" s="1"/>
  <c r="Z50" i="1"/>
  <c r="Z48" i="1"/>
  <c r="AW48" i="1"/>
  <c r="AS48" i="1" s="1"/>
  <c r="AV50" i="1"/>
  <c r="AO50" i="1" s="1"/>
  <c r="AV49" i="1"/>
  <c r="AO49" i="1" s="1"/>
  <c r="AH5" i="1"/>
  <c r="AG5" i="1"/>
  <c r="AB5" i="1"/>
  <c r="AA5" i="1"/>
  <c r="Y5" i="1"/>
  <c r="U5" i="1"/>
  <c r="D21" i="1"/>
  <c r="AT21" i="1" s="1"/>
  <c r="D22" i="1"/>
  <c r="AT22" i="1" s="1"/>
  <c r="D23" i="1"/>
  <c r="AT23" i="1" s="1"/>
  <c r="D24" i="1"/>
  <c r="AT24" i="1" s="1"/>
  <c r="D25" i="1"/>
  <c r="AP25" i="1" s="1"/>
  <c r="D26" i="1"/>
  <c r="AT26" i="1" s="1"/>
  <c r="D27" i="1"/>
  <c r="AP27" i="1" s="1"/>
  <c r="D28" i="1"/>
  <c r="AP28" i="1" s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AT44" i="1" s="1"/>
  <c r="D45" i="1"/>
  <c r="AT45" i="1" s="1"/>
  <c r="D46" i="1"/>
  <c r="D47" i="1"/>
  <c r="AT47" i="1" s="1"/>
  <c r="D48" i="1"/>
  <c r="AT48" i="1" s="1"/>
  <c r="D49" i="1"/>
  <c r="AT49" i="1" s="1"/>
  <c r="D50" i="1"/>
  <c r="AT50" i="1" s="1"/>
  <c r="D51" i="1"/>
  <c r="AT51" i="1" s="1"/>
  <c r="D52" i="1"/>
  <c r="AT52" i="1" s="1"/>
  <c r="D53" i="1"/>
  <c r="AT53" i="1" s="1"/>
  <c r="D54" i="1"/>
  <c r="AT54" i="1" s="1"/>
  <c r="D55" i="1"/>
  <c r="AT55" i="1" s="1"/>
  <c r="D12" i="1"/>
  <c r="AP12" i="1" s="1"/>
  <c r="D11" i="1"/>
  <c r="AT11" i="1" s="1"/>
  <c r="D10" i="1"/>
  <c r="AP10" i="1" s="1"/>
  <c r="D9" i="1"/>
  <c r="AT9" i="1" s="1"/>
  <c r="D8" i="1"/>
  <c r="AP8" i="1" s="1"/>
  <c r="D7" i="1"/>
  <c r="AP7" i="1" s="1"/>
  <c r="D6" i="1"/>
  <c r="AT6" i="1" s="1"/>
  <c r="D5" i="1"/>
  <c r="D13" i="1"/>
  <c r="AT13" i="1" s="1"/>
  <c r="D14" i="1"/>
  <c r="AT14" i="1" s="1"/>
  <c r="D15" i="1"/>
  <c r="AT15" i="1" s="1"/>
  <c r="D16" i="1"/>
  <c r="AP16" i="1" s="1"/>
  <c r="D17" i="1"/>
  <c r="AP17" i="1" s="1"/>
  <c r="D18" i="1"/>
  <c r="AP18" i="1" s="1"/>
  <c r="D19" i="1"/>
  <c r="AP19" i="1" s="1"/>
  <c r="D20" i="1"/>
  <c r="AP20" i="1" s="1"/>
  <c r="R5" i="1"/>
  <c r="AJ5" i="1"/>
  <c r="W5" i="1"/>
  <c r="V5" i="1"/>
  <c r="AK5" i="1"/>
  <c r="AC5" i="1"/>
  <c r="AF5" i="1"/>
  <c r="AD5" i="1"/>
  <c r="S5" i="1"/>
  <c r="AL5" i="1"/>
  <c r="AP44" i="1" l="1"/>
  <c r="AP9" i="1"/>
  <c r="AP22" i="1"/>
  <c r="AP6" i="1"/>
  <c r="AT16" i="1"/>
  <c r="AP24" i="1"/>
  <c r="AT8" i="1"/>
  <c r="AT39" i="1"/>
  <c r="AP39" i="1"/>
  <c r="AT46" i="1"/>
  <c r="AP46" i="1"/>
  <c r="AT38" i="1"/>
  <c r="AP38" i="1"/>
  <c r="AP30" i="1"/>
  <c r="AT30" i="1"/>
  <c r="AT25" i="1"/>
  <c r="AP14" i="1"/>
  <c r="AP45" i="1"/>
  <c r="AT7" i="1"/>
  <c r="AT18" i="1"/>
  <c r="AP15" i="1"/>
  <c r="AP47" i="1"/>
  <c r="AP36" i="1"/>
  <c r="AT36" i="1"/>
  <c r="AP26" i="1"/>
  <c r="AP54" i="1"/>
  <c r="AT17" i="1"/>
  <c r="AP23" i="1"/>
  <c r="AP13" i="1"/>
  <c r="AT10" i="1"/>
  <c r="AP29" i="1"/>
  <c r="AT29" i="1"/>
  <c r="AP21" i="1"/>
  <c r="AT43" i="1"/>
  <c r="AP43" i="1"/>
  <c r="AT35" i="1"/>
  <c r="AP35" i="1"/>
  <c r="AT20" i="1"/>
  <c r="AP51" i="1"/>
  <c r="AP49" i="1"/>
  <c r="AT27" i="1"/>
  <c r="AT31" i="1"/>
  <c r="AP31" i="1"/>
  <c r="AT37" i="1"/>
  <c r="AP37" i="1"/>
  <c r="AP42" i="1"/>
  <c r="AT42" i="1"/>
  <c r="AP34" i="1"/>
  <c r="AT34" i="1"/>
  <c r="AP52" i="1"/>
  <c r="AP55" i="1"/>
  <c r="AP33" i="1"/>
  <c r="AT33" i="1"/>
  <c r="AP11" i="1"/>
  <c r="AT41" i="1"/>
  <c r="AP41" i="1"/>
  <c r="AT40" i="1"/>
  <c r="AP40" i="1"/>
  <c r="AT32" i="1"/>
  <c r="AP32" i="1"/>
  <c r="AP53" i="1"/>
  <c r="AT28" i="1"/>
  <c r="AP48" i="1"/>
  <c r="AU5" i="1"/>
  <c r="T5" i="1"/>
  <c r="AM5" i="1"/>
  <c r="X5" i="1"/>
  <c r="AP5" i="1"/>
  <c r="AT5" i="1"/>
  <c r="AI5" i="1"/>
  <c r="AE5" i="1"/>
  <c r="AV5" i="1" l="1"/>
  <c r="AO5" i="1" s="1"/>
  <c r="AR5" i="1"/>
  <c r="AQ5" i="1"/>
  <c r="AN5" i="1"/>
  <c r="AW5" i="1"/>
  <c r="AS5" i="1" s="1"/>
  <c r="Z5" i="1"/>
</calcChain>
</file>

<file path=xl/sharedStrings.xml><?xml version="1.0" encoding="utf-8"?>
<sst xmlns="http://schemas.openxmlformats.org/spreadsheetml/2006/main" count="110" uniqueCount="74">
  <si>
    <t>Re</t>
  </si>
  <si>
    <t>Re</t>
    <phoneticPr fontId="1" type="noConversion"/>
  </si>
  <si>
    <t>Pr</t>
  </si>
  <si>
    <t>Pr</t>
    <phoneticPr fontId="1" type="noConversion"/>
  </si>
  <si>
    <t>Nu</t>
  </si>
  <si>
    <t>Nu</t>
    <phoneticPr fontId="1" type="noConversion"/>
  </si>
  <si>
    <t>f</t>
  </si>
  <si>
    <t>f</t>
    <phoneticPr fontId="1" type="noConversion"/>
  </si>
  <si>
    <r>
      <rPr>
        <b/>
        <sz val="12"/>
        <color theme="1"/>
        <rFont val="宋体"/>
        <family val="3"/>
        <charset val="134"/>
      </rPr>
      <t>通用几何参数</t>
    </r>
    <phoneticPr fontId="1" type="noConversion"/>
  </si>
  <si>
    <r>
      <rPr>
        <b/>
        <sz val="12"/>
        <color theme="1"/>
        <rFont val="宋体"/>
        <family val="3"/>
        <charset val="134"/>
      </rPr>
      <t>高温侧测试数据</t>
    </r>
    <phoneticPr fontId="1" type="noConversion"/>
  </si>
  <si>
    <r>
      <rPr>
        <b/>
        <sz val="12"/>
        <color theme="1"/>
        <rFont val="宋体"/>
        <family val="3"/>
        <charset val="134"/>
      </rPr>
      <t>低温侧测试数据</t>
    </r>
    <phoneticPr fontId="1" type="noConversion"/>
  </si>
  <si>
    <r>
      <rPr>
        <b/>
        <sz val="12"/>
        <color theme="1"/>
        <rFont val="宋体"/>
        <family val="3"/>
        <charset val="134"/>
      </rPr>
      <t>高温侧初步数据处理</t>
    </r>
    <phoneticPr fontId="1" type="noConversion"/>
  </si>
  <si>
    <r>
      <rPr>
        <b/>
        <sz val="12"/>
        <color theme="1"/>
        <rFont val="宋体"/>
        <family val="3"/>
        <charset val="134"/>
      </rPr>
      <t>低温侧初步数据处理</t>
    </r>
    <phoneticPr fontId="1" type="noConversion"/>
  </si>
  <si>
    <r>
      <rPr>
        <b/>
        <sz val="12"/>
        <color theme="1"/>
        <rFont val="宋体"/>
        <family val="3"/>
        <charset val="134"/>
      </rPr>
      <t>高温物性数据</t>
    </r>
    <phoneticPr fontId="1" type="noConversion"/>
  </si>
  <si>
    <r>
      <rPr>
        <b/>
        <sz val="12"/>
        <color theme="1"/>
        <rFont val="宋体"/>
        <family val="3"/>
        <charset val="134"/>
      </rPr>
      <t>低温物性数据</t>
    </r>
    <phoneticPr fontId="1" type="noConversion"/>
  </si>
  <si>
    <r>
      <rPr>
        <b/>
        <sz val="12"/>
        <color theme="1"/>
        <rFont val="宋体"/>
        <family val="3"/>
        <charset val="134"/>
      </rPr>
      <t>高温拟合数据</t>
    </r>
    <phoneticPr fontId="1" type="noConversion"/>
  </si>
  <si>
    <r>
      <rPr>
        <b/>
        <sz val="12"/>
        <color theme="1"/>
        <rFont val="宋体"/>
        <family val="3"/>
        <charset val="134"/>
      </rPr>
      <t>低温拟合数据</t>
    </r>
    <phoneticPr fontId="1" type="noConversion"/>
  </si>
  <si>
    <r>
      <rPr>
        <b/>
        <sz val="12"/>
        <color theme="1"/>
        <rFont val="宋体"/>
        <family val="3"/>
        <charset val="134"/>
      </rPr>
      <t xml:space="preserve">流道长度
</t>
    </r>
    <r>
      <rPr>
        <b/>
        <sz val="12"/>
        <color theme="1"/>
        <rFont val="Times New Roman"/>
        <family val="1"/>
      </rPr>
      <t>m</t>
    </r>
    <phoneticPr fontId="1" type="noConversion"/>
  </si>
  <si>
    <r>
      <rPr>
        <b/>
        <sz val="12"/>
        <color theme="1"/>
        <rFont val="宋体"/>
        <family val="3"/>
        <charset val="134"/>
      </rPr>
      <t xml:space="preserve">特征长度
</t>
    </r>
    <r>
      <rPr>
        <b/>
        <sz val="12"/>
        <color theme="1"/>
        <rFont val="Times New Roman"/>
        <family val="1"/>
      </rPr>
      <t>m</t>
    </r>
    <phoneticPr fontId="1" type="noConversion"/>
  </si>
  <si>
    <r>
      <rPr>
        <b/>
        <sz val="12"/>
        <color theme="1"/>
        <rFont val="宋体"/>
        <family val="3"/>
        <charset val="134"/>
      </rPr>
      <t xml:space="preserve">总核心区截面流通面积
</t>
    </r>
    <r>
      <rPr>
        <b/>
        <sz val="12"/>
        <color theme="1"/>
        <rFont val="Times New Roman"/>
        <family val="1"/>
      </rPr>
      <t>m^2</t>
    </r>
    <phoneticPr fontId="1" type="noConversion"/>
  </si>
  <si>
    <r>
      <rPr>
        <b/>
        <sz val="12"/>
        <color theme="1"/>
        <rFont val="宋体"/>
        <family val="3"/>
        <charset val="134"/>
      </rPr>
      <t xml:space="preserve">总换热面积
</t>
    </r>
    <r>
      <rPr>
        <b/>
        <sz val="12"/>
        <color theme="1"/>
        <rFont val="Times New Roman"/>
        <family val="1"/>
      </rPr>
      <t>m^2</t>
    </r>
    <phoneticPr fontId="1" type="noConversion"/>
  </si>
  <si>
    <r>
      <rPr>
        <b/>
        <sz val="12"/>
        <color theme="1"/>
        <rFont val="宋体"/>
        <family val="3"/>
        <charset val="134"/>
      </rPr>
      <t>质量流量</t>
    </r>
    <r>
      <rPr>
        <b/>
        <sz val="12"/>
        <color theme="1"/>
        <rFont val="Times New Roman"/>
        <family val="1"/>
      </rPr>
      <t xml:space="preserve"> 
kg/s</t>
    </r>
    <phoneticPr fontId="1" type="noConversion"/>
  </si>
  <si>
    <r>
      <rPr>
        <b/>
        <sz val="12"/>
        <color theme="1"/>
        <rFont val="宋体"/>
        <family val="3"/>
        <charset val="134"/>
      </rPr>
      <t>入口温度
℃</t>
    </r>
    <phoneticPr fontId="1" type="noConversion"/>
  </si>
  <si>
    <r>
      <rPr>
        <b/>
        <sz val="12"/>
        <color theme="1"/>
        <rFont val="宋体"/>
        <family val="3"/>
        <charset val="134"/>
      </rPr>
      <t xml:space="preserve">入口压力
</t>
    </r>
    <r>
      <rPr>
        <b/>
        <sz val="12"/>
        <color theme="1"/>
        <rFont val="Times New Roman"/>
        <family val="1"/>
      </rPr>
      <t>MPa</t>
    </r>
    <phoneticPr fontId="1" type="noConversion"/>
  </si>
  <si>
    <r>
      <rPr>
        <b/>
        <sz val="12"/>
        <color theme="1"/>
        <rFont val="宋体"/>
        <family val="3"/>
        <charset val="134"/>
      </rPr>
      <t>出口温度
℃</t>
    </r>
    <phoneticPr fontId="1" type="noConversion"/>
  </si>
  <si>
    <r>
      <rPr>
        <b/>
        <sz val="12"/>
        <color theme="1"/>
        <rFont val="宋体"/>
        <family val="3"/>
        <charset val="134"/>
      </rPr>
      <t xml:space="preserve">出口压力
</t>
    </r>
    <r>
      <rPr>
        <b/>
        <sz val="12"/>
        <color theme="1"/>
        <rFont val="Times New Roman"/>
        <family val="1"/>
      </rPr>
      <t>MPa</t>
    </r>
    <phoneticPr fontId="1" type="noConversion"/>
  </si>
  <si>
    <r>
      <rPr>
        <b/>
        <sz val="12"/>
        <color theme="1"/>
        <rFont val="宋体"/>
        <family val="3"/>
        <charset val="134"/>
      </rPr>
      <t xml:space="preserve">质量流量
</t>
    </r>
    <r>
      <rPr>
        <b/>
        <sz val="12"/>
        <color theme="1"/>
        <rFont val="Times New Roman"/>
        <family val="1"/>
      </rPr>
      <t>kg/s</t>
    </r>
    <phoneticPr fontId="1" type="noConversion"/>
  </si>
  <si>
    <r>
      <rPr>
        <b/>
        <sz val="12"/>
        <color theme="1"/>
        <rFont val="宋体"/>
        <family val="3"/>
        <charset val="134"/>
      </rPr>
      <t xml:space="preserve">入口焓值
</t>
    </r>
    <r>
      <rPr>
        <b/>
        <sz val="12"/>
        <color theme="1"/>
        <rFont val="Times New Roman"/>
        <family val="1"/>
      </rPr>
      <t>kJ/kg</t>
    </r>
    <phoneticPr fontId="1" type="noConversion"/>
  </si>
  <si>
    <r>
      <rPr>
        <b/>
        <sz val="12"/>
        <color theme="1"/>
        <rFont val="宋体"/>
        <family val="3"/>
        <charset val="134"/>
      </rPr>
      <t xml:space="preserve">出口焓值
</t>
    </r>
    <r>
      <rPr>
        <b/>
        <sz val="12"/>
        <color theme="1"/>
        <rFont val="Times New Roman"/>
        <family val="1"/>
      </rPr>
      <t>kJ/kg</t>
    </r>
    <phoneticPr fontId="1" type="noConversion"/>
  </si>
  <si>
    <r>
      <rPr>
        <b/>
        <sz val="12"/>
        <color theme="1"/>
        <rFont val="宋体"/>
        <family val="3"/>
        <charset val="134"/>
      </rPr>
      <t xml:space="preserve">换热量
</t>
    </r>
    <r>
      <rPr>
        <b/>
        <sz val="12"/>
        <color theme="1"/>
        <rFont val="Times New Roman"/>
        <family val="1"/>
      </rPr>
      <t>kW</t>
    </r>
    <phoneticPr fontId="1" type="noConversion"/>
  </si>
  <si>
    <r>
      <rPr>
        <b/>
        <sz val="12"/>
        <color theme="1"/>
        <rFont val="宋体"/>
        <family val="3"/>
        <charset val="134"/>
      </rPr>
      <t xml:space="preserve">压差
</t>
    </r>
    <r>
      <rPr>
        <b/>
        <sz val="12"/>
        <color theme="1"/>
        <rFont val="Times New Roman"/>
        <family val="1"/>
      </rPr>
      <t>Mpa</t>
    </r>
    <phoneticPr fontId="1" type="noConversion"/>
  </si>
  <si>
    <r>
      <rPr>
        <b/>
        <sz val="12"/>
        <color theme="1"/>
        <rFont val="宋体"/>
        <family val="3"/>
        <charset val="134"/>
      </rPr>
      <t>热平衡</t>
    </r>
    <phoneticPr fontId="1" type="noConversion"/>
  </si>
  <si>
    <r>
      <rPr>
        <b/>
        <sz val="12"/>
        <color theme="1"/>
        <rFont val="宋体"/>
        <family val="3"/>
        <charset val="134"/>
      </rPr>
      <t>进出口均温
℃</t>
    </r>
    <phoneticPr fontId="1" type="noConversion"/>
  </si>
  <si>
    <r>
      <rPr>
        <b/>
        <sz val="12"/>
        <color theme="1"/>
        <rFont val="宋体"/>
        <family val="3"/>
        <charset val="134"/>
      </rPr>
      <t xml:space="preserve">进出口均压
</t>
    </r>
    <r>
      <rPr>
        <b/>
        <sz val="12"/>
        <color theme="1"/>
        <rFont val="Times New Roman"/>
        <family val="1"/>
      </rPr>
      <t>MPa</t>
    </r>
    <phoneticPr fontId="1" type="noConversion"/>
  </si>
  <si>
    <r>
      <rPr>
        <b/>
        <sz val="12"/>
        <color theme="1"/>
        <rFont val="宋体"/>
        <family val="3"/>
        <charset val="134"/>
      </rPr>
      <t xml:space="preserve">动力粘度
</t>
    </r>
    <r>
      <rPr>
        <b/>
        <sz val="12"/>
        <color theme="1"/>
        <rFont val="Times New Roman"/>
        <family val="1"/>
      </rPr>
      <t>Pa-s</t>
    </r>
    <phoneticPr fontId="1" type="noConversion"/>
  </si>
  <si>
    <r>
      <rPr>
        <b/>
        <sz val="12"/>
        <color theme="1"/>
        <rFont val="宋体"/>
        <family val="3"/>
        <charset val="134"/>
      </rPr>
      <t xml:space="preserve">定压比热
</t>
    </r>
    <r>
      <rPr>
        <b/>
        <sz val="12"/>
        <color theme="1"/>
        <rFont val="Times New Roman"/>
        <family val="1"/>
      </rPr>
      <t>kJ/kg-K</t>
    </r>
    <phoneticPr fontId="1" type="noConversion"/>
  </si>
  <si>
    <r>
      <rPr>
        <b/>
        <sz val="12"/>
        <color theme="1"/>
        <rFont val="宋体"/>
        <family val="3"/>
        <charset val="134"/>
      </rPr>
      <t xml:space="preserve">流体导热系数
</t>
    </r>
    <r>
      <rPr>
        <b/>
        <sz val="12"/>
        <color theme="1"/>
        <rFont val="Times New Roman"/>
        <family val="1"/>
      </rPr>
      <t>W/(m-K)</t>
    </r>
    <phoneticPr fontId="1" type="noConversion"/>
  </si>
  <si>
    <r>
      <rPr>
        <b/>
        <sz val="12"/>
        <color theme="1"/>
        <rFont val="宋体"/>
        <family val="3"/>
        <charset val="134"/>
      </rPr>
      <t>流体密度</t>
    </r>
    <r>
      <rPr>
        <b/>
        <sz val="12"/>
        <color theme="1"/>
        <rFont val="Times New Roman"/>
        <family val="1"/>
      </rPr>
      <t>kg/m^3</t>
    </r>
  </si>
  <si>
    <r>
      <rPr>
        <b/>
        <sz val="12"/>
        <color theme="1"/>
        <rFont val="宋体"/>
        <family val="3"/>
        <charset val="134"/>
      </rPr>
      <t>壁面温度
℃</t>
    </r>
    <phoneticPr fontId="1" type="noConversion"/>
  </si>
  <si>
    <r>
      <rPr>
        <b/>
        <sz val="12"/>
        <color theme="1"/>
        <rFont val="宋体"/>
        <family val="3"/>
        <charset val="134"/>
      </rPr>
      <t>出口焓值</t>
    </r>
    <r>
      <rPr>
        <b/>
        <sz val="12"/>
        <color theme="1"/>
        <rFont val="Times New Roman"/>
        <family val="3"/>
      </rPr>
      <t xml:space="preserve">
</t>
    </r>
    <r>
      <rPr>
        <b/>
        <sz val="12"/>
        <color theme="1"/>
        <rFont val="Times New Roman"/>
        <family val="1"/>
      </rPr>
      <t>kJ/kg</t>
    </r>
    <phoneticPr fontId="1" type="noConversion"/>
  </si>
  <si>
    <r>
      <rPr>
        <b/>
        <sz val="12"/>
        <rFont val="宋体"/>
        <family val="3"/>
        <charset val="134"/>
      </rPr>
      <t>对流换热系数</t>
    </r>
    <r>
      <rPr>
        <b/>
        <sz val="12"/>
        <rFont val="Times New Roman"/>
        <family val="1"/>
      </rPr>
      <t xml:space="preserve">
w/(m^2.K)</t>
    </r>
    <phoneticPr fontId="1" type="noConversion"/>
  </si>
  <si>
    <r>
      <rPr>
        <b/>
        <sz val="12"/>
        <color theme="1"/>
        <rFont val="宋体"/>
        <family val="3"/>
        <charset val="134"/>
      </rPr>
      <t>对流换热系数</t>
    </r>
    <r>
      <rPr>
        <b/>
        <sz val="12"/>
        <color theme="1"/>
        <rFont val="Times New Roman"/>
        <family val="1"/>
      </rPr>
      <t xml:space="preserve">
w/(m^2.K)</t>
    </r>
    <phoneticPr fontId="1" type="noConversion"/>
  </si>
  <si>
    <t>通用几何参数</t>
  </si>
  <si>
    <t>高温侧测试数据</t>
  </si>
  <si>
    <t>低温侧测试数据</t>
  </si>
  <si>
    <t>高温侧初步数据处理</t>
  </si>
  <si>
    <t>低温侧初步数据处理</t>
  </si>
  <si>
    <t>高温物性数据</t>
  </si>
  <si>
    <t>低温物性数据</t>
  </si>
  <si>
    <t>高温拟合数据</t>
  </si>
  <si>
    <t>低温拟合数据</t>
  </si>
  <si>
    <t>流道长度
m</t>
  </si>
  <si>
    <t>特征长度
m</t>
  </si>
  <si>
    <t>总核心区截面流通面积
m^2</t>
  </si>
  <si>
    <t>总换热面积
m^2</t>
  </si>
  <si>
    <t>质量流量 
kg/s</t>
  </si>
  <si>
    <t>入口温度
℃</t>
  </si>
  <si>
    <t>入口压力
MPa</t>
  </si>
  <si>
    <t>出口温度
℃</t>
  </si>
  <si>
    <t>出口压力
MPa</t>
  </si>
  <si>
    <t>质量流量
kg/s</t>
  </si>
  <si>
    <t>入口焓值
kJ/kg</t>
  </si>
  <si>
    <t>出口焓值
kJ/kg</t>
  </si>
  <si>
    <t>换热量
kW</t>
  </si>
  <si>
    <t>压差
Mpa</t>
  </si>
  <si>
    <t>热平衡</t>
  </si>
  <si>
    <t>进出口均温
℃</t>
  </si>
  <si>
    <t>进出口均压
MPa</t>
  </si>
  <si>
    <t>动力粘度
Pa-s</t>
  </si>
  <si>
    <t>定压比热
kJ/kg-K</t>
  </si>
  <si>
    <t>流体导热系数
W/(m-K)</t>
  </si>
  <si>
    <t>流体密度kg/m^3</t>
  </si>
  <si>
    <t>壁面温度
℃</t>
  </si>
  <si>
    <t>对流换热系数
w/(m^2.K)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</si>
</sst>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00_ "/>
    <numFmt numFmtId="177" formatCode="0.00000_ "/>
    <numFmt numFmtId="178" formatCode="0.000000_ "/>
    <numFmt numFmtId="179" formatCode="0.00000_);[Red]\(0.00000\)"/>
    <numFmt numFmtId="180" formatCode="0.000000_);[Red]\(0.000000\)"/>
    <numFmt numFmtId="181" formatCode="0.000_);[Red]\(0.000\)"/>
    <numFmt numFmtId="182" formatCode="0.0000_);[Red]\(0.0000\)"/>
    <numFmt numFmtId="183" formatCode="0.0000_ ;[Red]\-0.0000\ "/>
    <numFmt numFmtId="184" formatCode="0.00_ 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theme="1"/>
      <name val="等线"/>
      <family val="2"/>
      <scheme val="minor"/>
    </font>
    <font>
      <b/>
      <sz val="12"/>
      <name val="Times New Roman"/>
      <family val="1"/>
    </font>
    <font>
      <b/>
      <sz val="12"/>
      <color theme="1"/>
      <name val="等线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宋体"/>
      <family val="3"/>
      <charset val="134"/>
    </font>
    <font>
      <b/>
      <sz val="12"/>
      <color theme="1"/>
      <name val="Times New Roman"/>
      <family val="3"/>
      <charset val="134"/>
    </font>
    <font>
      <b/>
      <sz val="12"/>
      <color theme="1"/>
      <name val="Times New Roman"/>
      <family val="3"/>
    </font>
    <font>
      <b/>
      <sz val="12"/>
      <name val="Times New Roman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61">
    <xf numFmtId="0" fontId="0" fillId="0" borderId="0" xfId="0"/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177" fontId="7" fillId="2" borderId="1" xfId="0" applyNumberFormat="1" applyFont="1" applyFill="1" applyBorder="1" applyAlignment="1">
      <alignment horizontal="center" vertical="center" wrapText="1"/>
    </xf>
    <xf numFmtId="178" fontId="7" fillId="2" borderId="1" xfId="0" applyNumberFormat="1" applyFont="1" applyFill="1" applyBorder="1" applyAlignment="1">
      <alignment horizontal="center" vertical="center" wrapText="1"/>
    </xf>
    <xf numFmtId="179" fontId="7" fillId="3" borderId="1" xfId="0" applyNumberFormat="1" applyFont="1" applyFill="1" applyBorder="1" applyAlignment="1">
      <alignment horizontal="center" vertical="center" wrapText="1"/>
    </xf>
    <xf numFmtId="180" fontId="7" fillId="3" borderId="1" xfId="0" applyNumberFormat="1" applyFont="1" applyFill="1" applyBorder="1" applyAlignment="1">
      <alignment horizontal="center" vertical="center" wrapText="1"/>
    </xf>
    <xf numFmtId="181" fontId="7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82" fontId="7" fillId="2" borderId="1" xfId="0" applyNumberFormat="1" applyFont="1" applyFill="1" applyBorder="1" applyAlignment="1">
      <alignment horizontal="center" vertical="center" wrapText="1"/>
    </xf>
    <xf numFmtId="182" fontId="5" fillId="5" borderId="1" xfId="1" applyNumberFormat="1" applyFont="1" applyFill="1" applyBorder="1" applyAlignment="1">
      <alignment horizontal="center" vertical="center"/>
    </xf>
    <xf numFmtId="182" fontId="7" fillId="0" borderId="1" xfId="0" applyNumberFormat="1" applyFont="1" applyBorder="1" applyAlignment="1">
      <alignment horizontal="center" vertical="center" wrapText="1"/>
    </xf>
    <xf numFmtId="182" fontId="5" fillId="0" borderId="1" xfId="1" applyNumberFormat="1" applyFont="1" applyBorder="1" applyAlignment="1">
      <alignment horizontal="center" vertical="center"/>
    </xf>
    <xf numFmtId="182" fontId="7" fillId="0" borderId="1" xfId="0" applyNumberFormat="1" applyFont="1" applyBorder="1" applyAlignment="1">
      <alignment horizontal="center" vertical="center"/>
    </xf>
    <xf numFmtId="182" fontId="6" fillId="0" borderId="0" xfId="0" applyNumberFormat="1" applyFont="1" applyAlignment="1">
      <alignment horizontal="center" vertical="center"/>
    </xf>
    <xf numFmtId="182" fontId="4" fillId="0" borderId="0" xfId="0" applyNumberFormat="1" applyFont="1" applyAlignment="1">
      <alignment horizontal="center" vertical="center"/>
    </xf>
    <xf numFmtId="182" fontId="7" fillId="3" borderId="1" xfId="0" applyNumberFormat="1" applyFont="1" applyFill="1" applyBorder="1" applyAlignment="1">
      <alignment horizontal="center" vertical="center" wrapText="1"/>
    </xf>
    <xf numFmtId="181" fontId="7" fillId="2" borderId="1" xfId="0" applyNumberFormat="1" applyFont="1" applyFill="1" applyBorder="1" applyAlignment="1">
      <alignment horizontal="center" vertical="center" wrapText="1"/>
    </xf>
    <xf numFmtId="181" fontId="5" fillId="5" borderId="1" xfId="1" applyNumberFormat="1" applyFont="1" applyFill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 wrapText="1"/>
    </xf>
    <xf numFmtId="181" fontId="5" fillId="0" borderId="1" xfId="1" applyNumberFormat="1" applyFont="1" applyBorder="1" applyAlignment="1">
      <alignment horizontal="center" vertical="center"/>
    </xf>
    <xf numFmtId="181" fontId="6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83" fontId="7" fillId="3" borderId="1" xfId="0" applyNumberFormat="1" applyFont="1" applyFill="1" applyBorder="1" applyAlignment="1">
      <alignment horizontal="center" vertical="center" wrapText="1"/>
    </xf>
    <xf numFmtId="183" fontId="7" fillId="0" borderId="1" xfId="0" applyNumberFormat="1" applyFont="1" applyBorder="1" applyAlignment="1">
      <alignment horizontal="center" vertical="center"/>
    </xf>
    <xf numFmtId="183" fontId="4" fillId="0" borderId="0" xfId="0" applyNumberFormat="1" applyFont="1" applyAlignment="1">
      <alignment horizontal="center" vertical="center"/>
    </xf>
    <xf numFmtId="183" fontId="7" fillId="2" borderId="1" xfId="0" applyNumberFormat="1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 wrapText="1"/>
    </xf>
    <xf numFmtId="184" fontId="7" fillId="2" borderId="1" xfId="0" applyNumberFormat="1" applyFont="1" applyFill="1" applyBorder="1" applyAlignment="1">
      <alignment horizontal="center" vertical="center"/>
    </xf>
    <xf numFmtId="184" fontId="7" fillId="0" borderId="1" xfId="0" applyNumberFormat="1" applyFont="1" applyBorder="1" applyAlignment="1">
      <alignment horizontal="center" vertical="center"/>
    </xf>
    <xf numFmtId="184" fontId="4" fillId="0" borderId="0" xfId="0" applyNumberFormat="1" applyFont="1" applyAlignment="1">
      <alignment horizontal="center" vertical="center"/>
    </xf>
    <xf numFmtId="184" fontId="7" fillId="3" borderId="1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11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E54800C7-2321-4EAE-BC5A-FB129DE176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2275\AppData\Roaming\Microsoft\AddIns\REFPROP.XLA" TargetMode="External"/><Relationship Id="rId1" Type="http://schemas.openxmlformats.org/officeDocument/2006/relationships/externalLinkPath" Target="file:///C:\Users\12275\AppData\Roaming\Microsoft\AddIns\REFPROP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CP"/>
      <definedName name="Density"/>
      <definedName name="Enthalpy"/>
      <definedName name="ThermalConductivity"/>
      <definedName name="Viscosity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C1:AW58"/>
  <sheetViews>
    <sheetView topLeftCell="B1" zoomScale="70" zoomScaleNormal="70" workbookViewId="0">
      <pane xSplit="2" ySplit="4" topLeftCell="D5" activePane="bottomRight" state="frozen"/>
      <selection activeCell="B1" sqref="B1"/>
      <selection pane="topRight" activeCell="I1" sqref="I1"/>
      <selection pane="bottomLeft" activeCell="B5" sqref="B5"/>
      <selection pane="bottomRight" activeCell="F12" sqref="C3:AW55"/>
    </sheetView>
  </sheetViews>
  <sheetFormatPr defaultRowHeight="13.8" x14ac:dyDescent="0.25"/>
  <cols>
    <col min="1" max="2" width="8.88671875" style="15"/>
    <col min="3" max="3" width="9" style="15" bestFit="1" customWidth="1"/>
    <col min="4" max="4" width="11.77734375" style="15" customWidth="1"/>
    <col min="5" max="5" width="11.33203125" style="15" customWidth="1"/>
    <col min="6" max="6" width="25.21875" style="15" customWidth="1"/>
    <col min="7" max="7" width="13.6640625" style="15" customWidth="1"/>
    <col min="8" max="8" width="12.77734375" style="35" customWidth="1"/>
    <col min="9" max="9" width="11.6640625" style="28" customWidth="1"/>
    <col min="10" max="10" width="10.5546875" style="28" customWidth="1"/>
    <col min="11" max="11" width="12.6640625" style="28" customWidth="1"/>
    <col min="12" max="12" width="10.5546875" style="28" customWidth="1"/>
    <col min="13" max="13" width="10.88671875" style="35" customWidth="1"/>
    <col min="14" max="14" width="11.77734375" style="28" customWidth="1"/>
    <col min="15" max="15" width="10.44140625" style="28" customWidth="1"/>
    <col min="16" max="16" width="12.44140625" style="28" customWidth="1"/>
    <col min="17" max="17" width="10.33203125" style="28" customWidth="1"/>
    <col min="18" max="18" width="11.77734375" style="23" customWidth="1"/>
    <col min="19" max="19" width="10.77734375" style="23" customWidth="1"/>
    <col min="20" max="20" width="10" style="23" customWidth="1"/>
    <col min="21" max="21" width="8.6640625" style="45" customWidth="1"/>
    <col min="22" max="22" width="10.77734375" style="23" customWidth="1"/>
    <col min="23" max="23" width="12" style="23" customWidth="1"/>
    <col min="24" max="24" width="9.77734375" style="23" customWidth="1"/>
    <col min="25" max="25" width="9.77734375" style="45" customWidth="1"/>
    <col min="26" max="26" width="9.33203125" style="15" customWidth="1"/>
    <col min="27" max="27" width="13.33203125" style="23" customWidth="1"/>
    <col min="28" max="28" width="13" style="23" customWidth="1"/>
    <col min="29" max="29" width="14.109375" style="15" customWidth="1"/>
    <col min="30" max="30" width="12.44140625" style="24" customWidth="1"/>
    <col min="31" max="31" width="15.44140625" style="25" customWidth="1"/>
    <col min="32" max="32" width="11.33203125" style="23" customWidth="1"/>
    <col min="33" max="33" width="13.33203125" style="23" customWidth="1"/>
    <col min="34" max="34" width="13.77734375" style="23" customWidth="1"/>
    <col min="35" max="35" width="11.33203125" style="15" customWidth="1"/>
    <col min="36" max="36" width="13" style="26" customWidth="1"/>
    <col min="37" max="37" width="15.77734375" style="27" customWidth="1"/>
    <col min="38" max="38" width="12.33203125" style="28" bestFit="1" customWidth="1"/>
    <col min="39" max="39" width="10.77734375" style="52" customWidth="1"/>
    <col min="40" max="40" width="8.88671875" style="23" customWidth="1"/>
    <col min="41" max="41" width="10.44140625" style="23" customWidth="1"/>
    <col min="42" max="42" width="8.6640625" style="23" customWidth="1"/>
    <col min="43" max="43" width="11.109375" style="52" bestFit="1" customWidth="1"/>
    <col min="44" max="44" width="11.109375" style="23" bestFit="1" customWidth="1"/>
    <col min="45" max="45" width="10.44140625" style="23" customWidth="1"/>
    <col min="46" max="46" width="8" style="23" customWidth="1"/>
    <col min="47" max="47" width="11" style="23" customWidth="1"/>
    <col min="48" max="48" width="15.77734375" style="23" customWidth="1"/>
    <col min="49" max="49" width="15.5546875" style="23" customWidth="1"/>
    <col min="50" max="16384" width="8.88671875" style="15"/>
  </cols>
  <sheetData>
    <row r="1" spans="3:49" ht="26.4" customHeight="1" x14ac:dyDescent="0.25"/>
    <row r="3" spans="3:49" ht="15.6" x14ac:dyDescent="0.25">
      <c r="C3" s="13"/>
      <c r="D3" s="14"/>
      <c r="E3" s="60" t="s">
        <v>8</v>
      </c>
      <c r="F3" s="60"/>
      <c r="G3" s="60"/>
      <c r="H3" s="58" t="s">
        <v>9</v>
      </c>
      <c r="I3" s="58"/>
      <c r="J3" s="58"/>
      <c r="K3" s="58"/>
      <c r="L3" s="58"/>
      <c r="M3" s="59" t="s">
        <v>10</v>
      </c>
      <c r="N3" s="59"/>
      <c r="O3" s="59"/>
      <c r="P3" s="59"/>
      <c r="Q3" s="59"/>
      <c r="R3" s="58" t="s">
        <v>11</v>
      </c>
      <c r="S3" s="58"/>
      <c r="T3" s="58"/>
      <c r="U3" s="58"/>
      <c r="V3" s="59" t="s">
        <v>12</v>
      </c>
      <c r="W3" s="59"/>
      <c r="X3" s="59"/>
      <c r="Y3" s="59"/>
      <c r="Z3" s="1"/>
      <c r="AA3" s="58" t="s">
        <v>13</v>
      </c>
      <c r="AB3" s="58"/>
      <c r="AC3" s="58"/>
      <c r="AD3" s="58"/>
      <c r="AE3" s="58"/>
      <c r="AF3" s="58"/>
      <c r="AG3" s="59" t="s">
        <v>14</v>
      </c>
      <c r="AH3" s="59"/>
      <c r="AI3" s="59"/>
      <c r="AJ3" s="59"/>
      <c r="AK3" s="59"/>
      <c r="AL3" s="59"/>
      <c r="AM3" s="58" t="s">
        <v>15</v>
      </c>
      <c r="AN3" s="58"/>
      <c r="AO3" s="58"/>
      <c r="AP3" s="58"/>
      <c r="AQ3" s="59" t="s">
        <v>16</v>
      </c>
      <c r="AR3" s="59"/>
      <c r="AS3" s="59"/>
      <c r="AT3" s="59"/>
      <c r="AU3" s="48"/>
      <c r="AV3" s="56"/>
      <c r="AW3" s="55"/>
    </row>
    <row r="4" spans="3:49" ht="31.8" x14ac:dyDescent="0.25">
      <c r="C4" s="13"/>
      <c r="D4" s="2" t="s">
        <v>17</v>
      </c>
      <c r="E4" s="2" t="s">
        <v>18</v>
      </c>
      <c r="F4" s="3" t="s">
        <v>19</v>
      </c>
      <c r="G4" s="2" t="s">
        <v>20</v>
      </c>
      <c r="H4" s="29" t="s">
        <v>21</v>
      </c>
      <c r="I4" s="37" t="s">
        <v>22</v>
      </c>
      <c r="J4" s="37" t="s">
        <v>23</v>
      </c>
      <c r="K4" s="37" t="s">
        <v>24</v>
      </c>
      <c r="L4" s="37" t="s">
        <v>25</v>
      </c>
      <c r="M4" s="36" t="s">
        <v>26</v>
      </c>
      <c r="N4" s="12" t="s">
        <v>22</v>
      </c>
      <c r="O4" s="12" t="s">
        <v>23</v>
      </c>
      <c r="P4" s="12" t="s">
        <v>24</v>
      </c>
      <c r="Q4" s="12" t="s">
        <v>25</v>
      </c>
      <c r="R4" s="6" t="s">
        <v>27</v>
      </c>
      <c r="S4" s="6" t="s">
        <v>28</v>
      </c>
      <c r="T4" s="6" t="s">
        <v>29</v>
      </c>
      <c r="U4" s="46" t="s">
        <v>30</v>
      </c>
      <c r="V4" s="7" t="s">
        <v>27</v>
      </c>
      <c r="W4" s="47" t="s">
        <v>39</v>
      </c>
      <c r="X4" s="7" t="s">
        <v>29</v>
      </c>
      <c r="Y4" s="43" t="s">
        <v>30</v>
      </c>
      <c r="Z4" s="1" t="s">
        <v>31</v>
      </c>
      <c r="AA4" s="6" t="s">
        <v>32</v>
      </c>
      <c r="AB4" s="6" t="s">
        <v>33</v>
      </c>
      <c r="AC4" s="4" t="s">
        <v>34</v>
      </c>
      <c r="AD4" s="8" t="s">
        <v>35</v>
      </c>
      <c r="AE4" s="9" t="s">
        <v>36</v>
      </c>
      <c r="AF4" s="6" t="s">
        <v>37</v>
      </c>
      <c r="AG4" s="7" t="s">
        <v>32</v>
      </c>
      <c r="AH4" s="7" t="s">
        <v>33</v>
      </c>
      <c r="AI4" s="5" t="s">
        <v>34</v>
      </c>
      <c r="AJ4" s="10" t="s">
        <v>35</v>
      </c>
      <c r="AK4" s="11" t="s">
        <v>36</v>
      </c>
      <c r="AL4" s="12" t="s">
        <v>37</v>
      </c>
      <c r="AM4" s="50" t="s">
        <v>1</v>
      </c>
      <c r="AN4" s="54" t="s">
        <v>3</v>
      </c>
      <c r="AO4" s="54" t="s">
        <v>5</v>
      </c>
      <c r="AP4" s="54" t="s">
        <v>7</v>
      </c>
      <c r="AQ4" s="53" t="s">
        <v>0</v>
      </c>
      <c r="AR4" s="55" t="s">
        <v>2</v>
      </c>
      <c r="AS4" s="55" t="s">
        <v>4</v>
      </c>
      <c r="AT4" s="55" t="s">
        <v>6</v>
      </c>
      <c r="AU4" s="49" t="s">
        <v>38</v>
      </c>
      <c r="AV4" s="57" t="s">
        <v>40</v>
      </c>
      <c r="AW4" s="47" t="s">
        <v>41</v>
      </c>
    </row>
    <row r="5" spans="3:49" ht="15.6" x14ac:dyDescent="0.25">
      <c r="C5" s="13">
        <v>1</v>
      </c>
      <c r="D5" s="14">
        <f>182/1000</f>
        <v>0.182</v>
      </c>
      <c r="E5" s="14">
        <v>2.5699999999999998E-3</v>
      </c>
      <c r="F5" s="14">
        <v>5.9363999999999999E-4</v>
      </c>
      <c r="G5" s="14">
        <v>0.16346304</v>
      </c>
      <c r="H5" s="30">
        <v>4.8445133333333355E-2</v>
      </c>
      <c r="I5" s="38">
        <v>130.40133333333327</v>
      </c>
      <c r="J5" s="38">
        <v>8.8993066666666643</v>
      </c>
      <c r="K5" s="38">
        <v>102.05999999999997</v>
      </c>
      <c r="L5" s="38">
        <v>8.8837866666666656</v>
      </c>
      <c r="M5" s="30">
        <v>5.0528951851851849E-2</v>
      </c>
      <c r="N5" s="38">
        <v>101.15066666666665</v>
      </c>
      <c r="O5" s="38">
        <v>8.870613333333333</v>
      </c>
      <c r="P5" s="38">
        <v>126.96666666666664</v>
      </c>
      <c r="Q5" s="38">
        <v>8.8689733333333329</v>
      </c>
      <c r="R5" s="16">
        <f>IFERROR([1]!Enthalpy("CO2","TP","SI",I5+273.15,J5),"N/A")</f>
        <v>553.2676344999843</v>
      </c>
      <c r="S5" s="16">
        <f>IFERROR([1]!Enthalpy("CO2","TP","SI",K5+273.15,L5),"N/A")</f>
        <v>515.95517827809431</v>
      </c>
      <c r="T5" s="16">
        <f t="shared" ref="T5" si="0">(R5-S5)*H5</f>
        <v>1.8076069166636242</v>
      </c>
      <c r="U5" s="44">
        <f t="shared" ref="U5" si="1">J5-L5</f>
        <v>1.5519999999998646E-2</v>
      </c>
      <c r="V5" s="16">
        <f>IFERROR([1]!Enthalpy("CO2","TP","SI",N5+273.15,O5),"N/A")</f>
        <v>514.78347037345748</v>
      </c>
      <c r="W5" s="16">
        <f>IFERROR([1]!Enthalpy("CO2","TP","SI",P5+273.15,Q5),"N/A")</f>
        <v>549.09776815143459</v>
      </c>
      <c r="X5" s="16">
        <f t="shared" ref="X5" si="2">(W5-V5)*M5</f>
        <v>1.7338655002535126</v>
      </c>
      <c r="Y5" s="44">
        <f t="shared" ref="Y5" si="3">O5-Q5</f>
        <v>1.6400000000000858E-3</v>
      </c>
      <c r="Z5" s="17">
        <f t="shared" ref="Z5" si="4">(X5-T5)/T5</f>
        <v>-4.0795051031459417E-2</v>
      </c>
      <c r="AA5" s="16">
        <f t="shared" ref="AA5" si="5">(I5+K5)/2</f>
        <v>116.23066666666662</v>
      </c>
      <c r="AB5" s="16">
        <f t="shared" ref="AB5" si="6">(J5+L5)/2</f>
        <v>8.8915466666666649</v>
      </c>
      <c r="AC5" s="14">
        <f>IFERROR([1]!Viscosity("CO2","TP","SI",AA5+273.15,AB5)/1000000,"N/A")</f>
        <v>2.1382190102958494E-5</v>
      </c>
      <c r="AD5" s="18">
        <f>IFERROR([1]!CP("CO2","TP","SI",AA5+273.15,AB5),"N/A")</f>
        <v>1.315654471571625</v>
      </c>
      <c r="AE5" s="19">
        <f>IFERROR([1]!ThermalConductivity("CO2","TP","SI",AA5+273.15,AB5)/1000,"N/A")</f>
        <v>3.001877518009792E-2</v>
      </c>
      <c r="AF5" s="16">
        <f>IFERROR([1]!Density("CO2","TP","SI",AA5+273.15,AB5),"N/A")</f>
        <v>147.70399421686398</v>
      </c>
      <c r="AG5" s="16">
        <f t="shared" ref="AG5" si="7">(N5+P5)/2</f>
        <v>114.05866666666665</v>
      </c>
      <c r="AH5" s="16">
        <f t="shared" ref="AH5" si="8">(O5+Q5)/2</f>
        <v>8.8697933333333339</v>
      </c>
      <c r="AI5" s="14">
        <f>IFERROR([1]!Viscosity("CO2","TP","SI",AG5+273.15,AH5)/1000000,"N/A")</f>
        <v>2.1314224278901203E-5</v>
      </c>
      <c r="AJ5" s="20">
        <f>IFERROR([1]!CP("CO2","TP","SI",AG5+273.15,AH5),"N/A")</f>
        <v>1.3246653955789733</v>
      </c>
      <c r="AK5" s="21">
        <f>IFERROR([1]!ThermalConductivity("CO2","TP","SI",AG5+273.15,AH5)/1000,"N/A")</f>
        <v>2.9919158123203001E-2</v>
      </c>
      <c r="AL5" s="22">
        <f>IFERROR([1]!Density("CO2","TP","SI",AG5+273.15,AH5),"N/A")</f>
        <v>148.91131243527295</v>
      </c>
      <c r="AM5" s="51">
        <f>(H5*E5)/(AC5*F5)</f>
        <v>9808.6205955004625</v>
      </c>
      <c r="AN5" s="16">
        <f t="shared" ref="AN5" si="9">AC5*AD5*1000/AE5</f>
        <v>0.93713263956228221</v>
      </c>
      <c r="AO5" s="16">
        <f>AV5*E5/AE5</f>
        <v>871.75561391921383</v>
      </c>
      <c r="AP5" s="16">
        <f>(2*U5*1000000*AF5*F5*F5*E5)/(H5*H5*D5)</f>
        <v>9.7212405406532909</v>
      </c>
      <c r="AQ5" s="51">
        <f>(M5*E5)/(AI5*F5)</f>
        <v>10263.151153011837</v>
      </c>
      <c r="AR5" s="16">
        <f t="shared" ref="AR5" si="10">AI5*AJ5*1000/AK5</f>
        <v>0.94368348265699797</v>
      </c>
      <c r="AS5" s="16">
        <f>AW5*E5/AK5</f>
        <v>838.97643551738327</v>
      </c>
      <c r="AT5" s="16">
        <f>(2*Y5*1000000*AL5*F5*F5*E5)/(M5*M5*D5)</f>
        <v>0.95198258585426676</v>
      </c>
      <c r="AU5" s="16">
        <f>(AA5+AG5)/2</f>
        <v>115.14466666666664</v>
      </c>
      <c r="AV5" s="16">
        <f>T5*1000/(G5*(AA5-AU5))</f>
        <v>10182.504196976312</v>
      </c>
      <c r="AW5" s="16">
        <f>X5*1000/(G5*(AU5-AG5))</f>
        <v>9767.1084186326134</v>
      </c>
    </row>
    <row r="6" spans="3:49" ht="15.6" x14ac:dyDescent="0.25">
      <c r="C6" s="13">
        <v>2</v>
      </c>
      <c r="D6" s="14">
        <f>182/1000</f>
        <v>0.182</v>
      </c>
      <c r="E6" s="14">
        <v>2.5699999999999998E-3</v>
      </c>
      <c r="F6" s="14">
        <v>5.9363999999999999E-4</v>
      </c>
      <c r="G6" s="14">
        <v>0.16346304</v>
      </c>
      <c r="H6" s="31">
        <v>7.3929089052287608E-2</v>
      </c>
      <c r="I6" s="39">
        <v>140.70441176470584</v>
      </c>
      <c r="J6" s="39">
        <v>9.276397058823532</v>
      </c>
      <c r="K6" s="39">
        <v>105.86176470588236</v>
      </c>
      <c r="L6" s="39">
        <v>9.2493970588235328</v>
      </c>
      <c r="M6" s="31">
        <v>7.537820669934639E-2</v>
      </c>
      <c r="N6" s="39">
        <v>100.88382352941179</v>
      </c>
      <c r="O6" s="39">
        <v>9.1512058823529419</v>
      </c>
      <c r="P6" s="39">
        <v>135.26323529411764</v>
      </c>
      <c r="Q6" s="39">
        <v>9.1404264705882348</v>
      </c>
      <c r="R6" s="16">
        <f>IFERROR([1]!Enthalpy("CO2","TP","SI",I6+273.15,J6),"N/A")</f>
        <v>564.08474410292922</v>
      </c>
      <c r="S6" s="16">
        <f>IFERROR([1]!Enthalpy("CO2","TP","SI",K6+273.15,L6),"N/A")</f>
        <v>518.51660681853525</v>
      </c>
      <c r="T6" s="16">
        <f t="shared" ref="T6:T55" si="11">(R6-S6)*H6</f>
        <v>3.3688108792448288</v>
      </c>
      <c r="U6" s="44">
        <f t="shared" ref="U6:U55" si="12">J6-L6</f>
        <v>2.6999999999999247E-2</v>
      </c>
      <c r="V6" s="16">
        <f>IFERROR([1]!Enthalpy("CO2","TP","SI",N6+273.15,O6),"N/A")</f>
        <v>512.21931457550431</v>
      </c>
      <c r="W6" s="16">
        <f>IFERROR([1]!Enthalpy("CO2","TP","SI",P6+273.15,Q6),"N/A")</f>
        <v>558.01332675835363</v>
      </c>
      <c r="X6" s="16">
        <f t="shared" ref="X6:X55" si="13">(W6-V6)*M6</f>
        <v>3.4518705159112022</v>
      </c>
      <c r="Y6" s="44">
        <f t="shared" ref="Y6:Y55" si="14">O6-Q6</f>
        <v>1.0779411764707092E-2</v>
      </c>
      <c r="Z6" s="17">
        <f t="shared" ref="Z6:Z55" si="15">(X6-T6)/T6</f>
        <v>2.4655476262589279E-2</v>
      </c>
      <c r="AA6" s="16">
        <f t="shared" ref="AA6:AA55" si="16">(I6+K6)/2</f>
        <v>123.2830882352941</v>
      </c>
      <c r="AB6" s="16">
        <f t="shared" ref="AB6:AB55" si="17">(J6+L6)/2</f>
        <v>9.2628970588235333</v>
      </c>
      <c r="AC6" s="14">
        <f>IFERROR([1]!Viscosity("CO2","TP","SI",AA6+273.15,AB6)/1000000,"N/A")</f>
        <v>2.1756484535634176E-5</v>
      </c>
      <c r="AD6" s="18">
        <f>IFERROR([1]!CP("CO2","TP","SI",AA6+273.15,AB6),"N/A")</f>
        <v>1.3067536125871708</v>
      </c>
      <c r="AE6" s="19">
        <f>IFERROR([1]!ThermalConductivity("CO2","TP","SI",AA6+273.15,AB6)/1000,"N/A")</f>
        <v>3.0674240600787897E-2</v>
      </c>
      <c r="AF6" s="16">
        <f>IFERROR([1]!Density("CO2","TP","SI",AA6+273.15,AB6),"N/A")</f>
        <v>149.86575160132179</v>
      </c>
      <c r="AG6" s="16">
        <f t="shared" ref="AG6:AG55" si="18">(N6+P6)/2</f>
        <v>118.07352941176471</v>
      </c>
      <c r="AH6" s="16">
        <f t="shared" ref="AH6:AH55" si="19">(O6+Q6)/2</f>
        <v>9.1458161764705892</v>
      </c>
      <c r="AI6" s="14">
        <f>IFERROR([1]!Viscosity("CO2","TP","SI",AG6+273.15,AH6)/1000000,"N/A")</f>
        <v>2.1561696444258779E-5</v>
      </c>
      <c r="AJ6" s="20">
        <f>IFERROR([1]!CP("CO2","TP","SI",AG6+273.15,AH6),"N/A")</f>
        <v>1.3230425503224705</v>
      </c>
      <c r="AK6" s="21">
        <f>IFERROR([1]!ThermalConductivity("CO2","TP","SI",AG6+273.15,AH6)/1000,"N/A")</f>
        <v>3.0361952522410474E-2</v>
      </c>
      <c r="AL6" s="22">
        <f>IFERROR([1]!Density("CO2","TP","SI",AG6+273.15,AH6),"N/A")</f>
        <v>151.45009695974016</v>
      </c>
      <c r="AM6" s="51">
        <f t="shared" ref="AM6:AM55" si="20">(H6*E6)/(AC6*F6)</f>
        <v>14710.81044494651</v>
      </c>
      <c r="AN6" s="16">
        <f t="shared" ref="AN6:AN55" si="21">AC6*AD6*1000/AE6</f>
        <v>0.92684820250795752</v>
      </c>
      <c r="AO6" s="16">
        <f t="shared" ref="AO6:AO55" si="22">AV6*E6/AE6</f>
        <v>662.89602150161124</v>
      </c>
      <c r="AP6" s="16">
        <f t="shared" ref="AP6:AP55" si="23">(2*U6*1000000*AF6*F6*F6*E6)/(H6*H6*D6)</f>
        <v>7.3684050969827268</v>
      </c>
      <c r="AQ6" s="51">
        <f t="shared" ref="AQ6:AQ55" si="24">(M6*E6)/(AI6*F6)</f>
        <v>15134.665975164227</v>
      </c>
      <c r="AR6" s="16">
        <f t="shared" ref="AR6:AR55" si="25">AI6*AJ6*1000/AK6</f>
        <v>0.93956545883651499</v>
      </c>
      <c r="AS6" s="16">
        <f t="shared" ref="AS6:AS55" si="26">AW6*E6/AK6</f>
        <v>686.22636686727799</v>
      </c>
      <c r="AT6" s="16">
        <f t="shared" ref="AT6:AT55" si="27">(2*Y6*1000000*AL6*F6*F6*E6)/(M6*M6*D6)</f>
        <v>2.8596379989359648</v>
      </c>
      <c r="AU6" s="16">
        <f t="shared" ref="AU6:AU55" si="28">(AA6+AG6)/2</f>
        <v>120.67830882352941</v>
      </c>
      <c r="AV6" s="16">
        <f t="shared" ref="AV6:AV55" si="29">T6*1000/(G6*(AA6-AU6))</f>
        <v>7911.9969092784022</v>
      </c>
      <c r="AW6" s="16">
        <f t="shared" ref="AW6:AW55" si="30">X6*1000/(G6*(AU6-AG6))</f>
        <v>8107.0709612647961</v>
      </c>
    </row>
    <row r="7" spans="3:49" ht="15.6" x14ac:dyDescent="0.25">
      <c r="C7" s="13">
        <v>3</v>
      </c>
      <c r="D7" s="14">
        <f t="shared" ref="D7:D12" si="31">182/1000</f>
        <v>0.182</v>
      </c>
      <c r="E7" s="14">
        <v>2.5699999999999998E-3</v>
      </c>
      <c r="F7" s="14">
        <v>5.9363999999999999E-4</v>
      </c>
      <c r="G7" s="14">
        <v>0.16346304</v>
      </c>
      <c r="H7" s="31">
        <v>9.8777632850241534E-2</v>
      </c>
      <c r="I7" s="39">
        <v>130.1282608695652</v>
      </c>
      <c r="J7" s="39">
        <v>9.4499347826086932</v>
      </c>
      <c r="K7" s="39">
        <v>103.6152173913043</v>
      </c>
      <c r="L7" s="39">
        <v>9.4028695652173901</v>
      </c>
      <c r="M7" s="31">
        <v>0.10150222222222219</v>
      </c>
      <c r="N7" s="39">
        <v>99.815217391304344</v>
      </c>
      <c r="O7" s="39">
        <v>9.3730217391304329</v>
      </c>
      <c r="P7" s="39">
        <v>127.87173913043478</v>
      </c>
      <c r="Q7" s="39">
        <v>9.3453913043478263</v>
      </c>
      <c r="R7" s="16">
        <f>IFERROR([1]!Enthalpy("CO2","TP","SI",I7+273.15,J7),"N/A")</f>
        <v>549.6962752308209</v>
      </c>
      <c r="S7" s="16">
        <f>IFERROR([1]!Enthalpy("CO2","TP","SI",K7+273.15,L7),"N/A")</f>
        <v>514.17885210685506</v>
      </c>
      <c r="T7" s="16">
        <f t="shared" si="11"/>
        <v>3.5083269811257765</v>
      </c>
      <c r="U7" s="44">
        <f t="shared" si="12"/>
        <v>4.7065217391303094E-2</v>
      </c>
      <c r="V7" s="16">
        <f>IFERROR([1]!Enthalpy("CO2","TP","SI",N7+273.15,O7),"N/A")</f>
        <v>508.91892963196528</v>
      </c>
      <c r="W7" s="16">
        <f>IFERROR([1]!Enthalpy("CO2","TP","SI",P7+273.15,Q7),"N/A")</f>
        <v>547.40275286463873</v>
      </c>
      <c r="X7" s="16">
        <f t="shared" si="13"/>
        <v>3.906193577723537</v>
      </c>
      <c r="Y7" s="44">
        <f t="shared" si="14"/>
        <v>2.7630434782606628E-2</v>
      </c>
      <c r="Z7" s="17">
        <f t="shared" si="15"/>
        <v>0.11340636113401562</v>
      </c>
      <c r="AA7" s="16">
        <f t="shared" si="16"/>
        <v>116.87173913043475</v>
      </c>
      <c r="AB7" s="16">
        <f t="shared" si="17"/>
        <v>9.4264021739130417</v>
      </c>
      <c r="AC7" s="14">
        <f>IFERROR([1]!Viscosity("CO2","TP","SI",AA7+273.15,AB7)/1000000,"N/A")</f>
        <v>2.1683733724410089E-5</v>
      </c>
      <c r="AD7" s="18">
        <f>IFERROR([1]!CP("CO2","TP","SI",AA7+273.15,AB7),"N/A")</f>
        <v>1.3470253866661566</v>
      </c>
      <c r="AE7" s="19">
        <f>IFERROR([1]!ThermalConductivity("CO2","TP","SI",AA7+273.15,AB7)/1000,"N/A")</f>
        <v>3.064042554554372E-2</v>
      </c>
      <c r="AF7" s="16">
        <f>IFERROR([1]!Density("CO2","TP","SI",AA7+273.15,AB7),"N/A")</f>
        <v>158.14692874981719</v>
      </c>
      <c r="AG7" s="16">
        <f t="shared" si="18"/>
        <v>113.84347826086956</v>
      </c>
      <c r="AH7" s="16">
        <f t="shared" si="19"/>
        <v>9.3592065217391287</v>
      </c>
      <c r="AI7" s="14">
        <f>IFERROR([1]!Viscosity("CO2","TP","SI",AG7+273.15,AH7)/1000000,"N/A")</f>
        <v>2.1577338018118273E-5</v>
      </c>
      <c r="AJ7" s="20">
        <f>IFERROR([1]!CP("CO2","TP","SI",AG7+273.15,AH7),"N/A")</f>
        <v>1.359055107302424</v>
      </c>
      <c r="AK7" s="21">
        <f>IFERROR([1]!ThermalConductivity("CO2","TP","SI",AG7+273.15,AH7)/1000,"N/A")</f>
        <v>3.0479761020811725E-2</v>
      </c>
      <c r="AL7" s="22">
        <f>IFERROR([1]!Density("CO2","TP","SI",AG7+273.15,AH7),"N/A")</f>
        <v>159.30333054529649</v>
      </c>
      <c r="AM7" s="51">
        <f t="shared" si="20"/>
        <v>19721.25350519393</v>
      </c>
      <c r="AN7" s="16">
        <f t="shared" si="21"/>
        <v>0.95326808568876131</v>
      </c>
      <c r="AO7" s="16">
        <f t="shared" si="22"/>
        <v>1188.9279412476324</v>
      </c>
      <c r="AP7" s="16">
        <f t="shared" si="23"/>
        <v>7.5924448577179691</v>
      </c>
      <c r="AQ7" s="51">
        <f t="shared" si="24"/>
        <v>20365.151836220521</v>
      </c>
      <c r="AR7" s="16">
        <f t="shared" si="25"/>
        <v>0.96210699996930094</v>
      </c>
      <c r="AS7" s="16">
        <f t="shared" si="26"/>
        <v>1330.7377190666259</v>
      </c>
      <c r="AT7" s="16">
        <f t="shared" si="27"/>
        <v>4.2520613042682207</v>
      </c>
      <c r="AU7" s="16">
        <f t="shared" si="28"/>
        <v>115.35760869565215</v>
      </c>
      <c r="AV7" s="16">
        <f t="shared" si="29"/>
        <v>14174.808584752787</v>
      </c>
      <c r="AW7" s="16">
        <f t="shared" si="30"/>
        <v>15782.322046120955</v>
      </c>
    </row>
    <row r="8" spans="3:49" ht="15.6" x14ac:dyDescent="0.25">
      <c r="C8" s="13">
        <v>4</v>
      </c>
      <c r="D8" s="14">
        <f t="shared" si="31"/>
        <v>0.182</v>
      </c>
      <c r="E8" s="14">
        <v>2.5699999999999998E-3</v>
      </c>
      <c r="F8" s="14">
        <v>5.9363999999999999E-4</v>
      </c>
      <c r="G8" s="14">
        <v>0.16346304</v>
      </c>
      <c r="H8" s="31">
        <v>0.12427928160919541</v>
      </c>
      <c r="I8" s="39">
        <v>131.0051724137931</v>
      </c>
      <c r="J8" s="39">
        <v>9.8066034482758599</v>
      </c>
      <c r="K8" s="39">
        <v>106.11206896551724</v>
      </c>
      <c r="L8" s="39">
        <v>9.7368103448275907</v>
      </c>
      <c r="M8" s="31">
        <v>0.12559551724137935</v>
      </c>
      <c r="N8" s="39">
        <v>100.85</v>
      </c>
      <c r="O8" s="39">
        <v>9.6066206896551716</v>
      </c>
      <c r="P8" s="39">
        <v>128.61896551724141</v>
      </c>
      <c r="Q8" s="39">
        <v>9.5708620689655177</v>
      </c>
      <c r="R8" s="16">
        <f>IFERROR([1]!Enthalpy("CO2","TP","SI",I8+273.15,J8),"N/A")</f>
        <v>548.7396488684526</v>
      </c>
      <c r="S8" s="16">
        <f>IFERROR([1]!Enthalpy("CO2","TP","SI",K8+273.15,L8),"N/A")</f>
        <v>515.2347372947728</v>
      </c>
      <c r="T8" s="16">
        <f t="shared" si="11"/>
        <v>4.1639663407565433</v>
      </c>
      <c r="U8" s="44">
        <f t="shared" si="12"/>
        <v>6.9793103448269278E-2</v>
      </c>
      <c r="V8" s="16">
        <f>IFERROR([1]!Enthalpy("CO2","TP","SI",N8+273.15,O8),"N/A")</f>
        <v>508.57459742189207</v>
      </c>
      <c r="W8" s="16">
        <f>IFERROR([1]!Enthalpy("CO2","TP","SI",P8+273.15,Q8),"N/A")</f>
        <v>547.02396061572847</v>
      </c>
      <c r="X8" s="16">
        <f t="shared" si="13"/>
        <v>4.829067657931537</v>
      </c>
      <c r="Y8" s="44">
        <f t="shared" si="14"/>
        <v>3.5758620689653853E-2</v>
      </c>
      <c r="Z8" s="17">
        <f t="shared" si="15"/>
        <v>0.15972783225095732</v>
      </c>
      <c r="AA8" s="16">
        <f t="shared" si="16"/>
        <v>118.55862068965517</v>
      </c>
      <c r="AB8" s="16">
        <f t="shared" si="17"/>
        <v>9.7717068965517253</v>
      </c>
      <c r="AC8" s="14">
        <f>IFERROR([1]!Viscosity("CO2","TP","SI",AA8+273.15,AB8)/1000000,"N/A")</f>
        <v>2.1915773094612666E-5</v>
      </c>
      <c r="AD8" s="18">
        <f>IFERROR([1]!CP("CO2","TP","SI",AA8+273.15,AB8),"N/A")</f>
        <v>1.3604809022731661</v>
      </c>
      <c r="AE8" s="19">
        <f>IFERROR([1]!ThermalConductivity("CO2","TP","SI",AA8+273.15,AB8)/1000,"N/A")</f>
        <v>3.1087025378866252E-2</v>
      </c>
      <c r="AF8" s="16">
        <f>IFERROR([1]!Density("CO2","TP","SI",AA8+273.15,AB8),"N/A")</f>
        <v>163.85517534190615</v>
      </c>
      <c r="AG8" s="16">
        <f t="shared" si="18"/>
        <v>114.7344827586207</v>
      </c>
      <c r="AH8" s="16">
        <f t="shared" si="19"/>
        <v>9.5887413793103455</v>
      </c>
      <c r="AI8" s="14">
        <f>IFERROR([1]!Viscosity("CO2","TP","SI",AG8+273.15,AH8)/1000000,"N/A")</f>
        <v>2.172927117001259E-5</v>
      </c>
      <c r="AJ8" s="20">
        <f>IFERROR([1]!CP("CO2","TP","SI",AG8+273.15,AH8),"N/A")</f>
        <v>1.3698605691496082</v>
      </c>
      <c r="AK8" s="21">
        <f>IFERROR([1]!ThermalConductivity("CO2","TP","SI",AG8+273.15,AH8)/1000,"N/A")</f>
        <v>3.0777479298139818E-2</v>
      </c>
      <c r="AL8" s="22">
        <f>IFERROR([1]!Density("CO2","TP","SI",AG8+273.15,AH8),"N/A")</f>
        <v>163.38465912981434</v>
      </c>
      <c r="AM8" s="51">
        <f t="shared" si="20"/>
        <v>24550.023138323893</v>
      </c>
      <c r="AN8" s="16">
        <f t="shared" si="21"/>
        <v>0.95911366206308968</v>
      </c>
      <c r="AO8" s="16">
        <f t="shared" si="22"/>
        <v>1101.3821707662657</v>
      </c>
      <c r="AP8" s="16">
        <f t="shared" si="23"/>
        <v>7.3690796182356957</v>
      </c>
      <c r="AQ8" s="51">
        <f t="shared" si="24"/>
        <v>25022.975230704546</v>
      </c>
      <c r="AR8" s="16">
        <f t="shared" si="25"/>
        <v>0.96713806494083721</v>
      </c>
      <c r="AS8" s="16">
        <f t="shared" si="26"/>
        <v>1290.1501035943973</v>
      </c>
      <c r="AT8" s="16">
        <f t="shared" si="27"/>
        <v>3.6862246678649906</v>
      </c>
      <c r="AU8" s="16">
        <f t="shared" si="28"/>
        <v>116.64655172413794</v>
      </c>
      <c r="AV8" s="16">
        <f t="shared" si="29"/>
        <v>13322.449608732184</v>
      </c>
      <c r="AW8" s="16">
        <f t="shared" si="30"/>
        <v>15450.415605007591</v>
      </c>
    </row>
    <row r="9" spans="3:49" ht="15.6" x14ac:dyDescent="0.25">
      <c r="C9" s="13">
        <v>5</v>
      </c>
      <c r="D9" s="14">
        <f t="shared" si="31"/>
        <v>0.182</v>
      </c>
      <c r="E9" s="14">
        <v>2.5699999999999998E-3</v>
      </c>
      <c r="F9" s="14">
        <v>5.9363999999999999E-4</v>
      </c>
      <c r="G9" s="14">
        <v>0.16346304</v>
      </c>
      <c r="H9" s="31">
        <v>0.14926991830065359</v>
      </c>
      <c r="I9" s="39">
        <v>133.86705882352939</v>
      </c>
      <c r="J9" s="39">
        <v>8.7517647058823531</v>
      </c>
      <c r="K9" s="39">
        <v>104.74823529411763</v>
      </c>
      <c r="L9" s="39">
        <v>8.6243294117647054</v>
      </c>
      <c r="M9" s="31">
        <v>0.14737847058823531</v>
      </c>
      <c r="N9" s="39">
        <v>98.985882352941189</v>
      </c>
      <c r="O9" s="39">
        <v>9.8944235294117622</v>
      </c>
      <c r="P9" s="39">
        <v>128.29999999999998</v>
      </c>
      <c r="Q9" s="39">
        <v>9.821211764705879</v>
      </c>
      <c r="R9" s="16">
        <f>IFERROR([1]!Enthalpy("CO2","TP","SI",I9+273.15,J9),"N/A")</f>
        <v>558.45499819186682</v>
      </c>
      <c r="S9" s="16">
        <f>IFERROR([1]!Enthalpy("CO2","TP","SI",K9+273.15,L9),"N/A")</f>
        <v>521.60984968320554</v>
      </c>
      <c r="T9" s="16">
        <f t="shared" si="11"/>
        <v>5.4998723076633178</v>
      </c>
      <c r="U9" s="44">
        <f t="shared" si="12"/>
        <v>0.12743529411764776</v>
      </c>
      <c r="V9" s="16">
        <f>IFERROR([1]!Enthalpy("CO2","TP","SI",N9+273.15,O9),"N/A")</f>
        <v>503.45821751851571</v>
      </c>
      <c r="W9" s="16">
        <f>IFERROR([1]!Enthalpy("CO2","TP","SI",P9+273.15,Q9),"N/A")</f>
        <v>545.10753787420151</v>
      </c>
      <c r="X9" s="16">
        <f t="shared" si="13"/>
        <v>6.1382131350604299</v>
      </c>
      <c r="Y9" s="44">
        <f t="shared" si="14"/>
        <v>7.3211764705883198E-2</v>
      </c>
      <c r="Z9" s="17">
        <f t="shared" si="15"/>
        <v>0.11606466326639468</v>
      </c>
      <c r="AA9" s="16">
        <f t="shared" si="16"/>
        <v>119.30764705882351</v>
      </c>
      <c r="AB9" s="16">
        <f t="shared" si="17"/>
        <v>8.6880470588235283</v>
      </c>
      <c r="AC9" s="14">
        <f>IFERROR([1]!Viscosity("CO2","TP","SI",AA9+273.15,AB9)/1000000,"N/A")</f>
        <v>2.1365748273980707E-5</v>
      </c>
      <c r="AD9" s="18">
        <f>IFERROR([1]!CP("CO2","TP","SI",AA9+273.15,AB9),"N/A")</f>
        <v>1.2898162503712993</v>
      </c>
      <c r="AE9" s="19">
        <f>IFERROR([1]!ThermalConductivity("CO2","TP","SI",AA9+273.15,AB9)/1000,"N/A")</f>
        <v>2.9922076566964453E-2</v>
      </c>
      <c r="AF9" s="16">
        <f>IFERROR([1]!Density("CO2","TP","SI",AA9+273.15,AB9),"N/A")</f>
        <v>141.43863738886654</v>
      </c>
      <c r="AG9" s="16">
        <f t="shared" si="18"/>
        <v>113.64294117647059</v>
      </c>
      <c r="AH9" s="16">
        <f t="shared" si="19"/>
        <v>9.8578176470588197</v>
      </c>
      <c r="AI9" s="14">
        <f>IFERROR([1]!Viscosity("CO2","TP","SI",AG9+273.15,AH9)/1000000,"N/A")</f>
        <v>2.1870074523188844E-5</v>
      </c>
      <c r="AJ9" s="20">
        <f>IFERROR([1]!CP("CO2","TP","SI",AG9+273.15,AH9),"N/A")</f>
        <v>1.3956928764440413</v>
      </c>
      <c r="AK9" s="21">
        <f>IFERROR([1]!ThermalConductivity("CO2","TP","SI",AG9+273.15,AH9)/1000,"N/A")</f>
        <v>3.1089894336469755E-2</v>
      </c>
      <c r="AL9" s="22">
        <f>IFERROR([1]!Density("CO2","TP","SI",AG9+273.15,AH9),"N/A")</f>
        <v>170.16469081576173</v>
      </c>
      <c r="AM9" s="51">
        <f t="shared" si="20"/>
        <v>30245.735833025079</v>
      </c>
      <c r="AN9" s="16">
        <f t="shared" si="21"/>
        <v>0.92098853044003681</v>
      </c>
      <c r="AO9" s="16">
        <f t="shared" si="22"/>
        <v>1020.2980540566115</v>
      </c>
      <c r="AP9" s="16">
        <f t="shared" si="23"/>
        <v>8.0510262556938983</v>
      </c>
      <c r="AQ9" s="51">
        <f t="shared" si="24"/>
        <v>29173.850247635626</v>
      </c>
      <c r="AR9" s="16">
        <f t="shared" si="25"/>
        <v>0.98179514182231087</v>
      </c>
      <c r="AS9" s="16">
        <f t="shared" si="26"/>
        <v>1095.9453542142489</v>
      </c>
      <c r="AT9" s="16">
        <f t="shared" si="27"/>
        <v>5.7084772865529851</v>
      </c>
      <c r="AU9" s="16">
        <f t="shared" si="28"/>
        <v>116.47529411764705</v>
      </c>
      <c r="AV9" s="16">
        <f t="shared" si="29"/>
        <v>11879.158169107692</v>
      </c>
      <c r="AW9" s="16">
        <f t="shared" si="30"/>
        <v>13257.908661893352</v>
      </c>
    </row>
    <row r="10" spans="3:49" ht="15.6" x14ac:dyDescent="0.25">
      <c r="C10" s="13">
        <v>6</v>
      </c>
      <c r="D10" s="14">
        <f t="shared" si="31"/>
        <v>0.182</v>
      </c>
      <c r="E10" s="14">
        <v>2.5699999999999998E-3</v>
      </c>
      <c r="F10" s="14">
        <v>5.9363999999999999E-4</v>
      </c>
      <c r="G10" s="14">
        <v>0.16346304</v>
      </c>
      <c r="H10" s="31">
        <v>0.17700486904761908</v>
      </c>
      <c r="I10" s="39">
        <v>144.46857142857147</v>
      </c>
      <c r="J10" s="39">
        <v>9.1615714285714311</v>
      </c>
      <c r="K10" s="39">
        <v>107.23000000000006</v>
      </c>
      <c r="L10" s="39">
        <v>8.9956571428571408</v>
      </c>
      <c r="M10" s="31">
        <v>0.17761230158730162</v>
      </c>
      <c r="N10" s="39">
        <v>96.015714285714296</v>
      </c>
      <c r="O10" s="39">
        <v>10.074228571428572</v>
      </c>
      <c r="P10" s="39">
        <v>134.4057142857142</v>
      </c>
      <c r="Q10" s="39">
        <v>9.9744714285714267</v>
      </c>
      <c r="R10" s="16">
        <f>IFERROR([1]!Enthalpy("CO2","TP","SI",I10+273.15,J10),"N/A")</f>
        <v>569.36537208540108</v>
      </c>
      <c r="S10" s="16">
        <f>IFERROR([1]!Enthalpy("CO2","TP","SI",K10+273.15,L10),"N/A")</f>
        <v>522.2772442400975</v>
      </c>
      <c r="T10" s="16">
        <f t="shared" si="11"/>
        <v>8.3348279029555048</v>
      </c>
      <c r="U10" s="44">
        <f t="shared" si="12"/>
        <v>0.16591428571429034</v>
      </c>
      <c r="V10" s="16">
        <f>IFERROR([1]!Enthalpy("CO2","TP","SI",N10+273.15,O10),"N/A")</f>
        <v>497.35004310731472</v>
      </c>
      <c r="W10" s="16">
        <f>IFERROR([1]!Enthalpy("CO2","TP","SI",P10+273.15,Q10),"N/A")</f>
        <v>552.19843177524376</v>
      </c>
      <c r="X10" s="16">
        <f t="shared" si="13"/>
        <v>9.7417485496657505</v>
      </c>
      <c r="Y10" s="44">
        <f t="shared" si="14"/>
        <v>9.9757142857145098E-2</v>
      </c>
      <c r="Z10" s="17">
        <f t="shared" si="15"/>
        <v>0.16880020356645348</v>
      </c>
      <c r="AA10" s="16">
        <f t="shared" si="16"/>
        <v>125.84928571428577</v>
      </c>
      <c r="AB10" s="16">
        <f t="shared" si="17"/>
        <v>9.078614285714286</v>
      </c>
      <c r="AC10" s="14">
        <f>IFERROR([1]!Viscosity("CO2","TP","SI",AA10+273.15,AB10)/1000000,"N/A")</f>
        <v>2.1736829960042136E-5</v>
      </c>
      <c r="AD10" s="18">
        <f>IFERROR([1]!CP("CO2","TP","SI",AA10+273.15,AB10),"N/A")</f>
        <v>1.2863319276958125</v>
      </c>
      <c r="AE10" s="19">
        <f>IFERROR([1]!ThermalConductivity("CO2","TP","SI",AA10+273.15,AB10)/1000,"N/A")</f>
        <v>3.0589369591570933E-2</v>
      </c>
      <c r="AF10" s="16">
        <f>IFERROR([1]!Density("CO2","TP","SI",AA10+273.15,AB10),"N/A")</f>
        <v>144.50794065705338</v>
      </c>
      <c r="AG10" s="16">
        <f t="shared" si="18"/>
        <v>115.21071428571425</v>
      </c>
      <c r="AH10" s="16">
        <f t="shared" si="19"/>
        <v>10.024349999999998</v>
      </c>
      <c r="AI10" s="14">
        <f>IFERROR([1]!Viscosity("CO2","TP","SI",AG10+273.15,AH10)/1000000,"N/A")</f>
        <v>2.2001447745753266E-5</v>
      </c>
      <c r="AJ10" s="20">
        <f>IFERROR([1]!CP("CO2","TP","SI",AG10+273.15,AH10),"N/A")</f>
        <v>1.3975177899781097</v>
      </c>
      <c r="AK10" s="21">
        <f>IFERROR([1]!ThermalConductivity("CO2","TP","SI",AG10+273.15,AH10)/1000,"N/A")</f>
        <v>3.1325907406371541E-2</v>
      </c>
      <c r="AL10" s="22">
        <f>IFERROR([1]!Density("CO2","TP","SI",AG10+273.15,AH10),"N/A")</f>
        <v>172.25758821337499</v>
      </c>
      <c r="AM10" s="51">
        <f t="shared" si="20"/>
        <v>35253.23467032022</v>
      </c>
      <c r="AN10" s="16">
        <f t="shared" si="21"/>
        <v>0.91406847404275493</v>
      </c>
      <c r="AO10" s="16">
        <f t="shared" si="22"/>
        <v>805.3531169770697</v>
      </c>
      <c r="AP10" s="16">
        <f t="shared" si="23"/>
        <v>7.6162836758868533</v>
      </c>
      <c r="AQ10" s="51">
        <f t="shared" si="24"/>
        <v>34948.758256147339</v>
      </c>
      <c r="AR10" s="16">
        <f t="shared" si="25"/>
        <v>0.98153308796763195</v>
      </c>
      <c r="AS10" s="16">
        <f t="shared" si="26"/>
        <v>919.16502211172246</v>
      </c>
      <c r="AT10" s="16">
        <f t="shared" si="27"/>
        <v>5.4214358588007796</v>
      </c>
      <c r="AU10" s="16">
        <f t="shared" si="28"/>
        <v>120.53</v>
      </c>
      <c r="AV10" s="16">
        <f t="shared" si="29"/>
        <v>9585.6981116479546</v>
      </c>
      <c r="AW10" s="16">
        <f t="shared" si="30"/>
        <v>11203.765904220727</v>
      </c>
    </row>
    <row r="11" spans="3:49" ht="15" customHeight="1" x14ac:dyDescent="0.25">
      <c r="C11" s="13">
        <v>7</v>
      </c>
      <c r="D11" s="14">
        <f t="shared" si="31"/>
        <v>0.182</v>
      </c>
      <c r="E11" s="14">
        <v>2.5699999999999998E-3</v>
      </c>
      <c r="F11" s="14">
        <v>5.9363999999999999E-4</v>
      </c>
      <c r="G11" s="14">
        <v>0.16346304</v>
      </c>
      <c r="H11" s="31">
        <v>0.2024392091503267</v>
      </c>
      <c r="I11" s="39">
        <v>125.5388235294118</v>
      </c>
      <c r="J11" s="39">
        <v>9.2133058823529428</v>
      </c>
      <c r="K11" s="39">
        <v>100.97647058823529</v>
      </c>
      <c r="L11" s="39">
        <v>9.0125529411764713</v>
      </c>
      <c r="M11" s="31">
        <v>0.20004338888888887</v>
      </c>
      <c r="N11" s="39">
        <v>93.365882352941185</v>
      </c>
      <c r="O11" s="39">
        <v>8.9541294117647094</v>
      </c>
      <c r="P11" s="39">
        <v>120.01176470588233</v>
      </c>
      <c r="Q11" s="39">
        <v>8.8175176470588248</v>
      </c>
      <c r="R11" s="16">
        <f>IFERROR([1]!Enthalpy("CO2","TP","SI",I11+273.15,J11),"N/A")</f>
        <v>545.18298595434578</v>
      </c>
      <c r="S11" s="16">
        <f>IFERROR([1]!Enthalpy("CO2","TP","SI",K11+273.15,L11),"N/A")</f>
        <v>513.43502399554473</v>
      </c>
      <c r="T11" s="16">
        <f t="shared" si="11"/>
        <v>6.4270323110743428</v>
      </c>
      <c r="U11" s="44">
        <f t="shared" si="12"/>
        <v>0.20075294117647147</v>
      </c>
      <c r="V11" s="16">
        <f>IFERROR([1]!Enthalpy("CO2","TP","SI",N11+273.15,O11),"N/A")</f>
        <v>502.90421650161136</v>
      </c>
      <c r="W11" s="16">
        <f>IFERROR([1]!Enthalpy("CO2","TP","SI",P11+273.15,Q11),"N/A")</f>
        <v>540.49584889848688</v>
      </c>
      <c r="X11" s="16">
        <f t="shared" si="13"/>
        <v>7.5199575385363246</v>
      </c>
      <c r="Y11" s="44">
        <f t="shared" si="14"/>
        <v>0.13661176470588465</v>
      </c>
      <c r="Z11" s="17">
        <f t="shared" si="15"/>
        <v>0.1700513043288697</v>
      </c>
      <c r="AA11" s="16">
        <f t="shared" si="16"/>
        <v>113.25764705882355</v>
      </c>
      <c r="AB11" s="16">
        <f t="shared" si="17"/>
        <v>9.1129294117647071</v>
      </c>
      <c r="AC11" s="14">
        <f>IFERROR([1]!Viscosity("CO2","TP","SI",AA11+273.15,AB11)/1000000,"N/A")</f>
        <v>2.1425450264835578E-5</v>
      </c>
      <c r="AD11" s="18">
        <f>IFERROR([1]!CP("CO2","TP","SI",AA11+273.15,AB11),"N/A")</f>
        <v>1.3452542373400023</v>
      </c>
      <c r="AE11" s="19">
        <f>IFERROR([1]!ThermalConductivity("CO2","TP","SI",AA11+273.15,AB11)/1000,"N/A")</f>
        <v>3.0172676647654228E-2</v>
      </c>
      <c r="AF11" s="16">
        <f>IFERROR([1]!Density("CO2","TP","SI",AA11+273.15,AB11),"N/A")</f>
        <v>154.60741057615337</v>
      </c>
      <c r="AG11" s="16">
        <f t="shared" si="18"/>
        <v>106.68882352941176</v>
      </c>
      <c r="AH11" s="16">
        <f t="shared" si="19"/>
        <v>8.8858235294117662</v>
      </c>
      <c r="AI11" s="14">
        <f>IFERROR([1]!Viscosity("CO2","TP","SI",AG11+273.15,AH11)/1000000,"N/A")</f>
        <v>2.1143919899552285E-5</v>
      </c>
      <c r="AJ11" s="20">
        <f>IFERROR([1]!CP("CO2","TP","SI",AG11+273.15,AH11),"N/A")</f>
        <v>1.3666488117712066</v>
      </c>
      <c r="AK11" s="21">
        <f>IFERROR([1]!ThermalConductivity("CO2","TP","SI",AG11+273.15,AH11)/1000,"N/A")</f>
        <v>2.9723876666045333E-2</v>
      </c>
      <c r="AL11" s="22">
        <f>IFERROR([1]!Density("CO2","TP","SI",AG11+273.15,AH11),"N/A")</f>
        <v>155.29232271017918</v>
      </c>
      <c r="AM11" s="51">
        <f t="shared" si="20"/>
        <v>40904.834642754839</v>
      </c>
      <c r="AN11" s="16">
        <f t="shared" si="21"/>
        <v>0.95525756936543949</v>
      </c>
      <c r="AO11" s="16">
        <f t="shared" si="22"/>
        <v>1019.6534605377767</v>
      </c>
      <c r="AP11" s="16">
        <f t="shared" si="23"/>
        <v>7.5377373931099783</v>
      </c>
      <c r="AQ11" s="51">
        <f t="shared" si="24"/>
        <v>40958.935898783609</v>
      </c>
      <c r="AR11" s="16">
        <f t="shared" si="25"/>
        <v>0.97215828647001523</v>
      </c>
      <c r="AS11" s="16">
        <f t="shared" si="26"/>
        <v>1211.0606426255156</v>
      </c>
      <c r="AT11" s="16">
        <f t="shared" si="27"/>
        <v>5.2762786648246705</v>
      </c>
      <c r="AU11" s="16">
        <f t="shared" si="28"/>
        <v>109.97323529411766</v>
      </c>
      <c r="AV11" s="16">
        <f t="shared" si="29"/>
        <v>11971.079438703502</v>
      </c>
      <c r="AW11" s="16">
        <f t="shared" si="30"/>
        <v>14006.777111479547</v>
      </c>
    </row>
    <row r="12" spans="3:49" ht="15.6" x14ac:dyDescent="0.25">
      <c r="C12" s="13">
        <v>8</v>
      </c>
      <c r="D12" s="14">
        <f t="shared" si="31"/>
        <v>0.182</v>
      </c>
      <c r="E12" s="14">
        <v>2.5699999999999998E-3</v>
      </c>
      <c r="F12" s="14">
        <v>5.9363999999999999E-4</v>
      </c>
      <c r="G12" s="14">
        <v>0.16346304</v>
      </c>
      <c r="H12" s="32">
        <v>4.853640476190476E-2</v>
      </c>
      <c r="I12" s="40">
        <v>149.94714285714286</v>
      </c>
      <c r="J12" s="40">
        <v>8.4522857142857148</v>
      </c>
      <c r="K12" s="40">
        <v>106.13857142857135</v>
      </c>
      <c r="L12" s="40">
        <v>8.4377571428571425</v>
      </c>
      <c r="M12" s="32">
        <v>5.0946107142857126E-2</v>
      </c>
      <c r="N12" s="40">
        <v>102.06857142857143</v>
      </c>
      <c r="O12" s="40">
        <v>9.8486000000000047</v>
      </c>
      <c r="P12" s="40">
        <v>140.35714285714292</v>
      </c>
      <c r="Q12" s="40">
        <v>9.843</v>
      </c>
      <c r="R12" s="16">
        <f>IFERROR([1]!Enthalpy("CO2","TP","SI",I12+273.15,J12),"N/A")</f>
        <v>579.63637171729977</v>
      </c>
      <c r="S12" s="16">
        <f>IFERROR([1]!Enthalpy("CO2","TP","SI",K12+273.15,L12),"N/A")</f>
        <v>524.84595764688356</v>
      </c>
      <c r="T12" s="16">
        <f t="shared" si="11"/>
        <v>2.6593297143940826</v>
      </c>
      <c r="U12" s="44">
        <f t="shared" si="12"/>
        <v>1.4528571428572334E-2</v>
      </c>
      <c r="V12" s="16">
        <f>IFERROR([1]!Enthalpy("CO2","TP","SI",N12+273.15,O12),"N/A")</f>
        <v>508.46132508717409</v>
      </c>
      <c r="W12" s="16">
        <f>IFERROR([1]!Enthalpy("CO2","TP","SI",P12+273.15,Q12),"N/A")</f>
        <v>560.58724066598086</v>
      </c>
      <c r="X12" s="16">
        <f t="shared" si="13"/>
        <v>2.6556124799974152</v>
      </c>
      <c r="Y12" s="44">
        <f t="shared" si="14"/>
        <v>5.6000000000047123E-3</v>
      </c>
      <c r="Z12" s="17">
        <f t="shared" si="15"/>
        <v>-1.3978087698367015E-3</v>
      </c>
      <c r="AA12" s="16">
        <f t="shared" si="16"/>
        <v>128.04285714285712</v>
      </c>
      <c r="AB12" s="16">
        <f t="shared" si="17"/>
        <v>8.4450214285714296</v>
      </c>
      <c r="AC12" s="14">
        <f>IFERROR([1]!Viscosity("CO2","TP","SI",AA12+273.15,AB12)/1000000,"N/A")</f>
        <v>2.1520119376094348E-5</v>
      </c>
      <c r="AD12" s="18">
        <f>IFERROR([1]!CP("CO2","TP","SI",AA12+273.15,AB12),"N/A")</f>
        <v>1.2462445086644056</v>
      </c>
      <c r="AE12" s="19">
        <f>IFERROR([1]!ThermalConductivity("CO2","TP","SI",AA12+273.15,AB12)/1000,"N/A")</f>
        <v>3.0090894807144143E-2</v>
      </c>
      <c r="AF12" s="16">
        <f>IFERROR([1]!Density("CO2","TP","SI",AA12+273.15,AB12),"N/A")</f>
        <v>131.32559970132166</v>
      </c>
      <c r="AG12" s="16">
        <f t="shared" si="18"/>
        <v>121.21285714285717</v>
      </c>
      <c r="AH12" s="16">
        <f t="shared" si="19"/>
        <v>9.8458000000000023</v>
      </c>
      <c r="AI12" s="14">
        <f>IFERROR([1]!Viscosity("CO2","TP","SI",AG12+273.15,AH12)/1000000,"N/A")</f>
        <v>2.2014981158184467E-5</v>
      </c>
      <c r="AJ12" s="20">
        <f>IFERROR([1]!CP("CO2","TP","SI",AG12+273.15,AH12),"N/A")</f>
        <v>1.3510617812872743</v>
      </c>
      <c r="AK12" s="21">
        <f>IFERROR([1]!ThermalConductivity("CO2","TP","SI",AG12+273.15,AH12)/1000,"N/A")</f>
        <v>3.1242023577288537E-2</v>
      </c>
      <c r="AL12" s="22">
        <f>IFERROR([1]!Density("CO2","TP","SI",AG12+273.15,AH12),"N/A")</f>
        <v>163.0979861543025</v>
      </c>
      <c r="AM12" s="51">
        <f t="shared" si="20"/>
        <v>9764.1151949638825</v>
      </c>
      <c r="AN12" s="16">
        <f t="shared" si="21"/>
        <v>0.8912772707540968</v>
      </c>
      <c r="AO12" s="16">
        <f t="shared" si="22"/>
        <v>406.87398982290546</v>
      </c>
      <c r="AP12" s="16">
        <f t="shared" si="23"/>
        <v>8.060744248610348</v>
      </c>
      <c r="AQ12" s="51">
        <f t="shared" si="24"/>
        <v>10018.498867663451</v>
      </c>
      <c r="AR12" s="16">
        <f t="shared" si="25"/>
        <v>0.95203819256460287</v>
      </c>
      <c r="AS12" s="16">
        <f t="shared" si="26"/>
        <v>391.33472713616862</v>
      </c>
      <c r="AT12" s="16">
        <f t="shared" si="27"/>
        <v>3.5022944849341462</v>
      </c>
      <c r="AU12" s="16">
        <f t="shared" si="28"/>
        <v>124.62785714285715</v>
      </c>
      <c r="AV12" s="16">
        <f t="shared" si="29"/>
        <v>4763.8919951455591</v>
      </c>
      <c r="AW12" s="16">
        <f t="shared" si="30"/>
        <v>4757.2329851361701</v>
      </c>
    </row>
    <row r="13" spans="3:49" ht="15.6" x14ac:dyDescent="0.25">
      <c r="C13" s="13">
        <v>9</v>
      </c>
      <c r="D13" s="14">
        <f>182/1000</f>
        <v>0.182</v>
      </c>
      <c r="E13" s="14">
        <v>2.5699999999999998E-3</v>
      </c>
      <c r="F13" s="14">
        <v>5.9363999999999999E-4</v>
      </c>
      <c r="G13" s="14">
        <v>0.16346304</v>
      </c>
      <c r="H13" s="33">
        <v>7.4464473905723874E-2</v>
      </c>
      <c r="I13" s="22">
        <v>162.21060606060607</v>
      </c>
      <c r="J13" s="22">
        <v>8.5982878787878771</v>
      </c>
      <c r="K13" s="22">
        <v>113.0333333333333</v>
      </c>
      <c r="L13" s="22">
        <v>8.5648484848484845</v>
      </c>
      <c r="M13" s="33">
        <v>7.6013855218855245E-2</v>
      </c>
      <c r="N13" s="22">
        <v>105.16666666666667</v>
      </c>
      <c r="O13" s="22">
        <v>10.262484848484847</v>
      </c>
      <c r="P13" s="22">
        <v>150.76060606060605</v>
      </c>
      <c r="Q13" s="22">
        <v>10.248227272727277</v>
      </c>
      <c r="R13" s="16">
        <f>IFERROR([1]!Enthalpy("CO2","TP","SI",I13+273.15,J13),"N/A")</f>
        <v>593.52090666989659</v>
      </c>
      <c r="S13" s="16">
        <f>IFERROR([1]!Enthalpy("CO2","TP","SI",K13+273.15,L13),"N/A")</f>
        <v>533.07147574085798</v>
      </c>
      <c r="T13" s="16">
        <f t="shared" si="11"/>
        <v>4.501335072031253</v>
      </c>
      <c r="U13" s="44">
        <f t="shared" si="12"/>
        <v>3.3439393939392659E-2</v>
      </c>
      <c r="V13" s="16">
        <f>IFERROR([1]!Enthalpy("CO2","TP","SI",N13+273.15,O13),"N/A")</f>
        <v>509.85802890830547</v>
      </c>
      <c r="W13" s="16">
        <f>IFERROR([1]!Enthalpy("CO2","TP","SI",P13+273.15,Q13),"N/A")</f>
        <v>571.65930683497868</v>
      </c>
      <c r="X13" s="16">
        <f t="shared" si="13"/>
        <v>4.6977533926583721</v>
      </c>
      <c r="Y13" s="44">
        <f t="shared" si="14"/>
        <v>1.4257575757570251E-2</v>
      </c>
      <c r="Z13" s="17">
        <f t="shared" si="15"/>
        <v>4.3635569777409212E-2</v>
      </c>
      <c r="AA13" s="16">
        <f t="shared" si="16"/>
        <v>137.6219696969697</v>
      </c>
      <c r="AB13" s="16">
        <f t="shared" si="17"/>
        <v>8.5815681818181808</v>
      </c>
      <c r="AC13" s="14">
        <f>IFERROR([1]!Viscosity("CO2","TP","SI",AA13+273.15,AB13)/1000000,"N/A")</f>
        <v>2.1883119745987994E-5</v>
      </c>
      <c r="AD13" s="18">
        <f>IFERROR([1]!CP("CO2","TP","SI",AA13+273.15,AB13),"N/A")</f>
        <v>1.2267263968243993</v>
      </c>
      <c r="AE13" s="19">
        <f>IFERROR([1]!ThermalConductivity("CO2","TP","SI",AA13+273.15,AB13)/1000,"N/A")</f>
        <v>3.0710135787248804E-2</v>
      </c>
      <c r="AF13" s="16">
        <f>IFERROR([1]!Density("CO2","TP","SI",AA13+273.15,AB13),"N/A")</f>
        <v>128.42514035092739</v>
      </c>
      <c r="AG13" s="16">
        <f t="shared" si="18"/>
        <v>127.96363636363637</v>
      </c>
      <c r="AH13" s="16">
        <f t="shared" si="19"/>
        <v>10.255356060606061</v>
      </c>
      <c r="AI13" s="14">
        <f>IFERROR([1]!Viscosity("CO2","TP","SI",AG13+273.15,AH13)/1000000,"N/A")</f>
        <v>2.2389086532996946E-5</v>
      </c>
      <c r="AJ13" s="20">
        <f>IFERROR([1]!CP("CO2","TP","SI",AG13+273.15,AH13),"N/A")</f>
        <v>1.3418105750759692</v>
      </c>
      <c r="AK13" s="21">
        <f>IFERROR([1]!ThermalConductivity("CO2","TP","SI",AG13+273.15,AH13)/1000,"N/A")</f>
        <v>3.1888508929729158E-2</v>
      </c>
      <c r="AL13" s="22">
        <f>IFERROR([1]!Density("CO2","TP","SI",AG13+273.15,AH13),"N/A")</f>
        <v>165.61259687520516</v>
      </c>
      <c r="AM13" s="51">
        <f t="shared" si="20"/>
        <v>14731.597878549124</v>
      </c>
      <c r="AN13" s="16">
        <f t="shared" si="21"/>
        <v>0.87412836020148432</v>
      </c>
      <c r="AO13" s="16">
        <f t="shared" si="22"/>
        <v>477.2005804286905</v>
      </c>
      <c r="AP13" s="16">
        <f t="shared" si="23"/>
        <v>7.7081159577580936</v>
      </c>
      <c r="AQ13" s="51">
        <f t="shared" si="24"/>
        <v>14698.274416409195</v>
      </c>
      <c r="AR13" s="16">
        <f t="shared" si="25"/>
        <v>0.942092122979719</v>
      </c>
      <c r="AS13" s="16">
        <f t="shared" si="26"/>
        <v>479.62008299956835</v>
      </c>
      <c r="AT13" s="16">
        <f t="shared" si="27"/>
        <v>4.0671630203322326</v>
      </c>
      <c r="AU13" s="16">
        <f t="shared" si="28"/>
        <v>132.79280303030305</v>
      </c>
      <c r="AV13" s="16">
        <f t="shared" si="29"/>
        <v>5702.2936275171323</v>
      </c>
      <c r="AW13" s="16">
        <f t="shared" si="30"/>
        <v>5951.1164589918972</v>
      </c>
    </row>
    <row r="14" spans="3:49" ht="15.6" x14ac:dyDescent="0.25">
      <c r="C14" s="13">
        <v>10</v>
      </c>
      <c r="D14" s="14">
        <f>182/1000</f>
        <v>0.182</v>
      </c>
      <c r="E14" s="14">
        <v>2.5699999999999998E-3</v>
      </c>
      <c r="F14" s="14">
        <v>5.9363999999999999E-4</v>
      </c>
      <c r="G14" s="14">
        <v>0.16346304</v>
      </c>
      <c r="H14" s="33">
        <v>9.9267401960784346E-2</v>
      </c>
      <c r="I14" s="22">
        <v>166.23333333333335</v>
      </c>
      <c r="J14" s="22">
        <v>9.0548235294117667</v>
      </c>
      <c r="K14" s="22">
        <v>115.84509803921566</v>
      </c>
      <c r="L14" s="22">
        <v>8.9971568627450988</v>
      </c>
      <c r="M14" s="33">
        <v>0.10247916122004361</v>
      </c>
      <c r="N14" s="22">
        <v>105.48039215686271</v>
      </c>
      <c r="O14" s="22">
        <v>10.588843137254901</v>
      </c>
      <c r="P14" s="22">
        <v>154.33529411764707</v>
      </c>
      <c r="Q14" s="22">
        <v>10.56109803921569</v>
      </c>
      <c r="R14" s="16">
        <f>IFERROR([1]!Enthalpy("CO2","TP","SI",I14+273.15,J14),"N/A")</f>
        <v>596.22878592448649</v>
      </c>
      <c r="S14" s="16">
        <f>IFERROR([1]!Enthalpy("CO2","TP","SI",K14+273.15,L14),"N/A")</f>
        <v>533.87150939978267</v>
      </c>
      <c r="T14" s="16">
        <f t="shared" si="11"/>
        <v>6.1900448339575558</v>
      </c>
      <c r="U14" s="44">
        <f t="shared" si="12"/>
        <v>5.7666666666667865E-2</v>
      </c>
      <c r="V14" s="16">
        <f>IFERROR([1]!Enthalpy("CO2","TP","SI",N14+273.15,O14),"N/A")</f>
        <v>507.8207546749772</v>
      </c>
      <c r="W14" s="16">
        <f>IFERROR([1]!Enthalpy("CO2","TP","SI",P14+273.15,Q14),"N/A")</f>
        <v>574.62400396589453</v>
      </c>
      <c r="X14" s="16">
        <f t="shared" si="13"/>
        <v>6.8459409541066814</v>
      </c>
      <c r="Y14" s="44">
        <f t="shared" si="14"/>
        <v>2.7745098039211769E-2</v>
      </c>
      <c r="Z14" s="17">
        <f t="shared" si="15"/>
        <v>0.10595983352995904</v>
      </c>
      <c r="AA14" s="16">
        <f t="shared" si="16"/>
        <v>141.0392156862745</v>
      </c>
      <c r="AB14" s="16">
        <f t="shared" si="17"/>
        <v>9.0259901960784319</v>
      </c>
      <c r="AC14" s="14">
        <f>IFERROR([1]!Viscosity("CO2","TP","SI",AA14+273.15,AB14)/1000000,"N/A")</f>
        <v>2.21685163921296E-5</v>
      </c>
      <c r="AD14" s="18">
        <f>IFERROR([1]!CP("CO2","TP","SI",AA14+273.15,AB14),"N/A")</f>
        <v>1.2371003900244497</v>
      </c>
      <c r="AE14" s="19">
        <f>IFERROR([1]!ThermalConductivity("CO2","TP","SI",AA14+273.15,AB14)/1000,"N/A")</f>
        <v>3.1262922990249305E-2</v>
      </c>
      <c r="AF14" s="16">
        <f>IFERROR([1]!Density("CO2","TP","SI",AA14+273.15,AB14),"N/A")</f>
        <v>134.21936306242949</v>
      </c>
      <c r="AG14" s="16">
        <f t="shared" si="18"/>
        <v>129.90784313725487</v>
      </c>
      <c r="AH14" s="16">
        <f t="shared" si="19"/>
        <v>10.574970588235296</v>
      </c>
      <c r="AI14" s="14">
        <f>IFERROR([1]!Viscosity("CO2","TP","SI",AG14+273.15,AH14)/1000000,"N/A")</f>
        <v>2.2606594541965966E-5</v>
      </c>
      <c r="AJ14" s="20">
        <f>IFERROR([1]!CP("CO2","TP","SI",AG14+273.15,AH14),"N/A")</f>
        <v>1.3501755816965326</v>
      </c>
      <c r="AK14" s="21">
        <f>IFERROR([1]!ThermalConductivity("CO2","TP","SI",AG14+273.15,AH14)/1000,"N/A")</f>
        <v>3.2291702505090183E-2</v>
      </c>
      <c r="AL14" s="22">
        <f>IFERROR([1]!Density("CO2","TP","SI",AG14+273.15,AH14),"N/A")</f>
        <v>170.21997337312766</v>
      </c>
      <c r="AM14" s="51">
        <f t="shared" si="20"/>
        <v>19385.633294653901</v>
      </c>
      <c r="AN14" s="16">
        <f t="shared" si="21"/>
        <v>0.87722700412627785</v>
      </c>
      <c r="AO14" s="16">
        <f t="shared" si="22"/>
        <v>559.31831830463602</v>
      </c>
      <c r="AP14" s="16">
        <f t="shared" si="23"/>
        <v>7.8174435622061393</v>
      </c>
      <c r="AQ14" s="51">
        <f t="shared" si="24"/>
        <v>19625.032466156026</v>
      </c>
      <c r="AR14" s="16">
        <f t="shared" si="25"/>
        <v>0.945223372198019</v>
      </c>
      <c r="AS14" s="16">
        <f t="shared" si="26"/>
        <v>598.87617463138054</v>
      </c>
      <c r="AT14" s="16">
        <f t="shared" si="27"/>
        <v>4.4757281651599667</v>
      </c>
      <c r="AU14" s="16">
        <f t="shared" si="28"/>
        <v>135.47352941176467</v>
      </c>
      <c r="AV14" s="16">
        <f t="shared" si="29"/>
        <v>6803.8620670013952</v>
      </c>
      <c r="AW14" s="16">
        <f t="shared" si="30"/>
        <v>7524.7981589817036</v>
      </c>
    </row>
    <row r="15" spans="3:49" ht="15.6" x14ac:dyDescent="0.25">
      <c r="C15" s="13">
        <v>11</v>
      </c>
      <c r="D15" s="14">
        <f t="shared" ref="D15:D55" si="32">182/1000</f>
        <v>0.182</v>
      </c>
      <c r="E15" s="14">
        <v>2.5699999999999998E-3</v>
      </c>
      <c r="F15" s="14">
        <v>5.9363999999999999E-4</v>
      </c>
      <c r="G15" s="14">
        <v>0.16346304</v>
      </c>
      <c r="H15" s="33">
        <v>0.12332769371345029</v>
      </c>
      <c r="I15" s="22">
        <v>161.43026315789473</v>
      </c>
      <c r="J15" s="22">
        <v>8.5496447368421045</v>
      </c>
      <c r="K15" s="22">
        <v>118.44605263157899</v>
      </c>
      <c r="L15" s="22">
        <v>8.4542763157894729</v>
      </c>
      <c r="M15" s="33">
        <v>0.12500714546783626</v>
      </c>
      <c r="N15" s="22">
        <v>107.58157894736841</v>
      </c>
      <c r="O15" s="22">
        <v>9.091828947368418</v>
      </c>
      <c r="P15" s="22">
        <v>152.25526315789466</v>
      </c>
      <c r="Q15" s="22">
        <v>9.0385131578947409</v>
      </c>
      <c r="R15" s="16">
        <f>IFERROR([1]!Enthalpy("CO2","TP","SI",I15+273.15,J15),"N/A")</f>
        <v>592.82175671717982</v>
      </c>
      <c r="S15" s="16">
        <f>IFERROR([1]!Enthalpy("CO2","TP","SI",K15+273.15,L15),"N/A")</f>
        <v>540.80462304538969</v>
      </c>
      <c r="T15" s="16">
        <f t="shared" si="11"/>
        <v>6.4151531293261357</v>
      </c>
      <c r="U15" s="44">
        <f t="shared" si="12"/>
        <v>9.5368421052631547E-2</v>
      </c>
      <c r="V15" s="16">
        <f>IFERROR([1]!Enthalpy("CO2","TP","SI",N15+273.15,O15),"N/A")</f>
        <v>522.06212606315432</v>
      </c>
      <c r="W15" s="16">
        <f>IFERROR([1]!Enthalpy("CO2","TP","SI",P15+273.15,Q15),"N/A")</f>
        <v>579.51414246523257</v>
      </c>
      <c r="X15" s="16">
        <f t="shared" si="13"/>
        <v>7.1819125717951096</v>
      </c>
      <c r="Y15" s="44">
        <f t="shared" si="14"/>
        <v>5.33157894736771E-2</v>
      </c>
      <c r="Z15" s="17">
        <f t="shared" si="15"/>
        <v>0.1195231706884472</v>
      </c>
      <c r="AA15" s="16">
        <f t="shared" si="16"/>
        <v>139.93815789473686</v>
      </c>
      <c r="AB15" s="16">
        <f t="shared" si="17"/>
        <v>8.5019605263157878</v>
      </c>
      <c r="AC15" s="14">
        <f>IFERROR([1]!Viscosity("CO2","TP","SI",AA15+273.15,AB15)/1000000,"N/A")</f>
        <v>2.1928823934463301E-5</v>
      </c>
      <c r="AD15" s="18">
        <f>IFERROR([1]!CP("CO2","TP","SI",AA15+273.15,AB15),"N/A")</f>
        <v>1.2179769564136145</v>
      </c>
      <c r="AE15" s="19">
        <f>IFERROR([1]!ThermalConductivity("CO2","TP","SI",AA15+273.15,AB15)/1000,"N/A")</f>
        <v>3.077200777258814E-2</v>
      </c>
      <c r="AF15" s="16">
        <f>IFERROR([1]!Density("CO2","TP","SI",AA15+273.15,AB15),"N/A")</f>
        <v>125.8535005294201</v>
      </c>
      <c r="AG15" s="16">
        <f t="shared" si="18"/>
        <v>129.91842105263154</v>
      </c>
      <c r="AH15" s="16">
        <f t="shared" si="19"/>
        <v>9.0651710526315803</v>
      </c>
      <c r="AI15" s="14">
        <f>IFERROR([1]!Viscosity("CO2","TP","SI",AG15+273.15,AH15)/1000000,"N/A")</f>
        <v>2.1847247054468937E-5</v>
      </c>
      <c r="AJ15" s="20">
        <f>IFERROR([1]!CP("CO2","TP","SI",AG15+273.15,AH15),"N/A")</f>
        <v>1.2711936523853238</v>
      </c>
      <c r="AK15" s="21">
        <f>IFERROR([1]!ThermalConductivity("CO2","TP","SI",AG15+273.15,AH15)/1000,"N/A")</f>
        <v>3.0754278101914403E-2</v>
      </c>
      <c r="AL15" s="22">
        <f>IFERROR([1]!Density("CO2","TP","SI",AG15+273.15,AH15),"N/A")</f>
        <v>141.56615045204228</v>
      </c>
      <c r="AM15" s="51">
        <f t="shared" si="20"/>
        <v>24347.548316519507</v>
      </c>
      <c r="AN15" s="16">
        <f t="shared" si="21"/>
        <v>0.86795773713602031</v>
      </c>
      <c r="AO15" s="16">
        <f t="shared" si="22"/>
        <v>654.24200795680724</v>
      </c>
      <c r="AP15" s="16">
        <f t="shared" si="23"/>
        <v>7.8539243858009762</v>
      </c>
      <c r="AQ15" s="51">
        <f t="shared" si="24"/>
        <v>24771.259291703296</v>
      </c>
      <c r="AR15" s="16">
        <f t="shared" si="25"/>
        <v>0.90303149648653624</v>
      </c>
      <c r="AS15" s="16">
        <f t="shared" si="26"/>
        <v>732.86133421489853</v>
      </c>
      <c r="AT15" s="16">
        <f t="shared" si="27"/>
        <v>4.8071052889405035</v>
      </c>
      <c r="AU15" s="16">
        <f t="shared" si="28"/>
        <v>134.9282894736842</v>
      </c>
      <c r="AV15" s="16">
        <f t="shared" si="29"/>
        <v>7833.5953906616905</v>
      </c>
      <c r="AW15" s="16">
        <f t="shared" si="30"/>
        <v>8769.8915496439804</v>
      </c>
    </row>
    <row r="16" spans="3:49" ht="15.6" x14ac:dyDescent="0.25">
      <c r="C16" s="13">
        <v>12</v>
      </c>
      <c r="D16" s="14">
        <f t="shared" si="32"/>
        <v>0.182</v>
      </c>
      <c r="E16" s="14">
        <v>2.5699999999999998E-3</v>
      </c>
      <c r="F16" s="14">
        <v>5.9363999999999999E-4</v>
      </c>
      <c r="G16" s="14">
        <v>0.16346304</v>
      </c>
      <c r="H16" s="33">
        <v>0.14907605902777779</v>
      </c>
      <c r="I16" s="22">
        <v>167.17250000000007</v>
      </c>
      <c r="J16" s="22">
        <v>9.0021749999999976</v>
      </c>
      <c r="K16" s="22">
        <v>117.64124999999997</v>
      </c>
      <c r="L16" s="22">
        <v>8.8723875000000021</v>
      </c>
      <c r="M16" s="33">
        <v>0.15100304513888885</v>
      </c>
      <c r="N16" s="22">
        <v>102.23249999999999</v>
      </c>
      <c r="O16" s="22">
        <v>9.3184250000000013</v>
      </c>
      <c r="P16" s="22">
        <v>153.77250000000009</v>
      </c>
      <c r="Q16" s="22">
        <v>9.2462124999999986</v>
      </c>
      <c r="R16" s="16">
        <f>IFERROR([1]!Enthalpy("CO2","TP","SI",I16+273.15,J16),"N/A")</f>
        <v>597.58024135409721</v>
      </c>
      <c r="S16" s="16">
        <f>IFERROR([1]!Enthalpy("CO2","TP","SI",K16+273.15,L16),"N/A")</f>
        <v>537.05745994989365</v>
      </c>
      <c r="T16" s="16">
        <f t="shared" si="11"/>
        <v>9.0224977331383407</v>
      </c>
      <c r="U16" s="44">
        <f t="shared" si="12"/>
        <v>0.1297874999999955</v>
      </c>
      <c r="V16" s="16">
        <f>IFERROR([1]!Enthalpy("CO2","TP","SI",N16+273.15,O16),"N/A")</f>
        <v>512.84777239725679</v>
      </c>
      <c r="W16" s="16">
        <f>IFERROR([1]!Enthalpy("CO2","TP","SI",P16+273.15,Q16),"N/A")</f>
        <v>580.34071728294236</v>
      </c>
      <c r="X16" s="16">
        <f t="shared" si="13"/>
        <v>10.191640203129715</v>
      </c>
      <c r="Y16" s="44">
        <f t="shared" si="14"/>
        <v>7.2212500000002677E-2</v>
      </c>
      <c r="Z16" s="17">
        <f t="shared" si="15"/>
        <v>0.12958079952708459</v>
      </c>
      <c r="AA16" s="16">
        <f t="shared" si="16"/>
        <v>142.40687500000001</v>
      </c>
      <c r="AB16" s="16">
        <f t="shared" si="17"/>
        <v>8.9372812499999998</v>
      </c>
      <c r="AC16" s="14">
        <f>IFERROR([1]!Viscosity("CO2","TP","SI",AA16+273.15,AB16)/1000000,"N/A")</f>
        <v>2.2176731950036411E-5</v>
      </c>
      <c r="AD16" s="18">
        <f>IFERROR([1]!CP("CO2","TP","SI",AA16+273.15,AB16),"N/A")</f>
        <v>1.2301177409158479</v>
      </c>
      <c r="AE16" s="19">
        <f>IFERROR([1]!ThermalConductivity("CO2","TP","SI",AA16+273.15,AB16)/1000,"N/A")</f>
        <v>3.1261409270378529E-2</v>
      </c>
      <c r="AF16" s="16">
        <f>IFERROR([1]!Density("CO2","TP","SI",AA16+273.15,AB16),"N/A")</f>
        <v>131.95506074555979</v>
      </c>
      <c r="AG16" s="16">
        <f t="shared" si="18"/>
        <v>128.00250000000005</v>
      </c>
      <c r="AH16" s="16">
        <f t="shared" si="19"/>
        <v>9.28231875</v>
      </c>
      <c r="AI16" s="14">
        <f>IFERROR([1]!Viscosity("CO2","TP","SI",AG16+273.15,AH16)/1000000,"N/A")</f>
        <v>2.189344161472821E-5</v>
      </c>
      <c r="AJ16" s="20">
        <f>IFERROR([1]!CP("CO2","TP","SI",AG16+273.15,AH16),"N/A")</f>
        <v>1.2890950345404271</v>
      </c>
      <c r="AK16" s="21">
        <f>IFERROR([1]!ThermalConductivity("CO2","TP","SI",AG16+273.15,AH16)/1000,"N/A")</f>
        <v>3.0880864541110043E-2</v>
      </c>
      <c r="AL16" s="22">
        <f>IFERROR([1]!Density("CO2","TP","SI",AG16+273.15,AH16),"N/A")</f>
        <v>146.89184958951287</v>
      </c>
      <c r="AM16" s="51">
        <f t="shared" si="20"/>
        <v>29101.831576529617</v>
      </c>
      <c r="AN16" s="16">
        <f t="shared" si="21"/>
        <v>0.87264112667895655</v>
      </c>
      <c r="AO16" s="16">
        <f t="shared" si="22"/>
        <v>630.03889016313042</v>
      </c>
      <c r="AP16" s="16">
        <f t="shared" si="23"/>
        <v>7.6697490684179384</v>
      </c>
      <c r="AQ16" s="51">
        <f t="shared" si="24"/>
        <v>29859.43838405512</v>
      </c>
      <c r="AR16" s="16">
        <f t="shared" si="25"/>
        <v>0.91392282223755361</v>
      </c>
      <c r="AS16" s="16">
        <f t="shared" si="26"/>
        <v>720.44986007877026</v>
      </c>
      <c r="AT16" s="16">
        <f t="shared" si="27"/>
        <v>4.6299543910763834</v>
      </c>
      <c r="AU16" s="16">
        <f t="shared" si="28"/>
        <v>135.20468750000003</v>
      </c>
      <c r="AV16" s="16">
        <f t="shared" si="29"/>
        <v>7663.7757204843138</v>
      </c>
      <c r="AW16" s="16">
        <f t="shared" si="30"/>
        <v>8656.8539057409289</v>
      </c>
    </row>
    <row r="17" spans="3:49" ht="15.6" x14ac:dyDescent="0.25">
      <c r="C17" s="13">
        <v>13</v>
      </c>
      <c r="D17" s="14">
        <f t="shared" si="32"/>
        <v>0.182</v>
      </c>
      <c r="E17" s="14">
        <v>2.5699999999999998E-3</v>
      </c>
      <c r="F17" s="14">
        <v>5.9363999999999999E-4</v>
      </c>
      <c r="G17" s="14">
        <v>0.16346304</v>
      </c>
      <c r="H17" s="33">
        <v>0.17556528133903132</v>
      </c>
      <c r="I17" s="22">
        <v>164.50769230769234</v>
      </c>
      <c r="J17" s="22">
        <v>8.5120384615384648</v>
      </c>
      <c r="K17" s="22">
        <v>116.02179487179484</v>
      </c>
      <c r="L17" s="22">
        <v>8.326794871794867</v>
      </c>
      <c r="M17" s="33">
        <v>0.17710196225071223</v>
      </c>
      <c r="N17" s="22">
        <v>100.60769230769228</v>
      </c>
      <c r="O17" s="22">
        <v>9.4976923076923061</v>
      </c>
      <c r="P17" s="22">
        <v>149.58717948717947</v>
      </c>
      <c r="Q17" s="22">
        <v>9.3981666666666666</v>
      </c>
      <c r="R17" s="16">
        <f>IFERROR([1]!Enthalpy("CO2","TP","SI",I17+273.15,J17),"N/A")</f>
        <v>596.62266194208769</v>
      </c>
      <c r="S17" s="16">
        <f>IFERROR([1]!Enthalpy("CO2","TP","SI",K17+273.15,L17),"N/A")</f>
        <v>538.52709671235925</v>
      </c>
      <c r="T17" s="16">
        <f t="shared" si="11"/>
        <v>10.199564254107319</v>
      </c>
      <c r="U17" s="44">
        <f t="shared" si="12"/>
        <v>0.18524358974359778</v>
      </c>
      <c r="V17" s="16">
        <f>IFERROR([1]!Enthalpy("CO2","TP","SI",N17+273.15,O17),"N/A")</f>
        <v>509.08450077314518</v>
      </c>
      <c r="W17" s="16">
        <f>IFERROR([1]!Enthalpy("CO2","TP","SI",P17+273.15,Q17),"N/A")</f>
        <v>574.4640376809557</v>
      </c>
      <c r="X17" s="16">
        <f t="shared" si="13"/>
        <v>11.578844277416106</v>
      </c>
      <c r="Y17" s="44">
        <f t="shared" si="14"/>
        <v>9.9525641025639544E-2</v>
      </c>
      <c r="Z17" s="17">
        <f t="shared" si="15"/>
        <v>0.13522930871810113</v>
      </c>
      <c r="AA17" s="16">
        <f t="shared" si="16"/>
        <v>140.2647435897436</v>
      </c>
      <c r="AB17" s="16">
        <f t="shared" si="17"/>
        <v>8.4194166666666668</v>
      </c>
      <c r="AC17" s="14">
        <f>IFERROR([1]!Viscosity("CO2","TP","SI",AA17+273.15,AB17)/1000000,"N/A")</f>
        <v>2.1908813729716378E-5</v>
      </c>
      <c r="AD17" s="18">
        <f>IFERROR([1]!CP("CO2","TP","SI",AA17+273.15,AB17),"N/A")</f>
        <v>1.21386935099867</v>
      </c>
      <c r="AE17" s="19">
        <f>IFERROR([1]!ThermalConductivity("CO2","TP","SI",AA17+273.15,AB17)/1000,"N/A")</f>
        <v>3.0723986428368398E-2</v>
      </c>
      <c r="AF17" s="16">
        <f>IFERROR([1]!Density("CO2","TP","SI",AA17+273.15,AB17),"N/A")</f>
        <v>124.28844791640712</v>
      </c>
      <c r="AG17" s="16">
        <f t="shared" si="18"/>
        <v>125.09743589743587</v>
      </c>
      <c r="AH17" s="16">
        <f t="shared" si="19"/>
        <v>9.4479294871794863</v>
      </c>
      <c r="AI17" s="14">
        <f>IFERROR([1]!Viscosity("CO2","TP","SI",AG17+273.15,AH17)/1000000,"N/A")</f>
        <v>2.1896761233889853E-5</v>
      </c>
      <c r="AJ17" s="20">
        <f>IFERROR([1]!CP("CO2","TP","SI",AG17+273.15,AH17),"N/A")</f>
        <v>1.3095635981893587</v>
      </c>
      <c r="AK17" s="21">
        <f>IFERROR([1]!ThermalConductivity("CO2","TP","SI",AG17+273.15,AH17)/1000,"N/A")</f>
        <v>3.0934544126779585E-2</v>
      </c>
      <c r="AL17" s="22">
        <f>IFERROR([1]!Density("CO2","TP","SI",AG17+273.15,AH17),"N/A")</f>
        <v>152.13021134153672</v>
      </c>
      <c r="AM17" s="51">
        <f t="shared" si="20"/>
        <v>34692.032192479033</v>
      </c>
      <c r="AN17" s="16">
        <f t="shared" si="21"/>
        <v>0.86559202091972387</v>
      </c>
      <c r="AO17" s="16">
        <f t="shared" si="22"/>
        <v>688.23872286295318</v>
      </c>
      <c r="AP17" s="16">
        <f t="shared" si="23"/>
        <v>7.4342082635136419</v>
      </c>
      <c r="AQ17" s="51">
        <f t="shared" si="24"/>
        <v>35014.945704439058</v>
      </c>
      <c r="AR17" s="16">
        <f t="shared" si="25"/>
        <v>0.92696376299020211</v>
      </c>
      <c r="AS17" s="16">
        <f t="shared" si="26"/>
        <v>775.99074791048906</v>
      </c>
      <c r="AT17" s="16">
        <f t="shared" si="27"/>
        <v>4.8044286675196783</v>
      </c>
      <c r="AU17" s="16">
        <f t="shared" si="28"/>
        <v>132.68108974358972</v>
      </c>
      <c r="AV17" s="16">
        <f t="shared" si="29"/>
        <v>8227.7965683731418</v>
      </c>
      <c r="AW17" s="16">
        <f t="shared" si="30"/>
        <v>9340.4358105874398</v>
      </c>
    </row>
    <row r="18" spans="3:49" ht="15.6" x14ac:dyDescent="0.25">
      <c r="C18" s="13">
        <v>14</v>
      </c>
      <c r="D18" s="14">
        <f t="shared" si="32"/>
        <v>0.182</v>
      </c>
      <c r="E18" s="14">
        <v>2.5699999999999998E-3</v>
      </c>
      <c r="F18" s="14">
        <v>5.9363999999999999E-4</v>
      </c>
      <c r="G18" s="14">
        <v>0.16346304</v>
      </c>
      <c r="H18" s="33">
        <v>4.8290833333333345E-2</v>
      </c>
      <c r="I18" s="22">
        <v>191.66250000000005</v>
      </c>
      <c r="J18" s="22">
        <v>8.3407343749999985</v>
      </c>
      <c r="K18" s="22">
        <v>113.69687500000002</v>
      </c>
      <c r="L18" s="22">
        <v>8.3266718749999988</v>
      </c>
      <c r="M18" s="33">
        <v>5.0810403645833314E-2</v>
      </c>
      <c r="N18" s="22">
        <v>99.90781250000002</v>
      </c>
      <c r="O18" s="22">
        <v>10.200671875000001</v>
      </c>
      <c r="P18" s="22">
        <v>169.94374999999997</v>
      </c>
      <c r="Q18" s="22">
        <v>10.208937499999999</v>
      </c>
      <c r="R18" s="16">
        <f>IFERROR([1]!Enthalpy("CO2","TP","SI",I18+273.15,J18),"N/A")</f>
        <v>628.8641563726037</v>
      </c>
      <c r="S18" s="16">
        <f>IFERROR([1]!Enthalpy("CO2","TP","SI",K18+273.15,L18),"N/A")</f>
        <v>535.53777074725372</v>
      </c>
      <c r="T18" s="16">
        <f t="shared" si="11"/>
        <v>4.5068089338361732</v>
      </c>
      <c r="U18" s="44">
        <f t="shared" si="12"/>
        <v>1.4062499999999645E-2</v>
      </c>
      <c r="V18" s="16">
        <f>IFERROR([1]!Enthalpy("CO2","TP","SI",N18+273.15,O18),"N/A")</f>
        <v>502.36051516785489</v>
      </c>
      <c r="W18" s="16">
        <f>IFERROR([1]!Enthalpy("CO2","TP","SI",P18+273.15,Q18),"N/A")</f>
        <v>595.5997137744622</v>
      </c>
      <c r="X18" s="16">
        <f t="shared" si="13"/>
        <v>4.7375213168157373</v>
      </c>
      <c r="Y18" s="44">
        <f t="shared" si="14"/>
        <v>-8.2656249999981668E-3</v>
      </c>
      <c r="Z18" s="17">
        <f t="shared" si="15"/>
        <v>5.1191960069002271E-2</v>
      </c>
      <c r="AA18" s="16">
        <f t="shared" si="16"/>
        <v>152.67968750000003</v>
      </c>
      <c r="AB18" s="16">
        <f t="shared" si="17"/>
        <v>8.3337031249999995</v>
      </c>
      <c r="AC18" s="14">
        <f>IFERROR([1]!Viscosity("CO2","TP","SI",AA18+273.15,AB18)/1000000,"N/A")</f>
        <v>2.2304953053508879E-5</v>
      </c>
      <c r="AD18" s="18">
        <f>IFERROR([1]!CP("CO2","TP","SI",AA18+273.15,AB18),"N/A")</f>
        <v>1.1876928224052503</v>
      </c>
      <c r="AE18" s="19">
        <f>IFERROR([1]!ThermalConductivity("CO2","TP","SI",AA18+273.15,AB18)/1000,"N/A")</f>
        <v>3.1390472312207977E-2</v>
      </c>
      <c r="AF18" s="16">
        <f>IFERROR([1]!Density("CO2","TP","SI",AA18+273.15,AB18),"N/A")</f>
        <v>117.11600563416728</v>
      </c>
      <c r="AG18" s="16">
        <f t="shared" si="18"/>
        <v>134.92578125</v>
      </c>
      <c r="AH18" s="16">
        <f t="shared" si="19"/>
        <v>10.204804687500001</v>
      </c>
      <c r="AI18" s="14">
        <f>IFERROR([1]!Viscosity("CO2","TP","SI",AG18+273.15,AH18)/1000000,"N/A")</f>
        <v>2.2525013403660691E-5</v>
      </c>
      <c r="AJ18" s="20">
        <f>IFERROR([1]!CP("CO2","TP","SI",AG18+273.15,AH18),"N/A")</f>
        <v>1.3095251678609554</v>
      </c>
      <c r="AK18" s="21">
        <f>IFERROR([1]!ThermalConductivity("CO2","TP","SI",AG18+273.15,AH18)/1000,"N/A")</f>
        <v>3.2066320360188881E-2</v>
      </c>
      <c r="AL18" s="22">
        <f>IFERROR([1]!Density("CO2","TP","SI",AG18+273.15,AH18),"N/A")</f>
        <v>159.19317648446298</v>
      </c>
      <c r="AM18" s="51">
        <f t="shared" si="20"/>
        <v>9372.8863986041088</v>
      </c>
      <c r="AN18" s="16">
        <f t="shared" si="21"/>
        <v>0.84393227289657136</v>
      </c>
      <c r="AO18" s="16">
        <f t="shared" si="22"/>
        <v>254.28510492025117</v>
      </c>
      <c r="AP18" s="16">
        <f t="shared" si="23"/>
        <v>7.0289010801104519</v>
      </c>
      <c r="AQ18" s="51">
        <f t="shared" si="24"/>
        <v>9765.5690209416753</v>
      </c>
      <c r="AR18" s="16">
        <f t="shared" si="25"/>
        <v>0.91987704317706409</v>
      </c>
      <c r="AS18" s="16">
        <f t="shared" si="26"/>
        <v>261.66863887436932</v>
      </c>
      <c r="AT18" s="16">
        <f t="shared" si="27"/>
        <v>-5.0726266663114181</v>
      </c>
      <c r="AU18" s="16">
        <f t="shared" si="28"/>
        <v>143.802734375</v>
      </c>
      <c r="AV18" s="16">
        <f t="shared" si="29"/>
        <v>3105.8869826482669</v>
      </c>
      <c r="AW18" s="16">
        <f t="shared" si="30"/>
        <v>3264.8834250428413</v>
      </c>
    </row>
    <row r="19" spans="3:49" ht="15.6" x14ac:dyDescent="0.25">
      <c r="C19" s="13">
        <v>15</v>
      </c>
      <c r="D19" s="14">
        <f t="shared" si="32"/>
        <v>0.182</v>
      </c>
      <c r="E19" s="14">
        <v>2.5699999999999998E-3</v>
      </c>
      <c r="F19" s="14">
        <v>5.9363999999999999E-4</v>
      </c>
      <c r="G19" s="14">
        <v>0.16346304</v>
      </c>
      <c r="H19" s="33">
        <v>7.4177165532879841E-2</v>
      </c>
      <c r="I19" s="22">
        <v>199.14693877551025</v>
      </c>
      <c r="J19" s="22">
        <v>8.5248571428571438</v>
      </c>
      <c r="K19" s="22">
        <v>127.44693877551019</v>
      </c>
      <c r="L19" s="22">
        <v>8.4901020408163266</v>
      </c>
      <c r="M19" s="33">
        <v>7.5139529478458034E-2</v>
      </c>
      <c r="N19" s="22">
        <v>110.57142857142857</v>
      </c>
      <c r="O19" s="22">
        <v>9.0388163265306147</v>
      </c>
      <c r="P19" s="22">
        <v>181.44285714285715</v>
      </c>
      <c r="Q19" s="22">
        <v>9.0287755102040865</v>
      </c>
      <c r="R19" s="16">
        <f>IFERROR([1]!Enthalpy("CO2","TP","SI",I19+273.15,J19),"N/A")</f>
        <v>636.77147464550694</v>
      </c>
      <c r="S19" s="16">
        <f>IFERROR([1]!Enthalpy("CO2","TP","SI",K19+273.15,L19),"N/A")</f>
        <v>551.9633608981394</v>
      </c>
      <c r="T19" s="16">
        <f t="shared" si="11"/>
        <v>6.2908254919697848</v>
      </c>
      <c r="U19" s="44">
        <f t="shared" si="12"/>
        <v>3.4755102040817221E-2</v>
      </c>
      <c r="V19" s="16">
        <f>IFERROR([1]!Enthalpy("CO2","TP","SI",N19+273.15,O19),"N/A")</f>
        <v>526.52423480506354</v>
      </c>
      <c r="W19" s="16">
        <f>IFERROR([1]!Enthalpy("CO2","TP","SI",P19+273.15,Q19),"N/A")</f>
        <v>614.30265250498496</v>
      </c>
      <c r="X19" s="16">
        <f t="shared" si="13"/>
        <v>6.595629004335648</v>
      </c>
      <c r="Y19" s="44">
        <f t="shared" si="14"/>
        <v>1.0040816326528201E-2</v>
      </c>
      <c r="Z19" s="17">
        <f t="shared" si="15"/>
        <v>4.84520692482956E-2</v>
      </c>
      <c r="AA19" s="16">
        <f t="shared" si="16"/>
        <v>163.29693877551023</v>
      </c>
      <c r="AB19" s="16">
        <f t="shared" si="17"/>
        <v>8.5074795918367343</v>
      </c>
      <c r="AC19" s="14">
        <f>IFERROR([1]!Viscosity("CO2","TP","SI",AA19+273.15,AB19)/1000000,"N/A")</f>
        <v>2.2734434276985161E-5</v>
      </c>
      <c r="AD19" s="18">
        <f>IFERROR([1]!CP("CO2","TP","SI",AA19+273.15,AB19),"N/A")</f>
        <v>1.1782687352926176</v>
      </c>
      <c r="AE19" s="19">
        <f>IFERROR([1]!ThermalConductivity("CO2","TP","SI",AA19+273.15,AB19)/1000,"N/A")</f>
        <v>3.2165295637808893E-2</v>
      </c>
      <c r="AF19" s="16">
        <f>IFERROR([1]!Density("CO2","TP","SI",AA19+273.15,AB19),"N/A")</f>
        <v>115.36273063638706</v>
      </c>
      <c r="AG19" s="16">
        <f t="shared" si="18"/>
        <v>146.00714285714287</v>
      </c>
      <c r="AH19" s="16">
        <f t="shared" si="19"/>
        <v>9.0337959183673497</v>
      </c>
      <c r="AI19" s="14">
        <f>IFERROR([1]!Viscosity("CO2","TP","SI",AG19+273.15,AH19)/1000000,"N/A")</f>
        <v>2.2329714530060461E-5</v>
      </c>
      <c r="AJ19" s="20">
        <f>IFERROR([1]!CP("CO2","TP","SI",AG19+273.15,AH19),"N/A")</f>
        <v>1.2256966027071841</v>
      </c>
      <c r="AK19" s="21">
        <f>IFERROR([1]!ThermalConductivity("CO2","TP","SI",AG19+273.15,AH19)/1000,"N/A")</f>
        <v>3.1533451432849774E-2</v>
      </c>
      <c r="AL19" s="22">
        <f>IFERROR([1]!Density("CO2","TP","SI",AG19+273.15,AH19),"N/A")</f>
        <v>131.66002127140476</v>
      </c>
      <c r="AM19" s="51">
        <f t="shared" si="20"/>
        <v>14125.246947847229</v>
      </c>
      <c r="AN19" s="16">
        <f t="shared" si="21"/>
        <v>0.83280046372865213</v>
      </c>
      <c r="AO19" s="16">
        <f t="shared" si="22"/>
        <v>355.69173268254792</v>
      </c>
      <c r="AP19" s="16">
        <f t="shared" si="23"/>
        <v>7.2523986940928173</v>
      </c>
      <c r="AQ19" s="51">
        <f t="shared" si="24"/>
        <v>14567.843496886129</v>
      </c>
      <c r="AR19" s="16">
        <f t="shared" si="25"/>
        <v>0.86794987529986634</v>
      </c>
      <c r="AS19" s="16">
        <f t="shared" si="26"/>
        <v>380.39814585841918</v>
      </c>
      <c r="AT19" s="16">
        <f t="shared" si="27"/>
        <v>2.3303655159174008</v>
      </c>
      <c r="AU19" s="16">
        <f t="shared" si="28"/>
        <v>154.65204081632655</v>
      </c>
      <c r="AV19" s="16">
        <f t="shared" si="29"/>
        <v>4451.7236333302126</v>
      </c>
      <c r="AW19" s="16">
        <f t="shared" si="30"/>
        <v>4667.418855086602</v>
      </c>
    </row>
    <row r="20" spans="3:49" ht="15.6" x14ac:dyDescent="0.25">
      <c r="C20" s="13">
        <v>16</v>
      </c>
      <c r="D20" s="14">
        <f t="shared" si="32"/>
        <v>0.182</v>
      </c>
      <c r="E20" s="14">
        <v>2.5699999999999998E-3</v>
      </c>
      <c r="F20" s="14">
        <v>5.9363999999999999E-4</v>
      </c>
      <c r="G20" s="14">
        <v>0.16346304</v>
      </c>
      <c r="H20" s="34">
        <v>9.8708480392156878E-2</v>
      </c>
      <c r="I20" s="41">
        <v>193.58823529411771</v>
      </c>
      <c r="J20" s="41">
        <v>8.4833921568627435</v>
      </c>
      <c r="K20" s="41">
        <v>123.1078431372549</v>
      </c>
      <c r="L20" s="41">
        <v>8.4184117647058834</v>
      </c>
      <c r="M20" s="34">
        <v>0.10096791394335509</v>
      </c>
      <c r="N20" s="41">
        <v>102.80784313725492</v>
      </c>
      <c r="O20" s="41">
        <v>8.8617254901960738</v>
      </c>
      <c r="P20" s="41">
        <v>173.61764705882356</v>
      </c>
      <c r="Q20" s="41">
        <v>8.8233137254901948</v>
      </c>
      <c r="R20" s="16">
        <f>IFERROR([1]!Enthalpy("CO2","TP","SI",I20+273.15,J20),"N/A")</f>
        <v>630.53641837338864</v>
      </c>
      <c r="S20" s="16">
        <f>IFERROR([1]!Enthalpy("CO2","TP","SI",K20+273.15,L20),"N/A")</f>
        <v>546.94955535922747</v>
      </c>
      <c r="T20" s="16">
        <f t="shared" si="11"/>
        <v>8.2507322288752309</v>
      </c>
      <c r="U20" s="44">
        <f t="shared" si="12"/>
        <v>6.4980392156860134E-2</v>
      </c>
      <c r="V20" s="16">
        <f>IFERROR([1]!Enthalpy("CO2","TP","SI",N20+273.15,O20),"N/A")</f>
        <v>517.16592095384988</v>
      </c>
      <c r="W20" s="16">
        <f>IFERROR([1]!Enthalpy("CO2","TP","SI",P20+273.15,Q20),"N/A")</f>
        <v>605.97168910761877</v>
      </c>
      <c r="X20" s="16">
        <f t="shared" si="13"/>
        <v>8.9665331566232815</v>
      </c>
      <c r="Y20" s="44">
        <f t="shared" si="14"/>
        <v>3.8411764705879037E-2</v>
      </c>
      <c r="Z20" s="17">
        <f t="shared" si="15"/>
        <v>8.6756048783518835E-2</v>
      </c>
      <c r="AA20" s="16">
        <f t="shared" si="16"/>
        <v>158.3480392156863</v>
      </c>
      <c r="AB20" s="16">
        <f t="shared" si="17"/>
        <v>8.4509019607843143</v>
      </c>
      <c r="AC20" s="14">
        <f>IFERROR([1]!Viscosity("CO2","TP","SI",AA20+273.15,AB20)/1000000,"N/A")</f>
        <v>2.2542039812036584E-5</v>
      </c>
      <c r="AD20" s="18">
        <f>IFERROR([1]!CP("CO2","TP","SI",AA20+273.15,AB20),"N/A")</f>
        <v>1.1831454946675588</v>
      </c>
      <c r="AE20" s="19">
        <f>IFERROR([1]!ThermalConductivity("CO2","TP","SI",AA20+273.15,AB20)/1000,"N/A")</f>
        <v>3.1820268746081473E-2</v>
      </c>
      <c r="AF20" s="16">
        <f>IFERROR([1]!Density("CO2","TP","SI",AA20+273.15,AB20),"N/A")</f>
        <v>116.53286443152524</v>
      </c>
      <c r="AG20" s="16">
        <f t="shared" si="18"/>
        <v>138.21274509803925</v>
      </c>
      <c r="AH20" s="16">
        <f t="shared" si="19"/>
        <v>8.8425196078431334</v>
      </c>
      <c r="AI20" s="14">
        <f>IFERROR([1]!Viscosity("CO2","TP","SI",AG20+273.15,AH20)/1000000,"N/A")</f>
        <v>2.2005468643830472E-5</v>
      </c>
      <c r="AJ20" s="20">
        <f>IFERROR([1]!CP("CO2","TP","SI",AG20+273.15,AH20),"N/A")</f>
        <v>1.2364774211827603</v>
      </c>
      <c r="AK20" s="21">
        <f>IFERROR([1]!ThermalConductivity("CO2","TP","SI",AG20+273.15,AH20)/1000,"N/A")</f>
        <v>3.0960782752211063E-2</v>
      </c>
      <c r="AL20" s="22">
        <f>IFERROR([1]!Density("CO2","TP","SI",AG20+273.15,AH20),"N/A")</f>
        <v>132.62392469178752</v>
      </c>
      <c r="AM20" s="51">
        <f t="shared" si="20"/>
        <v>18957.070294552508</v>
      </c>
      <c r="AN20" s="16">
        <f t="shared" si="21"/>
        <v>0.83816114367394168</v>
      </c>
      <c r="AO20" s="16">
        <f t="shared" si="22"/>
        <v>404.92465345250622</v>
      </c>
      <c r="AP20" s="16">
        <f t="shared" si="23"/>
        <v>7.734991868705225</v>
      </c>
      <c r="AQ20" s="51">
        <f t="shared" si="24"/>
        <v>19863.818048726978</v>
      </c>
      <c r="AR20" s="16">
        <f t="shared" si="25"/>
        <v>0.87883001338841948</v>
      </c>
      <c r="AS20" s="16">
        <f t="shared" si="26"/>
        <v>452.27043269855272</v>
      </c>
      <c r="AT20" s="16">
        <f t="shared" si="27"/>
        <v>4.9734460617392635</v>
      </c>
      <c r="AU20" s="16">
        <f t="shared" si="28"/>
        <v>148.28039215686277</v>
      </c>
      <c r="AV20" s="16">
        <f t="shared" si="29"/>
        <v>5013.5452508843018</v>
      </c>
      <c r="AW20" s="16">
        <f t="shared" si="30"/>
        <v>5448.5006272483997</v>
      </c>
    </row>
    <row r="21" spans="3:49" ht="15.6" x14ac:dyDescent="0.25">
      <c r="C21" s="13">
        <v>17</v>
      </c>
      <c r="D21" s="14">
        <f t="shared" si="32"/>
        <v>0.182</v>
      </c>
      <c r="E21" s="14">
        <v>2.5699999999999998E-3</v>
      </c>
      <c r="F21" s="14">
        <v>5.9363999999999999E-4</v>
      </c>
      <c r="G21" s="14">
        <v>0.16346304</v>
      </c>
      <c r="H21" s="33">
        <v>0.12392348333333332</v>
      </c>
      <c r="I21" s="22">
        <v>200.32200000000003</v>
      </c>
      <c r="J21" s="22">
        <v>8.9197999999999986</v>
      </c>
      <c r="K21" s="22">
        <v>125.55000000000001</v>
      </c>
      <c r="L21" s="22">
        <v>8.8207999999999984</v>
      </c>
      <c r="M21" s="33">
        <v>0.12508347777777781</v>
      </c>
      <c r="N21" s="22">
        <v>101.64000000000006</v>
      </c>
      <c r="O21" s="22">
        <v>9.1465199999999989</v>
      </c>
      <c r="P21" s="22">
        <v>177.20200000000006</v>
      </c>
      <c r="Q21" s="22">
        <v>9.0883800000000008</v>
      </c>
      <c r="R21" s="16">
        <f>IFERROR([1]!Enthalpy("CO2","TP","SI",I21+273.15,J21),"N/A")</f>
        <v>636.68578602900448</v>
      </c>
      <c r="S21" s="16">
        <f>IFERROR([1]!Enthalpy("CO2","TP","SI",K21+273.15,L21),"N/A")</f>
        <v>547.58566600761367</v>
      </c>
      <c r="T21" s="16">
        <f t="shared" si="11"/>
        <v>11.041597238468823</v>
      </c>
      <c r="U21" s="44">
        <f t="shared" si="12"/>
        <v>9.9000000000000199E-2</v>
      </c>
      <c r="V21" s="16">
        <f>IFERROR([1]!Enthalpy("CO2","TP","SI",N21+273.15,O21),"N/A")</f>
        <v>513.33506991881814</v>
      </c>
      <c r="W21" s="16">
        <f>IFERROR([1]!Enthalpy("CO2","TP","SI",P21+273.15,Q21),"N/A")</f>
        <v>609.07343722062228</v>
      </c>
      <c r="X21" s="16">
        <f t="shared" si="13"/>
        <v>11.975287938875949</v>
      </c>
      <c r="Y21" s="44">
        <f t="shared" si="14"/>
        <v>5.8139999999998082E-2</v>
      </c>
      <c r="Z21" s="17">
        <f t="shared" si="15"/>
        <v>8.4561198913700328E-2</v>
      </c>
      <c r="AA21" s="16">
        <f t="shared" si="16"/>
        <v>162.93600000000004</v>
      </c>
      <c r="AB21" s="16">
        <f t="shared" si="17"/>
        <v>8.8702999999999985</v>
      </c>
      <c r="AC21" s="14">
        <f>IFERROR([1]!Viscosity("CO2","TP","SI",AA21+273.15,AB21)/1000000,"N/A")</f>
        <v>2.2837475159436942E-5</v>
      </c>
      <c r="AD21" s="18">
        <f>IFERROR([1]!CP("CO2","TP","SI",AA21+273.15,AB21),"N/A")</f>
        <v>1.1897785634963784</v>
      </c>
      <c r="AE21" s="19">
        <f>IFERROR([1]!ThermalConductivity("CO2","TP","SI",AA21+273.15,AB21)/1000,"N/A")</f>
        <v>3.2387425911402187E-2</v>
      </c>
      <c r="AF21" s="16">
        <f>IFERROR([1]!Density("CO2","TP","SI",AA21+273.15,AB21),"N/A")</f>
        <v>120.99775221141637</v>
      </c>
      <c r="AG21" s="16">
        <f t="shared" si="18"/>
        <v>139.42100000000005</v>
      </c>
      <c r="AH21" s="16">
        <f t="shared" si="19"/>
        <v>9.1174499999999998</v>
      </c>
      <c r="AI21" s="14">
        <f>IFERROR([1]!Viscosity("CO2","TP","SI",AG21+273.15,AH21)/1000000,"N/A")</f>
        <v>2.2155351952335091E-5</v>
      </c>
      <c r="AJ21" s="20">
        <f>IFERROR([1]!CP("CO2","TP","SI",AG21+273.15,AH21),"N/A")</f>
        <v>1.2451540711212818</v>
      </c>
      <c r="AK21" s="21">
        <f>IFERROR([1]!ThermalConductivity("CO2","TP","SI",AG21+273.15,AH21)/1000,"N/A")</f>
        <v>3.1257600138668462E-2</v>
      </c>
      <c r="AL21" s="22">
        <f>IFERROR([1]!Density("CO2","TP","SI",AG21+273.15,AH21),"N/A")</f>
        <v>136.71711589465849</v>
      </c>
      <c r="AM21" s="51">
        <f t="shared" si="20"/>
        <v>23491.756540834336</v>
      </c>
      <c r="AN21" s="16">
        <f t="shared" si="21"/>
        <v>0.83895331674114948</v>
      </c>
      <c r="AO21" s="16">
        <f t="shared" si="22"/>
        <v>455.88366746606607</v>
      </c>
      <c r="AP21" s="16">
        <f t="shared" si="23"/>
        <v>7.7632454260032384</v>
      </c>
      <c r="AQ21" s="51">
        <f t="shared" si="24"/>
        <v>24441.691667119441</v>
      </c>
      <c r="AR21" s="16">
        <f t="shared" si="25"/>
        <v>0.88256381034344011</v>
      </c>
      <c r="AS21" s="16">
        <f t="shared" si="26"/>
        <v>512.30535782003642</v>
      </c>
      <c r="AT21" s="16">
        <f t="shared" si="27"/>
        <v>5.0563376109873985</v>
      </c>
      <c r="AU21" s="16">
        <f t="shared" si="28"/>
        <v>151.17850000000004</v>
      </c>
      <c r="AV21" s="16">
        <f t="shared" si="29"/>
        <v>5745.0966942706336</v>
      </c>
      <c r="AW21" s="16">
        <f t="shared" si="30"/>
        <v>6230.908958613295</v>
      </c>
    </row>
    <row r="22" spans="3:49" ht="15.6" x14ac:dyDescent="0.25">
      <c r="C22" s="13">
        <v>18</v>
      </c>
      <c r="D22" s="14">
        <f t="shared" si="32"/>
        <v>0.182</v>
      </c>
      <c r="E22" s="14">
        <v>2.5699999999999998E-3</v>
      </c>
      <c r="F22" s="14">
        <v>5.9363999999999999E-4</v>
      </c>
      <c r="G22" s="14">
        <v>0.16346304</v>
      </c>
      <c r="H22" s="33">
        <v>0.14916723794549266</v>
      </c>
      <c r="I22" s="22">
        <v>196.99999999999997</v>
      </c>
      <c r="J22" s="22">
        <v>9.0383773584905658</v>
      </c>
      <c r="K22" s="22">
        <v>123.30566037735852</v>
      </c>
      <c r="L22" s="22">
        <v>8.899037735849058</v>
      </c>
      <c r="M22" s="33">
        <v>0.15050370020964363</v>
      </c>
      <c r="N22" s="22">
        <v>96.066037735849093</v>
      </c>
      <c r="O22" s="22">
        <v>8.9103396226415086</v>
      </c>
      <c r="P22" s="22">
        <v>173.56037735849063</v>
      </c>
      <c r="Q22" s="22">
        <v>8.8219811320754715</v>
      </c>
      <c r="R22" s="16">
        <f>IFERROR([1]!Enthalpy("CO2","TP","SI",I22+273.15,J22),"N/A")</f>
        <v>632.40442261827695</v>
      </c>
      <c r="S22" s="16">
        <f>IFERROR([1]!Enthalpy("CO2","TP","SI",K22+273.15,L22),"N/A")</f>
        <v>544.23370596488428</v>
      </c>
      <c r="T22" s="16">
        <f t="shared" si="11"/>
        <v>13.152182270861237</v>
      </c>
      <c r="U22" s="44">
        <f t="shared" si="12"/>
        <v>0.13933962264150779</v>
      </c>
      <c r="V22" s="16">
        <f>IFERROR([1]!Enthalpy("CO2","TP","SI",N22+273.15,O22),"N/A")</f>
        <v>507.22161776998337</v>
      </c>
      <c r="W22" s="16">
        <f>IFERROR([1]!Enthalpy("CO2","TP","SI",P22+273.15,Q22),"N/A")</f>
        <v>605.91006372656364</v>
      </c>
      <c r="X22" s="16">
        <f t="shared" si="13"/>
        <v>14.852976284404773</v>
      </c>
      <c r="Y22" s="44">
        <f t="shared" si="14"/>
        <v>8.8358490566037062E-2</v>
      </c>
      <c r="Z22" s="17">
        <f t="shared" si="15"/>
        <v>0.12931648744799246</v>
      </c>
      <c r="AA22" s="16">
        <f t="shared" si="16"/>
        <v>160.15283018867925</v>
      </c>
      <c r="AB22" s="16">
        <f t="shared" si="17"/>
        <v>8.9687075471698119</v>
      </c>
      <c r="AC22" s="14">
        <f>IFERROR([1]!Viscosity("CO2","TP","SI",AA22+273.15,AB22)/1000000,"N/A")</f>
        <v>2.2774940026996919E-5</v>
      </c>
      <c r="AD22" s="18">
        <f>IFERROR([1]!CP("CO2","TP","SI",AA22+273.15,AB22),"N/A")</f>
        <v>1.1969940800325429</v>
      </c>
      <c r="AE22" s="19">
        <f>IFERROR([1]!ThermalConductivity("CO2","TP","SI",AA22+273.15,AB22)/1000,"N/A")</f>
        <v>3.2289485734106303E-2</v>
      </c>
      <c r="AF22" s="16">
        <f>IFERROR([1]!Density("CO2","TP","SI",AA22+273.15,AB22),"N/A")</f>
        <v>123.73000333204054</v>
      </c>
      <c r="AG22" s="16">
        <f t="shared" si="18"/>
        <v>134.81320754716987</v>
      </c>
      <c r="AH22" s="16">
        <f t="shared" si="19"/>
        <v>8.8661603773584901</v>
      </c>
      <c r="AI22" s="14">
        <f>IFERROR([1]!Viscosity("CO2","TP","SI",AG22+273.15,AH22)/1000000,"N/A")</f>
        <v>2.1908440547826004E-5</v>
      </c>
      <c r="AJ22" s="20">
        <f>IFERROR([1]!CP("CO2","TP","SI",AG22+273.15,AH22),"N/A")</f>
        <v>1.2466486227870559</v>
      </c>
      <c r="AK22" s="21">
        <f>IFERROR([1]!ThermalConductivity("CO2","TP","SI",AG22+273.15,AH22)/1000,"N/A")</f>
        <v>3.0807006840594144E-2</v>
      </c>
      <c r="AL22" s="22">
        <f>IFERROR([1]!Density("CO2","TP","SI",AG22+273.15,AH22),"N/A")</f>
        <v>134.9717631860357</v>
      </c>
      <c r="AM22" s="51">
        <f t="shared" si="20"/>
        <v>28354.772888049283</v>
      </c>
      <c r="AN22" s="16">
        <f t="shared" si="21"/>
        <v>0.84428313940646438</v>
      </c>
      <c r="AO22" s="16">
        <f t="shared" si="22"/>
        <v>505.45220476110325</v>
      </c>
      <c r="AP22" s="16">
        <f t="shared" si="23"/>
        <v>7.7115344332176186</v>
      </c>
      <c r="AQ22" s="51">
        <f t="shared" si="24"/>
        <v>29740.322862591704</v>
      </c>
      <c r="AR22" s="16">
        <f t="shared" si="25"/>
        <v>0.88655569097256182</v>
      </c>
      <c r="AS22" s="16">
        <f t="shared" si="26"/>
        <v>598.28399793562619</v>
      </c>
      <c r="AT22" s="16">
        <f t="shared" si="27"/>
        <v>5.2400435746768022</v>
      </c>
      <c r="AU22" s="16">
        <f t="shared" si="28"/>
        <v>147.48301886792456</v>
      </c>
      <c r="AV22" s="16">
        <f t="shared" si="29"/>
        <v>6350.50262836818</v>
      </c>
      <c r="AW22" s="16">
        <f t="shared" si="30"/>
        <v>7171.7273217979964</v>
      </c>
    </row>
    <row r="23" spans="3:49" ht="15.6" x14ac:dyDescent="0.25">
      <c r="C23" s="13">
        <v>19</v>
      </c>
      <c r="D23" s="14">
        <f t="shared" si="32"/>
        <v>0.182</v>
      </c>
      <c r="E23" s="14">
        <v>2.5699999999999998E-3</v>
      </c>
      <c r="F23" s="14">
        <v>5.9363999999999999E-4</v>
      </c>
      <c r="G23" s="14">
        <v>0.16346304</v>
      </c>
      <c r="H23" s="33">
        <v>0.17643392156862744</v>
      </c>
      <c r="I23" s="22">
        <v>164.22205882352941</v>
      </c>
      <c r="J23" s="22">
        <v>9.021735294117649</v>
      </c>
      <c r="K23" s="22">
        <v>116.64264705882351</v>
      </c>
      <c r="L23" s="22">
        <v>8.8452058823529427</v>
      </c>
      <c r="M23" s="33">
        <v>0.17615957924836606</v>
      </c>
      <c r="N23" s="22">
        <v>99.419117647058798</v>
      </c>
      <c r="O23" s="22">
        <v>9.0993823529411699</v>
      </c>
      <c r="P23" s="22">
        <v>148.68823529411753</v>
      </c>
      <c r="Q23" s="22">
        <v>8.9911323529411753</v>
      </c>
      <c r="R23" s="16">
        <f>IFERROR([1]!Enthalpy("CO2","TP","SI",I23+273.15,J23),"N/A")</f>
        <v>593.98090891662389</v>
      </c>
      <c r="S23" s="16">
        <f>IFERROR([1]!Enthalpy("CO2","TP","SI",K23+273.15,L23),"N/A")</f>
        <v>535.92800864767014</v>
      </c>
      <c r="T23" s="16">
        <f t="shared" si="11"/>
        <v>10.242500852883937</v>
      </c>
      <c r="U23" s="44">
        <f t="shared" si="12"/>
        <v>0.17652941176470627</v>
      </c>
      <c r="V23" s="16">
        <f>IFERROR([1]!Enthalpy("CO2","TP","SI",N23+273.15,O23),"N/A")</f>
        <v>510.52830130207508</v>
      </c>
      <c r="W23" s="16">
        <f>IFERROR([1]!Enthalpy("CO2","TP","SI",P23+273.15,Q23),"N/A")</f>
        <v>575.41412672155889</v>
      </c>
      <c r="X23" s="16">
        <f t="shared" si="13"/>
        <v>11.430259705079203</v>
      </c>
      <c r="Y23" s="44">
        <f t="shared" si="14"/>
        <v>0.10824999999999463</v>
      </c>
      <c r="Z23" s="17">
        <f t="shared" si="15"/>
        <v>0.11596375428768783</v>
      </c>
      <c r="AA23" s="16">
        <f t="shared" si="16"/>
        <v>140.43235294117648</v>
      </c>
      <c r="AB23" s="16">
        <f t="shared" si="17"/>
        <v>8.9334705882352949</v>
      </c>
      <c r="AC23" s="14">
        <f>IFERROR([1]!Viscosity("CO2","TP","SI",AA23+273.15,AB23)/1000000,"N/A")</f>
        <v>2.211230727638261E-5</v>
      </c>
      <c r="AD23" s="18">
        <f>IFERROR([1]!CP("CO2","TP","SI",AA23+273.15,AB23),"N/A")</f>
        <v>1.2347457973576319</v>
      </c>
      <c r="AE23" s="19">
        <f>IFERROR([1]!ThermalConductivity("CO2","TP","SI",AA23+273.15,AB23)/1000,"N/A")</f>
        <v>3.1153653834025994E-2</v>
      </c>
      <c r="AF23" s="16">
        <f>IFERROR([1]!Density("CO2","TP","SI",AA23+273.15,AB23),"N/A")</f>
        <v>132.96638019508876</v>
      </c>
      <c r="AG23" s="16">
        <f t="shared" si="18"/>
        <v>124.05367647058816</v>
      </c>
      <c r="AH23" s="16">
        <f t="shared" si="19"/>
        <v>9.0452573529411726</v>
      </c>
      <c r="AI23" s="14">
        <f>IFERROR([1]!Viscosity("CO2","TP","SI",AG23+273.15,AH23)/1000000,"N/A")</f>
        <v>2.1670712696103245E-5</v>
      </c>
      <c r="AJ23" s="20">
        <f>IFERROR([1]!CP("CO2","TP","SI",AG23+273.15,AH23),"N/A")</f>
        <v>1.2913828883307013</v>
      </c>
      <c r="AK23" s="21">
        <f>IFERROR([1]!ThermalConductivity("CO2","TP","SI",AG23+273.15,AH23)/1000,"N/A")</f>
        <v>3.0481363861896194E-2</v>
      </c>
      <c r="AL23" s="22">
        <f>IFERROR([1]!Density("CO2","TP","SI",AG23+273.15,AH23),"N/A")</f>
        <v>145.10244697509754</v>
      </c>
      <c r="AM23" s="51">
        <f t="shared" si="20"/>
        <v>34542.836213755472</v>
      </c>
      <c r="AN23" s="16">
        <f t="shared" si="21"/>
        <v>0.87640052190519013</v>
      </c>
      <c r="AO23" s="16">
        <f t="shared" si="22"/>
        <v>631.19240157459194</v>
      </c>
      <c r="AP23" s="16">
        <f t="shared" si="23"/>
        <v>7.5046905533640045</v>
      </c>
      <c r="AQ23" s="51">
        <f t="shared" si="24"/>
        <v>35191.926086665801</v>
      </c>
      <c r="AR23" s="16">
        <f t="shared" si="25"/>
        <v>0.9181081161746184</v>
      </c>
      <c r="AS23" s="16">
        <f t="shared" si="26"/>
        <v>719.92365887302253</v>
      </c>
      <c r="AT23" s="16">
        <f t="shared" si="27"/>
        <v>5.0376519225301353</v>
      </c>
      <c r="AU23" s="16">
        <f t="shared" si="28"/>
        <v>132.24301470588233</v>
      </c>
      <c r="AV23" s="16">
        <f t="shared" si="29"/>
        <v>7651.3422495417753</v>
      </c>
      <c r="AW23" s="16">
        <f t="shared" si="30"/>
        <v>8538.6206221386128</v>
      </c>
    </row>
    <row r="24" spans="3:49" ht="15.6" x14ac:dyDescent="0.25">
      <c r="C24" s="13">
        <v>20</v>
      </c>
      <c r="D24" s="14">
        <f t="shared" si="32"/>
        <v>0.182</v>
      </c>
      <c r="E24" s="14">
        <v>2.5699999999999998E-3</v>
      </c>
      <c r="F24" s="14">
        <v>5.9363999999999999E-4</v>
      </c>
      <c r="G24" s="14">
        <v>0.16346304</v>
      </c>
      <c r="H24" s="33">
        <v>4.846226068376068E-2</v>
      </c>
      <c r="I24" s="22">
        <v>222.50769230769237</v>
      </c>
      <c r="J24" s="22">
        <v>8.4964769230769264</v>
      </c>
      <c r="K24" s="22">
        <v>126.07692307692311</v>
      </c>
      <c r="L24" s="22">
        <v>8.4796615384615386</v>
      </c>
      <c r="M24" s="33">
        <v>5.0217662393162388E-2</v>
      </c>
      <c r="N24" s="22">
        <v>104.37846153846156</v>
      </c>
      <c r="O24" s="22">
        <v>8.7978923076923063</v>
      </c>
      <c r="P24" s="22">
        <v>196.50769230769234</v>
      </c>
      <c r="Q24" s="22">
        <v>8.8009384615384629</v>
      </c>
      <c r="R24" s="16">
        <f>IFERROR([1]!Enthalpy("CO2","TP","SI",I24+273.15,J24),"N/A")</f>
        <v>663.57454289482678</v>
      </c>
      <c r="S24" s="16">
        <f>IFERROR([1]!Enthalpy("CO2","TP","SI",K24+273.15,L24),"N/A")</f>
        <v>550.31019938014833</v>
      </c>
      <c r="T24" s="16">
        <f t="shared" si="11"/>
        <v>5.4890461415833656</v>
      </c>
      <c r="U24" s="44">
        <f t="shared" si="12"/>
        <v>1.6815384615387785E-2</v>
      </c>
      <c r="V24" s="16">
        <f>IFERROR([1]!Enthalpy("CO2","TP","SI",N24+273.15,O24),"N/A")</f>
        <v>519.81713952699567</v>
      </c>
      <c r="W24" s="16">
        <f>IFERROR([1]!Enthalpy("CO2","TP","SI",P24+273.15,Q24),"N/A")</f>
        <v>632.71417181179663</v>
      </c>
      <c r="X24" s="16">
        <f t="shared" si="13"/>
        <v>5.6694250524680889</v>
      </c>
      <c r="Y24" s="44">
        <f t="shared" si="14"/>
        <v>-3.0461538461565851E-3</v>
      </c>
      <c r="Z24" s="17">
        <f t="shared" si="15"/>
        <v>3.2861613153190111E-2</v>
      </c>
      <c r="AA24" s="16">
        <f t="shared" si="16"/>
        <v>174.29230769230773</v>
      </c>
      <c r="AB24" s="16">
        <f t="shared" si="17"/>
        <v>8.4880692307692325</v>
      </c>
      <c r="AC24" s="14">
        <f>IFERROR([1]!Viscosity("CO2","TP","SI",AA24+273.15,AB24)/1000000,"N/A")</f>
        <v>2.3121240470751057E-5</v>
      </c>
      <c r="AD24" s="18">
        <f>IFERROR([1]!CP("CO2","TP","SI",AA24+273.15,AB24),"N/A")</f>
        <v>1.1654688580852726</v>
      </c>
      <c r="AE24" s="19">
        <f>IFERROR([1]!ThermalConductivity("CO2","TP","SI",AA24+273.15,AB24)/1000,"N/A")</f>
        <v>3.2840754575618733E-2</v>
      </c>
      <c r="AF24" s="16">
        <f>IFERROR([1]!Density("CO2","TP","SI",AA24+273.15,AB24),"N/A")</f>
        <v>110.86732666947881</v>
      </c>
      <c r="AG24" s="16">
        <f t="shared" si="18"/>
        <v>150.44307692307694</v>
      </c>
      <c r="AH24" s="16">
        <f t="shared" si="19"/>
        <v>8.7994153846153846</v>
      </c>
      <c r="AI24" s="14">
        <f>IFERROR([1]!Viscosity("CO2","TP","SI",AG24+273.15,AH24)/1000000,"N/A")</f>
        <v>2.2388508766829308E-5</v>
      </c>
      <c r="AJ24" s="20">
        <f>IFERROR([1]!CP("CO2","TP","SI",AG24+273.15,AH24),"N/A")</f>
        <v>1.2078749307037722</v>
      </c>
      <c r="AK24" s="21">
        <f>IFERROR([1]!ThermalConductivity("CO2","TP","SI",AG24+273.15,AH24)/1000,"N/A")</f>
        <v>3.1599193988407701E-2</v>
      </c>
      <c r="AL24" s="22">
        <f>IFERROR([1]!Density("CO2","TP","SI",AG24+273.15,AH24),"N/A")</f>
        <v>125.57559848752368</v>
      </c>
      <c r="AM24" s="51">
        <f t="shared" si="20"/>
        <v>9074.0779504141447</v>
      </c>
      <c r="AN24" s="16">
        <f t="shared" si="21"/>
        <v>0.82053795892275205</v>
      </c>
      <c r="AO24" s="16">
        <f t="shared" si="22"/>
        <v>220.37023049634578</v>
      </c>
      <c r="AP24" s="16">
        <f t="shared" si="23"/>
        <v>7.900254572470871</v>
      </c>
      <c r="AQ24" s="51">
        <f t="shared" si="24"/>
        <v>9710.4932817537665</v>
      </c>
      <c r="AR24" s="16">
        <f t="shared" si="25"/>
        <v>0.85579772968941581</v>
      </c>
      <c r="AS24" s="16">
        <f t="shared" si="26"/>
        <v>236.55502887243938</v>
      </c>
      <c r="AT24" s="16">
        <f t="shared" si="27"/>
        <v>-1.5096704307587527</v>
      </c>
      <c r="AU24" s="16">
        <f t="shared" si="28"/>
        <v>162.36769230769232</v>
      </c>
      <c r="AV24" s="16">
        <f t="shared" si="29"/>
        <v>2816.0018114797758</v>
      </c>
      <c r="AW24" s="16">
        <f t="shared" si="30"/>
        <v>2908.5401736473141</v>
      </c>
    </row>
    <row r="25" spans="3:49" ht="15.6" x14ac:dyDescent="0.25">
      <c r="C25" s="13">
        <v>21</v>
      </c>
      <c r="D25" s="14">
        <f t="shared" si="32"/>
        <v>0.182</v>
      </c>
      <c r="E25" s="14">
        <v>2.5699999999999998E-3</v>
      </c>
      <c r="F25" s="14">
        <v>5.9363999999999999E-4</v>
      </c>
      <c r="G25" s="14">
        <v>0.16346304</v>
      </c>
      <c r="H25" s="33">
        <v>7.4237675438596495E-2</v>
      </c>
      <c r="I25" s="22">
        <v>215.35087719298247</v>
      </c>
      <c r="J25" s="22">
        <v>8.565771929824562</v>
      </c>
      <c r="K25" s="22">
        <v>126.14561403508776</v>
      </c>
      <c r="L25" s="22">
        <v>8.529263157894734</v>
      </c>
      <c r="M25" s="33">
        <v>7.4863689083820684E-2</v>
      </c>
      <c r="N25" s="22">
        <v>102.32105263157894</v>
      </c>
      <c r="O25" s="22">
        <v>8.7117192982456153</v>
      </c>
      <c r="P25" s="22">
        <v>190.28421052631586</v>
      </c>
      <c r="Q25" s="22">
        <v>8.7045263157894759</v>
      </c>
      <c r="R25" s="16">
        <f>IFERROR([1]!Enthalpy("CO2","TP","SI",I25+273.15,J25),"N/A")</f>
        <v>655.18305109711207</v>
      </c>
      <c r="S25" s="16">
        <f>IFERROR([1]!Enthalpy("CO2","TP","SI",K25+273.15,L25),"N/A")</f>
        <v>550.0985922038376</v>
      </c>
      <c r="T25" s="16">
        <f t="shared" si="11"/>
        <v>7.8012259529594452</v>
      </c>
      <c r="U25" s="44">
        <f t="shared" si="12"/>
        <v>3.6508771929828043E-2</v>
      </c>
      <c r="V25" s="16">
        <f>IFERROR([1]!Enthalpy("CO2","TP","SI",N25+273.15,O25),"N/A")</f>
        <v>517.63164848611757</v>
      </c>
      <c r="W25" s="16">
        <f>IFERROR([1]!Enthalpy("CO2","TP","SI",P25+273.15,Q25),"N/A")</f>
        <v>625.88099568984342</v>
      </c>
      <c r="X25" s="16">
        <f t="shared" si="13"/>
        <v>8.1039454725862861</v>
      </c>
      <c r="Y25" s="44">
        <f t="shared" si="14"/>
        <v>7.1929824561394184E-3</v>
      </c>
      <c r="Z25" s="17">
        <f t="shared" si="15"/>
        <v>3.8804095850089079E-2</v>
      </c>
      <c r="AA25" s="16">
        <f t="shared" si="16"/>
        <v>170.74824561403511</v>
      </c>
      <c r="AB25" s="16">
        <f t="shared" si="17"/>
        <v>8.547517543859648</v>
      </c>
      <c r="AC25" s="14">
        <f>IFERROR([1]!Viscosity("CO2","TP","SI",AA25+273.15,AB25)/1000000,"N/A")</f>
        <v>2.3011441959403174E-5</v>
      </c>
      <c r="AD25" s="18">
        <f>IFERROR([1]!CP("CO2","TP","SI",AA25+273.15,AB25),"N/A")</f>
        <v>1.1706955985133753</v>
      </c>
      <c r="AE25" s="19">
        <f>IFERROR([1]!ThermalConductivity("CO2","TP","SI",AA25+273.15,AB25)/1000,"N/A")</f>
        <v>3.2657107446007444E-2</v>
      </c>
      <c r="AF25" s="16">
        <f>IFERROR([1]!Density("CO2","TP","SI",AA25+273.15,AB25),"N/A")</f>
        <v>113.04196456359871</v>
      </c>
      <c r="AG25" s="16">
        <f t="shared" si="18"/>
        <v>146.3026315789474</v>
      </c>
      <c r="AH25" s="16">
        <f t="shared" si="19"/>
        <v>8.7081228070175456</v>
      </c>
      <c r="AI25" s="14">
        <f>IFERROR([1]!Viscosity("CO2","TP","SI",AG25+273.15,AH25)/1000000,"N/A")</f>
        <v>2.2217152380581434E-5</v>
      </c>
      <c r="AJ25" s="20">
        <f>IFERROR([1]!CP("CO2","TP","SI",AG25+273.15,AH25),"N/A")</f>
        <v>1.2125732175369088</v>
      </c>
      <c r="AK25" s="21">
        <f>IFERROR([1]!ThermalConductivity("CO2","TP","SI",AG25+273.15,AH25)/1000,"N/A")</f>
        <v>3.1292970185226483E-2</v>
      </c>
      <c r="AL25" s="22">
        <f>IFERROR([1]!Density("CO2","TP","SI",AG25+273.15,AH25),"N/A")</f>
        <v>126.10654918013394</v>
      </c>
      <c r="AM25" s="51">
        <f t="shared" si="20"/>
        <v>13966.593655039707</v>
      </c>
      <c r="AN25" s="16">
        <f t="shared" si="21"/>
        <v>0.82491671566009517</v>
      </c>
      <c r="AO25" s="16">
        <f t="shared" si="22"/>
        <v>307.27536186531927</v>
      </c>
      <c r="AP25" s="16">
        <f t="shared" si="23"/>
        <v>7.4529161588574242</v>
      </c>
      <c r="AQ25" s="51">
        <f t="shared" si="24"/>
        <v>14587.900665409652</v>
      </c>
      <c r="AR25" s="16">
        <f t="shared" si="25"/>
        <v>0.86089379778170927</v>
      </c>
      <c r="AS25" s="16">
        <f t="shared" si="26"/>
        <v>333.11356697305149</v>
      </c>
      <c r="AT25" s="16">
        <f t="shared" si="27"/>
        <v>1.6108022894064378</v>
      </c>
      <c r="AU25" s="16">
        <f t="shared" si="28"/>
        <v>158.52543859649126</v>
      </c>
      <c r="AV25" s="16">
        <f t="shared" si="29"/>
        <v>3904.5620653488522</v>
      </c>
      <c r="AW25" s="16">
        <f t="shared" si="30"/>
        <v>4056.0750659852711</v>
      </c>
    </row>
    <row r="26" spans="3:49" ht="15.6" x14ac:dyDescent="0.25">
      <c r="C26" s="13">
        <v>22</v>
      </c>
      <c r="D26" s="14">
        <f t="shared" si="32"/>
        <v>0.182</v>
      </c>
      <c r="E26" s="14">
        <v>2.5699999999999998E-3</v>
      </c>
      <c r="F26" s="14">
        <v>5.9363999999999999E-4</v>
      </c>
      <c r="G26" s="14">
        <v>0.16346304</v>
      </c>
      <c r="H26" s="32">
        <v>9.8998338574423458E-2</v>
      </c>
      <c r="I26" s="22">
        <v>214.78679245283021</v>
      </c>
      <c r="J26" s="22">
        <v>9.0319056603773618</v>
      </c>
      <c r="K26" s="22">
        <v>127.67358490566039</v>
      </c>
      <c r="L26" s="22">
        <v>8.9704339622641527</v>
      </c>
      <c r="M26" s="33">
        <v>0.10093650943396226</v>
      </c>
      <c r="N26" s="22">
        <v>100.54339622641508</v>
      </c>
      <c r="O26" s="40">
        <v>9.0726037735849072</v>
      </c>
      <c r="P26" s="22">
        <v>188.49811320754716</v>
      </c>
      <c r="Q26" s="22">
        <v>9.049452830188681</v>
      </c>
      <c r="R26" s="16">
        <f>IFERROR([1]!Enthalpy("CO2","TP","SI",I26+273.15,J26),"N/A")</f>
        <v>652.97386696159731</v>
      </c>
      <c r="S26" s="16">
        <f>IFERROR([1]!Enthalpy("CO2","TP","SI",K26+273.15,L26),"N/A")</f>
        <v>549.39048653462055</v>
      </c>
      <c r="T26" s="16">
        <f t="shared" si="11"/>
        <v>10.254582566193154</v>
      </c>
      <c r="U26" s="44">
        <f t="shared" si="12"/>
        <v>6.1471698113209072E-2</v>
      </c>
      <c r="V26" s="16">
        <f>IFERROR([1]!Enthalpy("CO2","TP","SI",N26+273.15,O26),"N/A")</f>
        <v>512.34968647529263</v>
      </c>
      <c r="W26" s="16">
        <f>IFERROR([1]!Enthalpy("CO2","TP","SI",P26+273.15,Q26),"N/A")</f>
        <v>622.47162489230413</v>
      </c>
      <c r="X26" s="16">
        <f t="shared" si="13"/>
        <v>11.115324075914893</v>
      </c>
      <c r="Y26" s="44">
        <f t="shared" si="14"/>
        <v>2.3150943396226253E-2</v>
      </c>
      <c r="Z26" s="17">
        <f t="shared" si="15"/>
        <v>8.3937254799565736E-2</v>
      </c>
      <c r="AA26" s="16">
        <f t="shared" si="16"/>
        <v>171.23018867924532</v>
      </c>
      <c r="AB26" s="16">
        <f t="shared" si="17"/>
        <v>9.0011698113207572</v>
      </c>
      <c r="AC26" s="14">
        <f>IFERROR([1]!Viscosity("CO2","TP","SI",AA26+273.15,AB26)/1000000,"N/A")</f>
        <v>2.3166219529616224E-5</v>
      </c>
      <c r="AD26" s="18">
        <f>IFERROR([1]!CP("CO2","TP","SI",AA26+273.15,AB26),"N/A")</f>
        <v>1.1827246902651716</v>
      </c>
      <c r="AE26" s="19">
        <f>IFERROR([1]!ThermalConductivity("CO2","TP","SI",AA26+273.15,AB26)/1000,"N/A")</f>
        <v>3.2975179395746346E-2</v>
      </c>
      <c r="AF26" s="16">
        <f>IFERROR([1]!Density("CO2","TP","SI",AA26+273.15,AB26),"N/A")</f>
        <v>119.47447766492927</v>
      </c>
      <c r="AG26" s="16">
        <f t="shared" si="18"/>
        <v>144.52075471698112</v>
      </c>
      <c r="AH26" s="16">
        <f t="shared" si="19"/>
        <v>9.0610283018867932</v>
      </c>
      <c r="AI26" s="14">
        <f>IFERROR([1]!Viscosity("CO2","TP","SI",AG26+273.15,AH26)/1000000,"N/A")</f>
        <v>2.2292663491914973E-5</v>
      </c>
      <c r="AJ26" s="20">
        <f>IFERROR([1]!CP("CO2","TP","SI",AG26+273.15,AH26),"N/A")</f>
        <v>1.2301367110403667</v>
      </c>
      <c r="AK26" s="21">
        <f>IFERROR([1]!ThermalConductivity("CO2","TP","SI",AG26+273.15,AH26)/1000,"N/A")</f>
        <v>3.1475476228218009E-2</v>
      </c>
      <c r="AL26" s="22">
        <f>IFERROR([1]!Density("CO2","TP","SI",AG26+273.15,AH26),"N/A")</f>
        <v>132.90847415446953</v>
      </c>
      <c r="AM26" s="51">
        <f t="shared" si="20"/>
        <v>18500.467609284624</v>
      </c>
      <c r="AN26" s="16">
        <f t="shared" si="21"/>
        <v>0.83090555744830008</v>
      </c>
      <c r="AO26" s="16">
        <f t="shared" si="22"/>
        <v>366.10839074451508</v>
      </c>
      <c r="AP26" s="16">
        <f t="shared" si="23"/>
        <v>7.4581752204402649</v>
      </c>
      <c r="AQ26" s="51">
        <f t="shared" si="24"/>
        <v>19601.815110565243</v>
      </c>
      <c r="AR26" s="16">
        <f t="shared" si="25"/>
        <v>0.87125047924418653</v>
      </c>
      <c r="AS26" s="16">
        <f t="shared" si="26"/>
        <v>415.74657761842127</v>
      </c>
      <c r="AT26" s="16">
        <f t="shared" si="27"/>
        <v>3.0058191372599454</v>
      </c>
      <c r="AU26" s="16">
        <f t="shared" si="28"/>
        <v>157.87547169811322</v>
      </c>
      <c r="AV26" s="16">
        <f t="shared" si="29"/>
        <v>4697.4668727970375</v>
      </c>
      <c r="AW26" s="16">
        <f t="shared" si="30"/>
        <v>5091.7593466115222</v>
      </c>
    </row>
    <row r="27" spans="3:49" ht="15.6" x14ac:dyDescent="0.25">
      <c r="C27" s="13">
        <v>23</v>
      </c>
      <c r="D27" s="14">
        <f t="shared" si="32"/>
        <v>0.182</v>
      </c>
      <c r="E27" s="14">
        <v>2.5699999999999998E-3</v>
      </c>
      <c r="F27" s="14">
        <v>5.9363999999999999E-4</v>
      </c>
      <c r="G27" s="14">
        <v>0.16346304</v>
      </c>
      <c r="H27" s="33">
        <v>0.12297697649572652</v>
      </c>
      <c r="I27" s="22">
        <v>225.14615384615385</v>
      </c>
      <c r="J27" s="22">
        <v>8.2862500000000026</v>
      </c>
      <c r="K27" s="22">
        <v>130.68269230769232</v>
      </c>
      <c r="L27" s="22">
        <v>8.1759999999999984</v>
      </c>
      <c r="M27" s="33">
        <v>0.12426900641025641</v>
      </c>
      <c r="N27" s="22">
        <v>99.296153846153842</v>
      </c>
      <c r="O27" s="22">
        <v>8.5172500000000007</v>
      </c>
      <c r="P27" s="22">
        <v>195.92884615384608</v>
      </c>
      <c r="Q27" s="22">
        <v>8.461211538461539</v>
      </c>
      <c r="R27" s="16">
        <f>IFERROR([1]!Enthalpy("CO2","TP","SI",I27+273.15,J27),"N/A")</f>
        <v>667.24910039184374</v>
      </c>
      <c r="S27" s="16">
        <f>IFERROR([1]!Enthalpy("CO2","TP","SI",K27+273.15,L27),"N/A")</f>
        <v>557.80361426442744</v>
      </c>
      <c r="T27" s="16">
        <f t="shared" si="11"/>
        <v>13.459274975054637</v>
      </c>
      <c r="U27" s="44">
        <f t="shared" si="12"/>
        <v>0.11025000000000418</v>
      </c>
      <c r="V27" s="16">
        <f>IFERROR([1]!Enthalpy("CO2","TP","SI",N27+273.15,O27),"N/A")</f>
        <v>514.94814836790169</v>
      </c>
      <c r="W27" s="16">
        <f>IFERROR([1]!Enthalpy("CO2","TP","SI",P27+273.15,Q27),"N/A")</f>
        <v>633.31038508011886</v>
      </c>
      <c r="X27" s="16">
        <f t="shared" si="13"/>
        <v>14.708757552722803</v>
      </c>
      <c r="Y27" s="44">
        <f t="shared" si="14"/>
        <v>5.6038461538461704E-2</v>
      </c>
      <c r="Z27" s="17">
        <f t="shared" si="15"/>
        <v>9.2834315368691994E-2</v>
      </c>
      <c r="AA27" s="16">
        <f t="shared" si="16"/>
        <v>177.91442307692307</v>
      </c>
      <c r="AB27" s="16">
        <f t="shared" si="17"/>
        <v>8.2311250000000005</v>
      </c>
      <c r="AC27" s="14">
        <f>IFERROR([1]!Viscosity("CO2","TP","SI",AA27+273.15,AB27)/1000000,"N/A")</f>
        <v>2.3181277932574782E-5</v>
      </c>
      <c r="AD27" s="18">
        <f>IFERROR([1]!CP("CO2","TP","SI",AA27+273.15,AB27),"N/A")</f>
        <v>1.1556077760294998</v>
      </c>
      <c r="AE27" s="19">
        <f>IFERROR([1]!ThermalConductivity("CO2","TP","SI",AA27+273.15,AB27)/1000,"N/A")</f>
        <v>3.2906461321826744E-2</v>
      </c>
      <c r="AF27" s="16">
        <f>IFERROR([1]!Density("CO2","TP","SI",AA27+273.15,AB27),"N/A")</f>
        <v>105.95907475518683</v>
      </c>
      <c r="AG27" s="16">
        <f t="shared" si="18"/>
        <v>147.61249999999995</v>
      </c>
      <c r="AH27" s="16">
        <f t="shared" si="19"/>
        <v>8.4892307692307689</v>
      </c>
      <c r="AI27" s="14">
        <f>IFERROR([1]!Viscosity("CO2","TP","SI",AG27+273.15,AH27)/1000000,"N/A")</f>
        <v>2.2182692195394555E-5</v>
      </c>
      <c r="AJ27" s="20">
        <f>IFERROR([1]!CP("CO2","TP","SI",AG27+273.15,AH27),"N/A")</f>
        <v>1.2018427993914955</v>
      </c>
      <c r="AK27" s="21">
        <f>IFERROR([1]!ThermalConductivity("CO2","TP","SI",AG27+273.15,AH27)/1000,"N/A")</f>
        <v>3.1201087354335133E-2</v>
      </c>
      <c r="AL27" s="22">
        <f>IFERROR([1]!Density("CO2","TP","SI",AG27+273.15,AH27),"N/A")</f>
        <v>121.88886832931587</v>
      </c>
      <c r="AM27" s="51">
        <f t="shared" si="20"/>
        <v>22966.584013936783</v>
      </c>
      <c r="AN27" s="16">
        <f t="shared" si="21"/>
        <v>0.8140791796234792</v>
      </c>
      <c r="AO27" s="16">
        <f t="shared" si="22"/>
        <v>424.43759031945228</v>
      </c>
      <c r="AP27" s="16">
        <f t="shared" si="23"/>
        <v>7.6878902829401996</v>
      </c>
      <c r="AQ27" s="51">
        <f t="shared" si="24"/>
        <v>24252.613172449204</v>
      </c>
      <c r="AR27" s="16">
        <f t="shared" si="25"/>
        <v>0.85446089052562046</v>
      </c>
      <c r="AS27" s="16">
        <f t="shared" si="26"/>
        <v>489.19230419452526</v>
      </c>
      <c r="AT27" s="16">
        <f t="shared" si="27"/>
        <v>4.4021277392986287</v>
      </c>
      <c r="AU27" s="16">
        <f t="shared" si="28"/>
        <v>162.76346153846151</v>
      </c>
      <c r="AV27" s="16">
        <f t="shared" si="29"/>
        <v>5434.528851897433</v>
      </c>
      <c r="AW27" s="16">
        <f t="shared" si="30"/>
        <v>5939.0396172147348</v>
      </c>
    </row>
    <row r="28" spans="3:49" ht="15.6" x14ac:dyDescent="0.25">
      <c r="C28" s="13">
        <v>24</v>
      </c>
      <c r="D28" s="14">
        <f t="shared" si="32"/>
        <v>0.182</v>
      </c>
      <c r="E28" s="14">
        <v>2.5699999999999998E-3</v>
      </c>
      <c r="F28" s="14">
        <v>5.9363999999999999E-4</v>
      </c>
      <c r="G28" s="14">
        <v>0.16346304</v>
      </c>
      <c r="H28" s="33">
        <v>0.14889437996031749</v>
      </c>
      <c r="I28" s="22">
        <v>212.49642857142848</v>
      </c>
      <c r="J28" s="22">
        <v>8.6771964285714311</v>
      </c>
      <c r="K28" s="22">
        <v>129.57678571428568</v>
      </c>
      <c r="L28" s="22">
        <v>8.5280714285714261</v>
      </c>
      <c r="M28" s="33">
        <v>0.15033824900793649</v>
      </c>
      <c r="N28" s="22">
        <v>100.03214285714292</v>
      </c>
      <c r="O28" s="22">
        <v>9.0160357142857155</v>
      </c>
      <c r="P28" s="22">
        <v>184.92678571428564</v>
      </c>
      <c r="Q28" s="22">
        <v>8.9338749999999987</v>
      </c>
      <c r="R28" s="16">
        <f>IFERROR([1]!Enthalpy("CO2","TP","SI",I28+273.15,J28),"N/A")</f>
        <v>651.54208425607851</v>
      </c>
      <c r="S28" s="16">
        <f>IFERROR([1]!Enthalpy("CO2","TP","SI",K28+273.15,L28),"N/A")</f>
        <v>554.39804218491872</v>
      </c>
      <c r="T28" s="16">
        <f t="shared" si="11"/>
        <v>14.464201911024333</v>
      </c>
      <c r="U28" s="44">
        <f t="shared" si="12"/>
        <v>0.14912500000000506</v>
      </c>
      <c r="V28" s="16">
        <f>IFERROR([1]!Enthalpy("CO2","TP","SI",N28+273.15,O28),"N/A")</f>
        <v>512.06596500157514</v>
      </c>
      <c r="W28" s="16">
        <f>IFERROR([1]!Enthalpy("CO2","TP","SI",P28+273.15,Q28),"N/A")</f>
        <v>618.75852634960995</v>
      </c>
      <c r="X28" s="16">
        <f t="shared" si="13"/>
        <v>16.039972855235398</v>
      </c>
      <c r="Y28" s="44">
        <f t="shared" si="14"/>
        <v>8.2160714285716807E-2</v>
      </c>
      <c r="Z28" s="17">
        <f t="shared" si="15"/>
        <v>0.10894281992911364</v>
      </c>
      <c r="AA28" s="16">
        <f t="shared" si="16"/>
        <v>171.03660714285706</v>
      </c>
      <c r="AB28" s="16">
        <f t="shared" si="17"/>
        <v>8.6026339285714286</v>
      </c>
      <c r="AC28" s="14">
        <f>IFERROR([1]!Viscosity("CO2","TP","SI",AA28+273.15,AB28)/1000000,"N/A")</f>
        <v>2.3038075393558613E-5</v>
      </c>
      <c r="AD28" s="18">
        <f>IFERROR([1]!CP("CO2","TP","SI",AA28+273.15,AB28),"N/A")</f>
        <v>1.1719039364644552</v>
      </c>
      <c r="AE28" s="19">
        <f>IFERROR([1]!ThermalConductivity("CO2","TP","SI",AA28+273.15,AB28)/1000,"N/A")</f>
        <v>3.2709673886651254E-2</v>
      </c>
      <c r="AF28" s="16">
        <f>IFERROR([1]!Density("CO2","TP","SI",AA28+273.15,AB28),"N/A")</f>
        <v>113.73384052436489</v>
      </c>
      <c r="AG28" s="16">
        <f t="shared" si="18"/>
        <v>142.47946428571427</v>
      </c>
      <c r="AH28" s="16">
        <f t="shared" si="19"/>
        <v>8.9749553571428571</v>
      </c>
      <c r="AI28" s="14">
        <f>IFERROR([1]!Viscosity("CO2","TP","SI",AG28+273.15,AH28)/1000000,"N/A")</f>
        <v>2.2193844885033926E-5</v>
      </c>
      <c r="AJ28" s="20">
        <f>IFERROR([1]!CP("CO2","TP","SI",AG28+273.15,AH28),"N/A")</f>
        <v>1.2314782006054292</v>
      </c>
      <c r="AK28" s="21">
        <f>IFERROR([1]!ThermalConductivity("CO2","TP","SI",AG28+273.15,AH28)/1000,"N/A")</f>
        <v>3.1296267331718926E-2</v>
      </c>
      <c r="AL28" s="22">
        <f>IFERROR([1]!Density("CO2","TP","SI",AG28+273.15,AH28),"N/A")</f>
        <v>132.555903885042</v>
      </c>
      <c r="AM28" s="51">
        <f t="shared" si="20"/>
        <v>27979.637096453236</v>
      </c>
      <c r="AN28" s="16">
        <f t="shared" si="21"/>
        <v>0.82539530463781963</v>
      </c>
      <c r="AO28" s="16">
        <f t="shared" si="22"/>
        <v>486.90816221614705</v>
      </c>
      <c r="AP28" s="16">
        <f t="shared" si="23"/>
        <v>7.6141529044974181</v>
      </c>
      <c r="AQ28" s="51">
        <f t="shared" si="24"/>
        <v>29325.600116412399</v>
      </c>
      <c r="AR28" s="16">
        <f t="shared" si="25"/>
        <v>0.87330657914713172</v>
      </c>
      <c r="AS28" s="16">
        <f t="shared" si="26"/>
        <v>564.33876001191686</v>
      </c>
      <c r="AT28" s="16">
        <f t="shared" si="27"/>
        <v>4.7958142097976628</v>
      </c>
      <c r="AU28" s="16">
        <f t="shared" si="28"/>
        <v>156.75803571428565</v>
      </c>
      <c r="AV28" s="16">
        <f t="shared" si="29"/>
        <v>6197.1234236727078</v>
      </c>
      <c r="AW28" s="16">
        <f t="shared" si="30"/>
        <v>6872.2555248963899</v>
      </c>
    </row>
    <row r="29" spans="3:49" ht="15.6" x14ac:dyDescent="0.25">
      <c r="C29" s="13">
        <v>25</v>
      </c>
      <c r="D29" s="14">
        <f t="shared" si="32"/>
        <v>0.182</v>
      </c>
      <c r="E29" s="14">
        <v>2.5699999999999998E-3</v>
      </c>
      <c r="F29" s="14">
        <v>5.9363999999999999E-4</v>
      </c>
      <c r="G29" s="14">
        <v>0.16346304</v>
      </c>
      <c r="H29" s="33">
        <v>4.8617518832391723E-2</v>
      </c>
      <c r="I29" s="22">
        <v>163.08644067796604</v>
      </c>
      <c r="J29" s="22">
        <v>8.4980508474576268</v>
      </c>
      <c r="K29" s="22">
        <v>129.935593220339</v>
      </c>
      <c r="L29" s="22">
        <v>8.4786440677966102</v>
      </c>
      <c r="M29" s="33">
        <v>5.0548573446327669E-2</v>
      </c>
      <c r="N29" s="22">
        <v>131.27627118644062</v>
      </c>
      <c r="O29" s="22">
        <v>9.031745762711866</v>
      </c>
      <c r="P29" s="22">
        <v>158.50508474576276</v>
      </c>
      <c r="Q29" s="22">
        <v>9.0226440677966071</v>
      </c>
      <c r="R29" s="16">
        <f>IFERROR([1]!Enthalpy("CO2","TP","SI",I29+273.15,J29),"N/A")</f>
        <v>595.01242210200917</v>
      </c>
      <c r="S29" s="16">
        <f>IFERROR([1]!Enthalpy("CO2","TP","SI",K29+273.15,L29),"N/A")</f>
        <v>555.13220993717175</v>
      </c>
      <c r="T29" s="16">
        <f t="shared" si="11"/>
        <v>1.9388769659637606</v>
      </c>
      <c r="U29" s="44">
        <f t="shared" si="12"/>
        <v>1.9406779661016671E-2</v>
      </c>
      <c r="V29" s="16">
        <f>IFERROR([1]!Enthalpy("CO2","TP","SI",N29+273.15,O29),"N/A")</f>
        <v>553.60360780101394</v>
      </c>
      <c r="W29" s="16">
        <f>IFERROR([1]!Enthalpy("CO2","TP","SI",P29+273.15,Q29),"N/A")</f>
        <v>587.13426192481859</v>
      </c>
      <c r="X29" s="16">
        <f t="shared" si="13"/>
        <v>1.6949267326805493</v>
      </c>
      <c r="Y29" s="44">
        <f t="shared" si="14"/>
        <v>9.1016949152589177E-3</v>
      </c>
      <c r="Z29" s="17">
        <f t="shared" si="15"/>
        <v>-0.12582037827343551</v>
      </c>
      <c r="AA29" s="16">
        <f t="shared" si="16"/>
        <v>146.51101694915252</v>
      </c>
      <c r="AB29" s="16">
        <f t="shared" si="17"/>
        <v>8.4883474576271176</v>
      </c>
      <c r="AC29" s="14">
        <f>IFERROR([1]!Viscosity("CO2","TP","SI",AA29+273.15,AB29)/1000000,"N/A")</f>
        <v>2.2144850382540427E-5</v>
      </c>
      <c r="AD29" s="18">
        <f>IFERROR([1]!CP("CO2","TP","SI",AA29+273.15,AB29),"N/A")</f>
        <v>1.2038733994572643</v>
      </c>
      <c r="AE29" s="19">
        <f>IFERROR([1]!ThermalConductivity("CO2","TP","SI",AA29+273.15,AB29)/1000,"N/A")</f>
        <v>3.1136072381145134E-2</v>
      </c>
      <c r="AF29" s="16">
        <f>IFERROR([1]!Density("CO2","TP","SI",AA29+273.15,AB29),"N/A")</f>
        <v>122.39359009389682</v>
      </c>
      <c r="AG29" s="16">
        <f t="shared" si="18"/>
        <v>144.89067796610169</v>
      </c>
      <c r="AH29" s="16">
        <f t="shared" si="19"/>
        <v>9.0271949152542366</v>
      </c>
      <c r="AI29" s="14">
        <f>IFERROR([1]!Viscosity("CO2","TP","SI",AG29+273.15,AH29)/1000000,"N/A")</f>
        <v>2.2291317228681743E-5</v>
      </c>
      <c r="AJ29" s="20">
        <f>IFERROR([1]!CP("CO2","TP","SI",AG29+273.15,AH29),"N/A")</f>
        <v>1.2279496126361023</v>
      </c>
      <c r="AK29" s="21">
        <f>IFERROR([1]!ThermalConductivity("CO2","TP","SI",AG29+273.15,AH29)/1000,"N/A")</f>
        <v>3.1467843760880208E-2</v>
      </c>
      <c r="AL29" s="22">
        <f>IFERROR([1]!Density("CO2","TP","SI",AG29+273.15,AH29),"N/A")</f>
        <v>132.14145955067397</v>
      </c>
      <c r="AM29" s="51">
        <f t="shared" si="20"/>
        <v>9504.5160328129095</v>
      </c>
      <c r="AN29" s="16">
        <f t="shared" si="21"/>
        <v>0.85622862075068662</v>
      </c>
      <c r="AO29" s="16">
        <f t="shared" si="22"/>
        <v>1208.4372111794228</v>
      </c>
      <c r="AP29" s="16">
        <f t="shared" si="23"/>
        <v>10.001487823017252</v>
      </c>
      <c r="AQ29" s="51">
        <f t="shared" si="24"/>
        <v>9817.0982673923845</v>
      </c>
      <c r="AR29" s="16">
        <f t="shared" si="25"/>
        <v>0.86985986596695108</v>
      </c>
      <c r="AS29" s="16">
        <f t="shared" si="26"/>
        <v>1045.2534537292036</v>
      </c>
      <c r="AT29" s="16">
        <f t="shared" si="27"/>
        <v>4.6846981156384011</v>
      </c>
      <c r="AU29" s="16">
        <f t="shared" si="28"/>
        <v>145.70084745762711</v>
      </c>
      <c r="AV29" s="16">
        <f t="shared" si="29"/>
        <v>14640.462441771082</v>
      </c>
      <c r="AW29" s="16">
        <f t="shared" si="30"/>
        <v>12798.39391924942</v>
      </c>
    </row>
    <row r="30" spans="3:49" ht="15.6" x14ac:dyDescent="0.25">
      <c r="C30" s="13">
        <v>26</v>
      </c>
      <c r="D30" s="14">
        <f t="shared" si="32"/>
        <v>0.182</v>
      </c>
      <c r="E30" s="14">
        <v>2.5699999999999998E-3</v>
      </c>
      <c r="F30" s="14">
        <v>5.9363999999999999E-4</v>
      </c>
      <c r="G30" s="14">
        <v>0.16346304</v>
      </c>
      <c r="H30" s="33">
        <v>7.4521125992063508E-2</v>
      </c>
      <c r="I30" s="22">
        <v>170.65178571428572</v>
      </c>
      <c r="J30" s="22">
        <v>8.9484285714285701</v>
      </c>
      <c r="K30" s="22">
        <v>133.77678571428569</v>
      </c>
      <c r="L30" s="22">
        <v>8.91282142857143</v>
      </c>
      <c r="M30" s="33">
        <v>7.5520208333333311E-2</v>
      </c>
      <c r="N30" s="22">
        <v>131.54285714285712</v>
      </c>
      <c r="O30" s="22">
        <v>9.4999107142857131</v>
      </c>
      <c r="P30" s="22">
        <v>165.82142857142853</v>
      </c>
      <c r="Q30" s="22">
        <v>9.4788035714285712</v>
      </c>
      <c r="R30" s="16">
        <f>IFERROR([1]!Enthalpy("CO2","TP","SI",I30+273.15,J30),"N/A")</f>
        <v>601.9387096207854</v>
      </c>
      <c r="S30" s="16">
        <f>IFERROR([1]!Enthalpy("CO2","TP","SI",K30+273.15,L30),"N/A")</f>
        <v>557.43130272493295</v>
      </c>
      <c r="T30" s="16">
        <f t="shared" si="11"/>
        <v>3.3167420768658569</v>
      </c>
      <c r="U30" s="44">
        <f t="shared" si="12"/>
        <v>3.5607142857140062E-2</v>
      </c>
      <c r="V30" s="16">
        <f>IFERROR([1]!Enthalpy("CO2","TP","SI",N30+273.15,O30),"N/A")</f>
        <v>551.22687172803319</v>
      </c>
      <c r="W30" s="16">
        <f>IFERROR([1]!Enthalpy("CO2","TP","SI",P30+273.15,Q30),"N/A")</f>
        <v>593.83734688603488</v>
      </c>
      <c r="X30" s="16">
        <f t="shared" si="13"/>
        <v>3.2179519611146112</v>
      </c>
      <c r="Y30" s="44">
        <f t="shared" si="14"/>
        <v>2.1107142857141881E-2</v>
      </c>
      <c r="Z30" s="17">
        <f t="shared" si="15"/>
        <v>-2.978528732767698E-2</v>
      </c>
      <c r="AA30" s="16">
        <f t="shared" si="16"/>
        <v>152.21428571428572</v>
      </c>
      <c r="AB30" s="16">
        <f t="shared" si="17"/>
        <v>8.9306249999999991</v>
      </c>
      <c r="AC30" s="14">
        <f>IFERROR([1]!Viscosity("CO2","TP","SI",AA30+273.15,AB30)/1000000,"N/A")</f>
        <v>2.2494677377024909E-5</v>
      </c>
      <c r="AD30" s="18">
        <f>IFERROR([1]!CP("CO2","TP","SI",AA30+273.15,AB30),"N/A")</f>
        <v>1.2092446354400677</v>
      </c>
      <c r="AE30" s="19">
        <f>IFERROR([1]!ThermalConductivity("CO2","TP","SI",AA30+273.15,AB30)/1000,"N/A")</f>
        <v>3.1799524499202494E-2</v>
      </c>
      <c r="AF30" s="16">
        <f>IFERROR([1]!Density("CO2","TP","SI",AA30+273.15,AB30),"N/A")</f>
        <v>126.83515038370055</v>
      </c>
      <c r="AG30" s="16">
        <f t="shared" si="18"/>
        <v>148.68214285714282</v>
      </c>
      <c r="AH30" s="16">
        <f t="shared" si="19"/>
        <v>9.4893571428571413</v>
      </c>
      <c r="AI30" s="14">
        <f>IFERROR([1]!Viscosity("CO2","TP","SI",AG30+273.15,AH30)/1000000,"N/A")</f>
        <v>2.2592275824901442E-5</v>
      </c>
      <c r="AJ30" s="20">
        <f>IFERROR([1]!CP("CO2","TP","SI",AG30+273.15,AH30),"N/A")</f>
        <v>1.2371090754497243</v>
      </c>
      <c r="AK30" s="21">
        <f>IFERROR([1]!ThermalConductivity("CO2","TP","SI",AG30+273.15,AH30)/1000,"N/A")</f>
        <v>3.2042857748785E-2</v>
      </c>
      <c r="AL30" s="22">
        <f>IFERROR([1]!Density("CO2","TP","SI",AG30+273.15,AH30),"N/A")</f>
        <v>137.8020142189537</v>
      </c>
      <c r="AM30" s="51">
        <f t="shared" si="20"/>
        <v>14341.996310482016</v>
      </c>
      <c r="AN30" s="16">
        <f t="shared" si="21"/>
        <v>0.85540800916078519</v>
      </c>
      <c r="AO30" s="16">
        <f t="shared" si="22"/>
        <v>928.53090156643441</v>
      </c>
      <c r="AP30" s="16">
        <f t="shared" si="23"/>
        <v>8.0938654829719052</v>
      </c>
      <c r="AQ30" s="51">
        <f t="shared" si="24"/>
        <v>14471.487194540026</v>
      </c>
      <c r="AR30" s="16">
        <f t="shared" si="25"/>
        <v>0.87224147350305392</v>
      </c>
      <c r="AS30" s="16">
        <f t="shared" si="26"/>
        <v>894.03310808334345</v>
      </c>
      <c r="AT30" s="16">
        <f t="shared" si="27"/>
        <v>5.0757088252319837</v>
      </c>
      <c r="AU30" s="16">
        <f t="shared" si="28"/>
        <v>150.44821428571427</v>
      </c>
      <c r="AV30" s="16">
        <f t="shared" si="29"/>
        <v>11489.043250049966</v>
      </c>
      <c r="AW30" s="16">
        <f t="shared" si="30"/>
        <v>11146.838795727121</v>
      </c>
    </row>
    <row r="31" spans="3:49" ht="15.6" x14ac:dyDescent="0.25">
      <c r="C31" s="13">
        <v>27</v>
      </c>
      <c r="D31" s="14">
        <f t="shared" si="32"/>
        <v>0.182</v>
      </c>
      <c r="E31" s="14">
        <v>2.5699999999999998E-3</v>
      </c>
      <c r="F31" s="14">
        <v>5.9363999999999999E-4</v>
      </c>
      <c r="G31" s="14">
        <v>0.16346304</v>
      </c>
      <c r="H31" s="33">
        <v>9.8835975056689354E-2</v>
      </c>
      <c r="I31" s="22">
        <v>176.28163265306131</v>
      </c>
      <c r="J31" s="22">
        <v>8.7196122448979612</v>
      </c>
      <c r="K31" s="22">
        <v>136.03469387755095</v>
      </c>
      <c r="L31" s="22">
        <v>8.6545306122448977</v>
      </c>
      <c r="M31" s="33">
        <v>0.10123971088435373</v>
      </c>
      <c r="N31" s="22">
        <v>131.25510204081633</v>
      </c>
      <c r="O31" s="22">
        <v>9.2743673469387762</v>
      </c>
      <c r="P31" s="22">
        <v>169.66326530612244</v>
      </c>
      <c r="Q31" s="22">
        <v>9.2337346938775529</v>
      </c>
      <c r="R31" s="16">
        <f>IFERROR([1]!Enthalpy("CO2","TP","SI",I31+273.15,J31),"N/A")</f>
        <v>609.53246534119694</v>
      </c>
      <c r="S31" s="16">
        <f>IFERROR([1]!Enthalpy("CO2","TP","SI",K31+273.15,L31),"N/A")</f>
        <v>561.68463929550455</v>
      </c>
      <c r="T31" s="16">
        <f t="shared" si="11"/>
        <v>4.7290865415688641</v>
      </c>
      <c r="U31" s="44">
        <f t="shared" si="12"/>
        <v>6.5081632653063437E-2</v>
      </c>
      <c r="V31" s="16">
        <f>IFERROR([1]!Enthalpy("CO2","TP","SI",N31+273.15,O31),"N/A")</f>
        <v>552.16896259925591</v>
      </c>
      <c r="W31" s="16">
        <f>IFERROR([1]!Enthalpy("CO2","TP","SI",P31+273.15,Q31),"N/A")</f>
        <v>599.52321327016705</v>
      </c>
      <c r="X31" s="16">
        <f t="shared" si="13"/>
        <v>4.7941306470682576</v>
      </c>
      <c r="Y31" s="44">
        <f t="shared" si="14"/>
        <v>4.0632653061223323E-2</v>
      </c>
      <c r="Z31" s="17">
        <f t="shared" si="15"/>
        <v>1.375405269657326E-2</v>
      </c>
      <c r="AA31" s="16">
        <f t="shared" si="16"/>
        <v>156.15816326530614</v>
      </c>
      <c r="AB31" s="16">
        <f t="shared" si="17"/>
        <v>8.6870714285714286</v>
      </c>
      <c r="AC31" s="14">
        <f>IFERROR([1]!Viscosity("CO2","TP","SI",AA31+273.15,AB31)/1000000,"N/A")</f>
        <v>2.2543488525981476E-5</v>
      </c>
      <c r="AD31" s="18">
        <f>IFERROR([1]!CP("CO2","TP","SI",AA31+273.15,AB31),"N/A")</f>
        <v>1.1941146250406995</v>
      </c>
      <c r="AE31" s="19">
        <f>IFERROR([1]!ThermalConductivity("CO2","TP","SI",AA31+273.15,AB31)/1000,"N/A")</f>
        <v>3.1852311619304421E-2</v>
      </c>
      <c r="AF31" s="16">
        <f>IFERROR([1]!Density("CO2","TP","SI",AA31+273.15,AB31),"N/A")</f>
        <v>121.14165931194151</v>
      </c>
      <c r="AG31" s="16">
        <f t="shared" si="18"/>
        <v>150.4591836734694</v>
      </c>
      <c r="AH31" s="16">
        <f t="shared" si="19"/>
        <v>9.2540510204081645</v>
      </c>
      <c r="AI31" s="14">
        <f>IFERROR([1]!Viscosity("CO2","TP","SI",AG31+273.15,AH31)/1000000,"N/A")</f>
        <v>2.2556780841638163E-5</v>
      </c>
      <c r="AJ31" s="20">
        <f>IFERROR([1]!CP("CO2","TP","SI",AG31+273.15,AH31),"N/A")</f>
        <v>1.2243764095204579</v>
      </c>
      <c r="AK31" s="21">
        <f>IFERROR([1]!ThermalConductivity("CO2","TP","SI",AG31+273.15,AH31)/1000,"N/A")</f>
        <v>3.1949677714469722E-2</v>
      </c>
      <c r="AL31" s="22">
        <f>IFERROR([1]!Density("CO2","TP","SI",AG31+273.15,AH31),"N/A")</f>
        <v>132.96298104760399</v>
      </c>
      <c r="AM31" s="51">
        <f t="shared" si="20"/>
        <v>18980.335969423253</v>
      </c>
      <c r="AN31" s="16">
        <f t="shared" si="21"/>
        <v>0.84513518736256599</v>
      </c>
      <c r="AO31" s="16">
        <f t="shared" si="22"/>
        <v>819.18643379144123</v>
      </c>
      <c r="AP31" s="16">
        <f t="shared" si="23"/>
        <v>8.032669506150393</v>
      </c>
      <c r="AQ31" s="51">
        <f t="shared" si="24"/>
        <v>19430.489567197001</v>
      </c>
      <c r="AR31" s="16">
        <f t="shared" si="25"/>
        <v>0.86442156268502357</v>
      </c>
      <c r="AS31" s="16">
        <f t="shared" si="26"/>
        <v>827.92277415950321</v>
      </c>
      <c r="AT31" s="16">
        <f t="shared" si="27"/>
        <v>5.2461677677040015</v>
      </c>
      <c r="AU31" s="16">
        <f t="shared" si="28"/>
        <v>153.30867346938777</v>
      </c>
      <c r="AV31" s="16">
        <f t="shared" si="29"/>
        <v>10152.911114175749</v>
      </c>
      <c r="AW31" s="16">
        <f t="shared" si="30"/>
        <v>10292.554788663747</v>
      </c>
    </row>
    <row r="32" spans="3:49" ht="15.6" x14ac:dyDescent="0.25">
      <c r="C32" s="13">
        <v>28</v>
      </c>
      <c r="D32" s="14">
        <f t="shared" si="32"/>
        <v>0.182</v>
      </c>
      <c r="E32" s="14">
        <v>2.5699999999999998E-3</v>
      </c>
      <c r="F32" s="14">
        <v>5.9363999999999999E-4</v>
      </c>
      <c r="G32" s="14">
        <v>0.16346304</v>
      </c>
      <c r="H32" s="33">
        <v>0.12361851307189549</v>
      </c>
      <c r="I32" s="22">
        <v>169.57058823529414</v>
      </c>
      <c r="J32" s="22">
        <v>8.8153529411764708</v>
      </c>
      <c r="K32" s="22">
        <v>135.93725490196078</v>
      </c>
      <c r="L32" s="22">
        <v>8.7161372549019607</v>
      </c>
      <c r="M32" s="33">
        <v>0.12490543028322446</v>
      </c>
      <c r="N32" s="22">
        <v>129.92745098039217</v>
      </c>
      <c r="O32" s="22">
        <v>8.9493529411764694</v>
      </c>
      <c r="P32" s="22">
        <v>164.46862745098034</v>
      </c>
      <c r="Q32" s="22">
        <v>8.8900196078431417</v>
      </c>
      <c r="R32" s="16">
        <f>IFERROR([1]!Enthalpy("CO2","TP","SI",I32+273.15,J32),"N/A")</f>
        <v>601.24151638894091</v>
      </c>
      <c r="S32" s="16">
        <f>IFERROR([1]!Enthalpy("CO2","TP","SI",K32+273.15,L32),"N/A")</f>
        <v>561.22244591623939</v>
      </c>
      <c r="T32" s="16">
        <f t="shared" si="11"/>
        <v>4.9470979863547591</v>
      </c>
      <c r="U32" s="44">
        <f t="shared" si="12"/>
        <v>9.9215686274510162E-2</v>
      </c>
      <c r="V32" s="16">
        <f>IFERROR([1]!Enthalpy("CO2","TP","SI",N32+273.15,O32),"N/A")</f>
        <v>552.37674259358027</v>
      </c>
      <c r="W32" s="16">
        <f>IFERROR([1]!Enthalpy("CO2","TP","SI",P32+273.15,Q32),"N/A")</f>
        <v>594.87019365273102</v>
      </c>
      <c r="X32" s="16">
        <f t="shared" si="13"/>
        <v>5.3076627887623635</v>
      </c>
      <c r="Y32" s="44">
        <f t="shared" si="14"/>
        <v>5.9333333333327687E-2</v>
      </c>
      <c r="Z32" s="17">
        <f t="shared" si="15"/>
        <v>7.2884103650690896E-2</v>
      </c>
      <c r="AA32" s="16">
        <f t="shared" si="16"/>
        <v>152.75392156862745</v>
      </c>
      <c r="AB32" s="16">
        <f t="shared" si="17"/>
        <v>8.7657450980392149</v>
      </c>
      <c r="AC32" s="14">
        <f>IFERROR([1]!Viscosity("CO2","TP","SI",AA32+273.15,AB32)/1000000,"N/A")</f>
        <v>2.2454376274552232E-5</v>
      </c>
      <c r="AD32" s="18">
        <f>IFERROR([1]!CP("CO2","TP","SI",AA32+273.15,AB32),"N/A")</f>
        <v>1.2024821830544223</v>
      </c>
      <c r="AE32" s="19">
        <f>IFERROR([1]!ThermalConductivity("CO2","TP","SI",AA32+273.15,AB32)/1000,"N/A")</f>
        <v>3.1708000172194557E-2</v>
      </c>
      <c r="AF32" s="16">
        <f>IFERROR([1]!Density("CO2","TP","SI",AA32+273.15,AB32),"N/A")</f>
        <v>123.93813476804056</v>
      </c>
      <c r="AG32" s="16">
        <f t="shared" si="18"/>
        <v>147.19803921568626</v>
      </c>
      <c r="AH32" s="16">
        <f t="shared" si="19"/>
        <v>8.9196862745098056</v>
      </c>
      <c r="AI32" s="14">
        <f>IFERROR([1]!Viscosity("CO2","TP","SI",AG32+273.15,AH32)/1000000,"N/A")</f>
        <v>2.2325094626706936E-5</v>
      </c>
      <c r="AJ32" s="20">
        <f>IFERROR([1]!CP("CO2","TP","SI",AG32+273.15,AH32),"N/A")</f>
        <v>1.2187550809628196</v>
      </c>
      <c r="AK32" s="21">
        <f>IFERROR([1]!ThermalConductivity("CO2","TP","SI",AG32+273.15,AH32)/1000,"N/A")</f>
        <v>3.1508333800799114E-2</v>
      </c>
      <c r="AL32" s="22">
        <f>IFERROR([1]!Density("CO2","TP","SI",AG32+273.15,AH32),"N/A")</f>
        <v>129.14879080594807</v>
      </c>
      <c r="AM32" s="51">
        <f t="shared" si="20"/>
        <v>23833.755861626298</v>
      </c>
      <c r="AN32" s="16">
        <f t="shared" si="21"/>
        <v>0.85155125694198641</v>
      </c>
      <c r="AO32" s="16">
        <f t="shared" si="22"/>
        <v>883.02330803775715</v>
      </c>
      <c r="AP32" s="16">
        <f t="shared" si="23"/>
        <v>8.0085945925956601</v>
      </c>
      <c r="AQ32" s="51">
        <f t="shared" si="24"/>
        <v>24221.329535715256</v>
      </c>
      <c r="AR32" s="16">
        <f t="shared" si="25"/>
        <v>0.86354367962753875</v>
      </c>
      <c r="AS32" s="16">
        <f t="shared" si="26"/>
        <v>953.38516966349653</v>
      </c>
      <c r="AT32" s="16">
        <f t="shared" si="27"/>
        <v>4.8883747946210949</v>
      </c>
      <c r="AU32" s="16">
        <f t="shared" si="28"/>
        <v>149.97598039215686</v>
      </c>
      <c r="AV32" s="16">
        <f t="shared" si="29"/>
        <v>10894.514865102341</v>
      </c>
      <c r="AW32" s="16">
        <f t="shared" si="30"/>
        <v>11688.551815754454</v>
      </c>
    </row>
    <row r="33" spans="3:49" ht="15.6" x14ac:dyDescent="0.25">
      <c r="C33" s="13">
        <v>29</v>
      </c>
      <c r="D33" s="14">
        <f t="shared" si="32"/>
        <v>0.182</v>
      </c>
      <c r="E33" s="14">
        <v>2.5699999999999998E-3</v>
      </c>
      <c r="F33" s="14">
        <v>5.9363999999999999E-4</v>
      </c>
      <c r="G33" s="14">
        <v>0.16346304</v>
      </c>
      <c r="H33" s="33">
        <v>0.14921235875706212</v>
      </c>
      <c r="I33" s="22">
        <v>172.74915254237288</v>
      </c>
      <c r="J33" s="22">
        <v>9.3003220338983077</v>
      </c>
      <c r="K33" s="22">
        <v>138.1423728813559</v>
      </c>
      <c r="L33" s="22">
        <v>9.1649491525423716</v>
      </c>
      <c r="M33" s="33">
        <v>0.15084544256120527</v>
      </c>
      <c r="N33" s="22">
        <v>130.63220338983047</v>
      </c>
      <c r="O33" s="22">
        <v>9.4040847457627113</v>
      </c>
      <c r="P33" s="22">
        <v>167.06101694915256</v>
      </c>
      <c r="Q33" s="22">
        <v>9.3205084745762772</v>
      </c>
      <c r="R33" s="16">
        <f>IFERROR([1]!Enthalpy("CO2","TP","SI",I33+273.15,J33),"N/A")</f>
        <v>602.9078944942728</v>
      </c>
      <c r="S33" s="16">
        <f>IFERROR([1]!Enthalpy("CO2","TP","SI",K33+273.15,L33),"N/A")</f>
        <v>561.48848536027629</v>
      </c>
      <c r="T33" s="16">
        <f t="shared" si="11"/>
        <v>6.1802877352074228</v>
      </c>
      <c r="U33" s="44">
        <f t="shared" si="12"/>
        <v>0.13537288135593606</v>
      </c>
      <c r="V33" s="16">
        <f>IFERROR([1]!Enthalpy("CO2","TP","SI",N33+273.15,O33),"N/A")</f>
        <v>550.61425919684291</v>
      </c>
      <c r="W33" s="16">
        <f>IFERROR([1]!Enthalpy("CO2","TP","SI",P33+273.15,Q33),"N/A")</f>
        <v>596.03274699131373</v>
      </c>
      <c r="X33" s="16">
        <f t="shared" si="13"/>
        <v>6.8511718918176507</v>
      </c>
      <c r="Y33" s="44">
        <f t="shared" si="14"/>
        <v>8.357627118643407E-2</v>
      </c>
      <c r="Z33" s="17">
        <f t="shared" si="15"/>
        <v>0.10855225280020263</v>
      </c>
      <c r="AA33" s="16">
        <f t="shared" si="16"/>
        <v>155.4457627118644</v>
      </c>
      <c r="AB33" s="16">
        <f t="shared" si="17"/>
        <v>9.2326355932203406</v>
      </c>
      <c r="AC33" s="14">
        <f>IFERROR([1]!Viscosity("CO2","TP","SI",AA33+273.15,AB33)/1000000,"N/A")</f>
        <v>2.271032629879818E-5</v>
      </c>
      <c r="AD33" s="18">
        <f>IFERROR([1]!CP("CO2","TP","SI",AA33+273.15,AB33),"N/A")</f>
        <v>1.2137385044636904</v>
      </c>
      <c r="AE33" s="19">
        <f>IFERROR([1]!ThermalConductivity("CO2","TP","SI",AA33+273.15,AB33)/1000,"N/A")</f>
        <v>3.2209262504404174E-2</v>
      </c>
      <c r="AF33" s="16">
        <f>IFERROR([1]!Density("CO2","TP","SI",AA33+273.15,AB33),"N/A")</f>
        <v>130.0856216594359</v>
      </c>
      <c r="AG33" s="16">
        <f t="shared" si="18"/>
        <v>148.8466101694915</v>
      </c>
      <c r="AH33" s="16">
        <f t="shared" si="19"/>
        <v>9.3622966101694942</v>
      </c>
      <c r="AI33" s="14">
        <f>IFERROR([1]!Viscosity("CO2","TP","SI",AG33+273.15,AH33)/1000000,"N/A")</f>
        <v>2.2547310621929792E-5</v>
      </c>
      <c r="AJ33" s="20">
        <f>IFERROR([1]!CP("CO2","TP","SI",AG33+273.15,AH33),"N/A")</f>
        <v>1.2319171559991295</v>
      </c>
      <c r="AK33" s="21">
        <f>IFERROR([1]!ThermalConductivity("CO2","TP","SI",AG33+273.15,AH33)/1000,"N/A")</f>
        <v>3.1948939747454642E-2</v>
      </c>
      <c r="AL33" s="22">
        <f>IFERROR([1]!Density("CO2","TP","SI",AG33+273.15,AH33),"N/A")</f>
        <v>135.60277471267094</v>
      </c>
      <c r="AM33" s="51">
        <f t="shared" si="20"/>
        <v>28444.047063219878</v>
      </c>
      <c r="AN33" s="16">
        <f t="shared" si="21"/>
        <v>0.85579101583020323</v>
      </c>
      <c r="AO33" s="16">
        <f t="shared" si="22"/>
        <v>914.28857798257047</v>
      </c>
      <c r="AP33" s="16">
        <f t="shared" si="23"/>
        <v>7.8720786012640254</v>
      </c>
      <c r="AQ33" s="51">
        <f t="shared" si="24"/>
        <v>28963.257975214463</v>
      </c>
      <c r="AR33" s="16">
        <f t="shared" si="25"/>
        <v>0.8694003305386574</v>
      </c>
      <c r="AS33" s="16">
        <f t="shared" si="26"/>
        <v>1021.7950482565492</v>
      </c>
      <c r="AT33" s="16">
        <f t="shared" si="27"/>
        <v>4.9570719646457784</v>
      </c>
      <c r="AU33" s="16">
        <f t="shared" si="28"/>
        <v>152.14618644067795</v>
      </c>
      <c r="AV33" s="16">
        <f t="shared" si="29"/>
        <v>11458.583973937362</v>
      </c>
      <c r="AW33" s="16">
        <f t="shared" si="30"/>
        <v>12702.439078208561</v>
      </c>
    </row>
    <row r="34" spans="3:49" ht="15.6" x14ac:dyDescent="0.25">
      <c r="C34" s="13">
        <v>30</v>
      </c>
      <c r="D34" s="14">
        <f t="shared" si="32"/>
        <v>0.182</v>
      </c>
      <c r="E34" s="14">
        <v>2.5699999999999998E-3</v>
      </c>
      <c r="F34" s="14">
        <v>5.9363999999999999E-4</v>
      </c>
      <c r="G34" s="14">
        <v>0.16346304</v>
      </c>
      <c r="H34" s="33">
        <v>0.17169498971193412</v>
      </c>
      <c r="I34" s="22">
        <v>168.59012345679011</v>
      </c>
      <c r="J34" s="22">
        <v>9.5704074074074104</v>
      </c>
      <c r="K34" s="22">
        <v>139.63580246913588</v>
      </c>
      <c r="L34" s="22">
        <v>9.402246913580246</v>
      </c>
      <c r="M34" s="33">
        <v>0.17182681069958844</v>
      </c>
      <c r="N34" s="22">
        <v>134.05308641975304</v>
      </c>
      <c r="O34" s="22">
        <v>9.4977407407407419</v>
      </c>
      <c r="P34" s="22">
        <v>165.45925925925926</v>
      </c>
      <c r="Q34" s="22">
        <v>9.390456790123455</v>
      </c>
      <c r="R34" s="16">
        <f>IFERROR([1]!Enthalpy("CO2","TP","SI",I34+273.15,J34),"N/A")</f>
        <v>596.76163180683716</v>
      </c>
      <c r="S34" s="16">
        <f>IFERROR([1]!Enthalpy("CO2","TP","SI",K34+273.15,L34),"N/A")</f>
        <v>562.06594198073731</v>
      </c>
      <c r="T34" s="16">
        <f t="shared" si="11"/>
        <v>5.9570761077406713</v>
      </c>
      <c r="U34" s="44">
        <f t="shared" si="12"/>
        <v>0.16816049382716436</v>
      </c>
      <c r="V34" s="16">
        <f>IFERROR([1]!Enthalpy("CO2","TP","SI",N34+273.15,O34),"N/A")</f>
        <v>554.45956323522773</v>
      </c>
      <c r="W34" s="16">
        <f>IFERROR([1]!Enthalpy("CO2","TP","SI",P34+273.15,Q34),"N/A")</f>
        <v>593.79843471915012</v>
      </c>
      <c r="X34" s="16">
        <f t="shared" si="13"/>
        <v>6.7594728236033701</v>
      </c>
      <c r="Y34" s="44">
        <f t="shared" si="14"/>
        <v>0.10728395061728691</v>
      </c>
      <c r="Z34" s="17">
        <f t="shared" si="15"/>
        <v>0.13469640161556073</v>
      </c>
      <c r="AA34" s="16">
        <f t="shared" si="16"/>
        <v>154.112962962963</v>
      </c>
      <c r="AB34" s="16">
        <f t="shared" si="17"/>
        <v>9.4863271604938291</v>
      </c>
      <c r="AC34" s="14">
        <f>IFERROR([1]!Viscosity("CO2","TP","SI",AA34+273.15,AB34)/1000000,"N/A")</f>
        <v>2.2761429713149677E-5</v>
      </c>
      <c r="AD34" s="18">
        <f>IFERROR([1]!CP("CO2","TP","SI",AA34+273.15,AB34),"N/A")</f>
        <v>1.2251517076087182</v>
      </c>
      <c r="AE34" s="19">
        <f>IFERROR([1]!ThermalConductivity("CO2","TP","SI",AA34+273.15,AB34)/1000,"N/A")</f>
        <v>3.2328565253436005E-2</v>
      </c>
      <c r="AF34" s="16">
        <f>IFERROR([1]!Density("CO2","TP","SI",AA34+273.15,AB34),"N/A")</f>
        <v>134.82822592798803</v>
      </c>
      <c r="AG34" s="16">
        <f t="shared" si="18"/>
        <v>149.75617283950615</v>
      </c>
      <c r="AH34" s="16">
        <f t="shared" si="19"/>
        <v>9.4440987654320985</v>
      </c>
      <c r="AI34" s="14">
        <f>IFERROR([1]!Viscosity("CO2","TP","SI",AG34+273.15,AH34)/1000000,"N/A")</f>
        <v>2.2607834982877635E-5</v>
      </c>
      <c r="AJ34" s="20">
        <f>IFERROR([1]!CP("CO2","TP","SI",AG34+273.15,AH34),"N/A")</f>
        <v>1.2329478564678023</v>
      </c>
      <c r="AK34" s="21">
        <f>IFERROR([1]!ThermalConductivity("CO2","TP","SI",AG34+273.15,AH34)/1000,"N/A")</f>
        <v>3.206256295761617E-2</v>
      </c>
      <c r="AL34" s="22">
        <f>IFERROR([1]!Density("CO2","TP","SI",AG34+273.15,AH34),"N/A")</f>
        <v>136.46190441952331</v>
      </c>
      <c r="AM34" s="51">
        <f t="shared" si="20"/>
        <v>32656.38075767392</v>
      </c>
      <c r="AN34" s="16">
        <f t="shared" si="21"/>
        <v>0.86258713500183215</v>
      </c>
      <c r="AO34" s="16">
        <f t="shared" si="22"/>
        <v>1329.9142079892372</v>
      </c>
      <c r="AP34" s="16">
        <f t="shared" si="23"/>
        <v>7.6546897632628834</v>
      </c>
      <c r="AQ34" s="51">
        <f t="shared" si="24"/>
        <v>32903.486704039162</v>
      </c>
      <c r="AR34" s="16">
        <f t="shared" si="25"/>
        <v>0.86937160071589015</v>
      </c>
      <c r="AS34" s="16">
        <f t="shared" si="26"/>
        <v>1521.5684662542515</v>
      </c>
      <c r="AT34" s="16">
        <f t="shared" si="27"/>
        <v>4.9351728826984731</v>
      </c>
      <c r="AU34" s="16">
        <f t="shared" si="28"/>
        <v>151.93456790123457</v>
      </c>
      <c r="AV34" s="16">
        <f t="shared" si="29"/>
        <v>16729.267803288607</v>
      </c>
      <c r="AW34" s="16">
        <f t="shared" si="30"/>
        <v>18982.639978054634</v>
      </c>
    </row>
    <row r="35" spans="3:49" ht="15.6" x14ac:dyDescent="0.25">
      <c r="C35" s="13">
        <v>31</v>
      </c>
      <c r="D35" s="14">
        <f t="shared" si="32"/>
        <v>0.182</v>
      </c>
      <c r="E35" s="14">
        <v>2.5699999999999998E-3</v>
      </c>
      <c r="F35" s="14">
        <v>5.9363999999999999E-4</v>
      </c>
      <c r="G35" s="14">
        <v>0.16346304</v>
      </c>
      <c r="H35" s="33">
        <v>4.8555176767676768E-2</v>
      </c>
      <c r="I35" s="22">
        <v>192.41969696969699</v>
      </c>
      <c r="J35" s="22">
        <v>8.5644393939393986</v>
      </c>
      <c r="K35" s="22">
        <v>136.72727272727272</v>
      </c>
      <c r="L35" s="22">
        <v>8.544787878787881</v>
      </c>
      <c r="M35" s="33">
        <v>5.0557129629629619E-2</v>
      </c>
      <c r="N35" s="22">
        <v>130.09393939393939</v>
      </c>
      <c r="O35" s="22">
        <v>9.0433181818181776</v>
      </c>
      <c r="P35" s="22">
        <v>180.01212121212126</v>
      </c>
      <c r="Q35" s="22">
        <v>9.0375303030303034</v>
      </c>
      <c r="R35" s="16">
        <f>IFERROR([1]!Enthalpy("CO2","TP","SI",I35+273.15,J35),"N/A")</f>
        <v>628.88359830561046</v>
      </c>
      <c r="S35" s="16">
        <f>IFERROR([1]!Enthalpy("CO2","TP","SI",K35+273.15,L35),"N/A")</f>
        <v>563.14326833505754</v>
      </c>
      <c r="T35" s="16">
        <f t="shared" si="11"/>
        <v>3.1920333424855958</v>
      </c>
      <c r="U35" s="44">
        <f t="shared" si="12"/>
        <v>1.9651515151517529E-2</v>
      </c>
      <c r="V35" s="16">
        <f>IFERROR([1]!Enthalpy("CO2","TP","SI",N35+273.15,O35),"N/A")</f>
        <v>552.03787763929779</v>
      </c>
      <c r="W35" s="16">
        <f>IFERROR([1]!Enthalpy("CO2","TP","SI",P35+273.15,Q35),"N/A")</f>
        <v>612.58839119447282</v>
      </c>
      <c r="X35" s="16">
        <f t="shared" si="13"/>
        <v>3.0612601629496292</v>
      </c>
      <c r="Y35" s="44">
        <f t="shared" si="14"/>
        <v>5.7878787878742344E-3</v>
      </c>
      <c r="Z35" s="17">
        <f t="shared" si="15"/>
        <v>-4.0968613264589261E-2</v>
      </c>
      <c r="AA35" s="16">
        <f t="shared" si="16"/>
        <v>164.57348484848484</v>
      </c>
      <c r="AB35" s="16">
        <f t="shared" si="17"/>
        <v>8.5546136363636407</v>
      </c>
      <c r="AC35" s="14">
        <f>IFERROR([1]!Viscosity("CO2","TP","SI",AA35+273.15,AB35)/1000000,"N/A")</f>
        <v>2.2794195363524758E-5</v>
      </c>
      <c r="AD35" s="18">
        <f>IFERROR([1]!CP("CO2","TP","SI",AA35+273.15,AB35),"N/A")</f>
        <v>1.1780678720964173</v>
      </c>
      <c r="AE35" s="19">
        <f>IFERROR([1]!ThermalConductivity("CO2","TP","SI",AA35+273.15,AB35)/1000,"N/A")</f>
        <v>3.2275910690894007E-2</v>
      </c>
      <c r="AF35" s="16">
        <f>IFERROR([1]!Density("CO2","TP","SI",AA35+273.15,AB35),"N/A")</f>
        <v>115.55644355625041</v>
      </c>
      <c r="AG35" s="16">
        <f t="shared" si="18"/>
        <v>155.05303030303031</v>
      </c>
      <c r="AH35" s="16">
        <f t="shared" si="19"/>
        <v>9.0404242424242405</v>
      </c>
      <c r="AI35" s="14">
        <f>IFERROR([1]!Viscosity("CO2","TP","SI",AG35+273.15,AH35)/1000000,"N/A")</f>
        <v>2.2628334945900176E-5</v>
      </c>
      <c r="AJ35" s="20">
        <f>IFERROR([1]!CP("CO2","TP","SI",AG35+273.15,AH35),"N/A")</f>
        <v>1.207879014343838</v>
      </c>
      <c r="AK35" s="21">
        <f>IFERROR([1]!ThermalConductivity("CO2","TP","SI",AG35+273.15,AH35)/1000,"N/A")</f>
        <v>3.2043968839811685E-2</v>
      </c>
      <c r="AL35" s="22">
        <f>IFERROR([1]!Density("CO2","TP","SI",AG35+273.15,AH35),"N/A")</f>
        <v>127.22118575403383</v>
      </c>
      <c r="AM35" s="51">
        <f t="shared" si="20"/>
        <v>9221.9176613234795</v>
      </c>
      <c r="AN35" s="16">
        <f t="shared" si="21"/>
        <v>0.83198610521727867</v>
      </c>
      <c r="AO35" s="16">
        <f t="shared" si="22"/>
        <v>326.64406959502287</v>
      </c>
      <c r="AP35" s="16">
        <f t="shared" si="23"/>
        <v>9.5864358967950221</v>
      </c>
      <c r="AQ35" s="51">
        <f t="shared" si="24"/>
        <v>9672.5231393847716</v>
      </c>
      <c r="AR35" s="16">
        <f t="shared" si="25"/>
        <v>0.85296209865047268</v>
      </c>
      <c r="AS35" s="16">
        <f t="shared" si="26"/>
        <v>315.52937911639958</v>
      </c>
      <c r="AT35" s="16">
        <f t="shared" si="27"/>
        <v>2.8671610769614504</v>
      </c>
      <c r="AU35" s="16">
        <f t="shared" si="28"/>
        <v>159.81325757575758</v>
      </c>
      <c r="AV35" s="16">
        <f t="shared" si="29"/>
        <v>4102.231446676702</v>
      </c>
      <c r="AW35" s="16">
        <f t="shared" si="30"/>
        <v>3934.1687130159676</v>
      </c>
    </row>
    <row r="36" spans="3:49" ht="15.6" x14ac:dyDescent="0.25">
      <c r="C36" s="13">
        <v>32</v>
      </c>
      <c r="D36" s="14">
        <f t="shared" si="32"/>
        <v>0.182</v>
      </c>
      <c r="E36" s="14">
        <v>2.5699999999999998E-3</v>
      </c>
      <c r="F36" s="14">
        <v>5.9363999999999999E-4</v>
      </c>
      <c r="G36" s="14">
        <v>0.16346304</v>
      </c>
      <c r="H36" s="33">
        <v>7.4561086956521735E-2</v>
      </c>
      <c r="I36" s="22">
        <v>200.89999999999998</v>
      </c>
      <c r="J36" s="22">
        <v>9.074565217391303</v>
      </c>
      <c r="K36" s="22">
        <v>141.90144927536232</v>
      </c>
      <c r="L36" s="22">
        <v>9.0373043478260886</v>
      </c>
      <c r="M36" s="33">
        <v>7.5538099838969405E-2</v>
      </c>
      <c r="N36" s="22">
        <v>130.83768115942027</v>
      </c>
      <c r="O36" s="22">
        <v>9.5655797101449256</v>
      </c>
      <c r="P36" s="22">
        <v>187.89565217391299</v>
      </c>
      <c r="Q36" s="22">
        <v>9.547826086956519</v>
      </c>
      <c r="R36" s="16">
        <f>IFERROR([1]!Enthalpy("CO2","TP","SI",I36+273.15,J36),"N/A")</f>
        <v>636.79362276311372</v>
      </c>
      <c r="S36" s="16">
        <f>IFERROR([1]!Enthalpy("CO2","TP","SI",K36+273.15,L36),"N/A")</f>
        <v>566.8499463794285</v>
      </c>
      <c r="T36" s="16">
        <f t="shared" si="11"/>
        <v>5.2150765369027692</v>
      </c>
      <c r="U36" s="44">
        <f t="shared" si="12"/>
        <v>3.726086956521435E-2</v>
      </c>
      <c r="V36" s="16">
        <f>IFERROR([1]!Enthalpy("CO2","TP","SI",N36+273.15,O36),"N/A")</f>
        <v>549.93395412043458</v>
      </c>
      <c r="W36" s="16">
        <f>IFERROR([1]!Enthalpy("CO2","TP","SI",P36+273.15,Q36),"N/A")</f>
        <v>619.82489396708684</v>
      </c>
      <c r="X36" s="16">
        <f t="shared" si="13"/>
        <v>5.2794287919758238</v>
      </c>
      <c r="Y36" s="44">
        <f t="shared" si="14"/>
        <v>1.7753623188406564E-2</v>
      </c>
      <c r="Z36" s="17">
        <f t="shared" si="15"/>
        <v>1.2339656880908101E-2</v>
      </c>
      <c r="AA36" s="16">
        <f t="shared" si="16"/>
        <v>171.40072463768115</v>
      </c>
      <c r="AB36" s="16">
        <f t="shared" si="17"/>
        <v>9.0559347826086949</v>
      </c>
      <c r="AC36" s="14">
        <f>IFERROR([1]!Viscosity("CO2","TP","SI",AA36+273.15,AB36)/1000000,"N/A")</f>
        <v>2.3189243578566921E-5</v>
      </c>
      <c r="AD36" s="18">
        <f>IFERROR([1]!CP("CO2","TP","SI",AA36+273.15,AB36),"N/A")</f>
        <v>1.184042729454768</v>
      </c>
      <c r="AE36" s="19">
        <f>IFERROR([1]!ThermalConductivity("CO2","TP","SI",AA36+273.15,AB36)/1000,"N/A")</f>
        <v>3.3020756788961866E-2</v>
      </c>
      <c r="AF36" s="16">
        <f>IFERROR([1]!Density("CO2","TP","SI",AA36+273.15,AB36),"N/A")</f>
        <v>120.20701680490909</v>
      </c>
      <c r="AG36" s="16">
        <f t="shared" si="18"/>
        <v>159.36666666666662</v>
      </c>
      <c r="AH36" s="16">
        <f t="shared" si="19"/>
        <v>9.5567028985507214</v>
      </c>
      <c r="AI36" s="14">
        <f>IFERROR([1]!Viscosity("CO2","TP","SI",AG36+273.15,AH36)/1000000,"N/A")</f>
        <v>2.295561261012386E-5</v>
      </c>
      <c r="AJ36" s="20">
        <f>IFERROR([1]!CP("CO2","TP","SI",AG36+273.15,AH36),"N/A")</f>
        <v>1.217370826083898</v>
      </c>
      <c r="AK36" s="21">
        <f>IFERROR([1]!ThermalConductivity("CO2","TP","SI",AG36+273.15,AH36)/1000,"N/A")</f>
        <v>3.2669480007525842E-2</v>
      </c>
      <c r="AL36" s="22">
        <f>IFERROR([1]!Density("CO2","TP","SI",AG36+273.15,AH36),"N/A")</f>
        <v>133.26122940332243</v>
      </c>
      <c r="AM36" s="51">
        <f t="shared" si="20"/>
        <v>13919.883966179834</v>
      </c>
      <c r="AN36" s="16">
        <f t="shared" si="21"/>
        <v>0.83150896377808436</v>
      </c>
      <c r="AO36" s="16">
        <f t="shared" si="22"/>
        <v>412.67210415082809</v>
      </c>
      <c r="AP36" s="16">
        <f t="shared" si="23"/>
        <v>8.0185600871921103</v>
      </c>
      <c r="AQ36" s="51">
        <f t="shared" si="24"/>
        <v>14245.809605221157</v>
      </c>
      <c r="AR36" s="16">
        <f t="shared" si="25"/>
        <v>0.85540060876422952</v>
      </c>
      <c r="AS36" s="16">
        <f t="shared" si="26"/>
        <v>422.25632429898559</v>
      </c>
      <c r="AT36" s="16">
        <f t="shared" si="27"/>
        <v>4.1266415384361688</v>
      </c>
      <c r="AU36" s="16">
        <f t="shared" si="28"/>
        <v>165.38369565217388</v>
      </c>
      <c r="AV36" s="16">
        <f t="shared" si="29"/>
        <v>5302.235480448885</v>
      </c>
      <c r="AW36" s="16">
        <f t="shared" si="30"/>
        <v>5367.6632469794004</v>
      </c>
    </row>
    <row r="37" spans="3:49" ht="15.6" x14ac:dyDescent="0.25">
      <c r="C37" s="13">
        <v>33</v>
      </c>
      <c r="D37" s="14">
        <f t="shared" si="32"/>
        <v>0.182</v>
      </c>
      <c r="E37" s="14">
        <v>2.5699999999999998E-3</v>
      </c>
      <c r="F37" s="14">
        <v>5.9363999999999999E-4</v>
      </c>
      <c r="G37" s="14">
        <v>0.16346304</v>
      </c>
      <c r="H37" s="33">
        <v>9.9603588280060842E-2</v>
      </c>
      <c r="I37" s="22">
        <v>209.41232876712328</v>
      </c>
      <c r="J37" s="22">
        <v>9.6771232876712361</v>
      </c>
      <c r="K37" s="22">
        <v>145.8534246575343</v>
      </c>
      <c r="L37" s="22">
        <v>9.6143972602739698</v>
      </c>
      <c r="M37" s="33">
        <v>0.10180482496194826</v>
      </c>
      <c r="N37" s="22">
        <v>130.16301369863015</v>
      </c>
      <c r="O37" s="22">
        <v>9.8816712328767142</v>
      </c>
      <c r="P37" s="22">
        <v>193.97945205479448</v>
      </c>
      <c r="Q37" s="22">
        <v>9.8511643835616436</v>
      </c>
      <c r="R37" s="16">
        <f>IFERROR([1]!Enthalpy("CO2","TP","SI",I37+273.15,J37),"N/A")</f>
        <v>644.55762457527237</v>
      </c>
      <c r="S37" s="16">
        <f>IFERROR([1]!Enthalpy("CO2","TP","SI",K37+273.15,L37),"N/A")</f>
        <v>568.73000668174791</v>
      </c>
      <c r="T37" s="16">
        <f t="shared" si="11"/>
        <v>7.5527028329243846</v>
      </c>
      <c r="U37" s="44">
        <f t="shared" si="12"/>
        <v>6.2726027397266293E-2</v>
      </c>
      <c r="V37" s="16">
        <f>IFERROR([1]!Enthalpy("CO2","TP","SI",N37+273.15,O37),"N/A")</f>
        <v>547.19590951286273</v>
      </c>
      <c r="W37" s="16">
        <f>IFERROR([1]!Enthalpy("CO2","TP","SI",P37+273.15,Q37),"N/A")</f>
        <v>625.83948709444996</v>
      </c>
      <c r="X37" s="16">
        <f t="shared" si="13"/>
        <v>8.0062956500748861</v>
      </c>
      <c r="Y37" s="44">
        <f t="shared" si="14"/>
        <v>3.0506849315070639E-2</v>
      </c>
      <c r="Z37" s="17">
        <f t="shared" si="15"/>
        <v>6.0057018948655186E-2</v>
      </c>
      <c r="AA37" s="16">
        <f t="shared" si="16"/>
        <v>177.63287671232879</v>
      </c>
      <c r="AB37" s="16">
        <f t="shared" si="17"/>
        <v>9.6457602739726021</v>
      </c>
      <c r="AC37" s="14">
        <f>IFERROR([1]!Viscosity("CO2","TP","SI",AA37+273.15,AB37)/1000000,"N/A")</f>
        <v>2.3588996551482426E-5</v>
      </c>
      <c r="AD37" s="18">
        <f>IFERROR([1]!CP("CO2","TP","SI",AA37+273.15,AB37),"N/A")</f>
        <v>1.1923720936721649</v>
      </c>
      <c r="AE37" s="19">
        <f>IFERROR([1]!ThermalConductivity("CO2","TP","SI",AA37+273.15,AB37)/1000,"N/A")</f>
        <v>3.3740497433837807E-2</v>
      </c>
      <c r="AF37" s="16">
        <f>IFERROR([1]!Density("CO2","TP","SI",AA37+273.15,AB37),"N/A")</f>
        <v>126.16478377483931</v>
      </c>
      <c r="AG37" s="16">
        <f t="shared" si="18"/>
        <v>162.07123287671232</v>
      </c>
      <c r="AH37" s="16">
        <f t="shared" si="19"/>
        <v>9.8664178082191789</v>
      </c>
      <c r="AI37" s="14">
        <f>IFERROR([1]!Viscosity("CO2","TP","SI",AG37+273.15,AH37)/1000000,"N/A")</f>
        <v>2.3155825322921487E-5</v>
      </c>
      <c r="AJ37" s="20">
        <f>IFERROR([1]!CP("CO2","TP","SI",AG37+273.15,AH37),"N/A")</f>
        <v>1.2224457094207477</v>
      </c>
      <c r="AK37" s="21">
        <f>IFERROR([1]!ThermalConductivity("CO2","TP","SI",AG37+273.15,AH37)/1000,"N/A")</f>
        <v>3.3047062954043194E-2</v>
      </c>
      <c r="AL37" s="22">
        <f>IFERROR([1]!Density("CO2","TP","SI",AG37+273.15,AH37),"N/A")</f>
        <v>136.74022227291147</v>
      </c>
      <c r="AM37" s="51">
        <f t="shared" si="20"/>
        <v>18279.970243836062</v>
      </c>
      <c r="AN37" s="16">
        <f t="shared" si="21"/>
        <v>0.83362319304482446</v>
      </c>
      <c r="AO37" s="16">
        <f t="shared" si="22"/>
        <v>452.31291933481629</v>
      </c>
      <c r="AP37" s="16">
        <f t="shared" si="23"/>
        <v>7.9391499753361083</v>
      </c>
      <c r="AQ37" s="51">
        <f t="shared" si="24"/>
        <v>19033.474021526221</v>
      </c>
      <c r="AR37" s="16">
        <f t="shared" si="25"/>
        <v>0.85655839835044834</v>
      </c>
      <c r="AS37" s="16">
        <f t="shared" si="26"/>
        <v>489.53847642731807</v>
      </c>
      <c r="AT37" s="16">
        <f t="shared" si="27"/>
        <v>4.0058525473659534</v>
      </c>
      <c r="AU37" s="16">
        <f t="shared" si="28"/>
        <v>169.85205479452054</v>
      </c>
      <c r="AV37" s="16">
        <f t="shared" si="29"/>
        <v>5938.2345891471041</v>
      </c>
      <c r="AW37" s="16">
        <f t="shared" si="30"/>
        <v>6294.8672563890941</v>
      </c>
    </row>
    <row r="38" spans="3:49" ht="15.6" x14ac:dyDescent="0.25">
      <c r="C38" s="13">
        <v>34</v>
      </c>
      <c r="D38" s="14">
        <f t="shared" si="32"/>
        <v>0.182</v>
      </c>
      <c r="E38" s="14">
        <v>2.5699999999999998E-3</v>
      </c>
      <c r="F38" s="14">
        <v>5.9363999999999999E-4</v>
      </c>
      <c r="G38" s="14">
        <v>0.16346304</v>
      </c>
      <c r="H38" s="33">
        <v>0.12939849826388891</v>
      </c>
      <c r="I38" s="22">
        <v>221.13750000000005</v>
      </c>
      <c r="J38" s="22">
        <v>9.2749999999999968</v>
      </c>
      <c r="K38" s="22">
        <v>147.37656249999995</v>
      </c>
      <c r="L38" s="22">
        <v>9.162593750000001</v>
      </c>
      <c r="M38" s="33">
        <v>0.13150782552083337</v>
      </c>
      <c r="N38" s="22">
        <v>124.41406249999996</v>
      </c>
      <c r="O38" s="22">
        <v>9.8859687500000017</v>
      </c>
      <c r="P38" s="22">
        <v>200.64687499999997</v>
      </c>
      <c r="Q38" s="22">
        <v>9.827031250000001</v>
      </c>
      <c r="R38" s="16">
        <f>IFERROR([1]!Enthalpy("CO2","TP","SI",I38+273.15,J38),"N/A")</f>
        <v>659.48666130297875</v>
      </c>
      <c r="S38" s="16">
        <f>IFERROR([1]!Enthalpy("CO2","TP","SI",K38+273.15,L38),"N/A")</f>
        <v>572.93953290859861</v>
      </c>
      <c r="T38" s="16">
        <f t="shared" si="11"/>
        <v>11.199068443284769</v>
      </c>
      <c r="U38" s="44">
        <f t="shared" si="12"/>
        <v>0.11240624999999582</v>
      </c>
      <c r="V38" s="16">
        <f>IFERROR([1]!Enthalpy("CO2","TP","SI",N38+273.15,O38),"N/A")</f>
        <v>539.5553896371058</v>
      </c>
      <c r="W38" s="16">
        <f>IFERROR([1]!Enthalpy("CO2","TP","SI",P38+273.15,Q38),"N/A")</f>
        <v>633.77652123583869</v>
      </c>
      <c r="X38" s="16">
        <f t="shared" si="13"/>
        <v>12.390816134661643</v>
      </c>
      <c r="Y38" s="44">
        <f t="shared" si="14"/>
        <v>5.8937500000000753E-2</v>
      </c>
      <c r="Z38" s="17">
        <f t="shared" si="15"/>
        <v>0.10641489490060881</v>
      </c>
      <c r="AA38" s="16">
        <f t="shared" si="16"/>
        <v>184.25703125000001</v>
      </c>
      <c r="AB38" s="16">
        <f t="shared" si="17"/>
        <v>9.2187968749999989</v>
      </c>
      <c r="AC38" s="14">
        <f>IFERROR([1]!Viscosity("CO2","TP","SI",AA38+273.15,AB38)/1000000,"N/A")</f>
        <v>2.3686434914283657E-5</v>
      </c>
      <c r="AD38" s="18">
        <f>IFERROR([1]!CP("CO2","TP","SI",AA38+273.15,AB38),"N/A")</f>
        <v>1.1744238155234992</v>
      </c>
      <c r="AE38" s="19">
        <f>IFERROR([1]!ThermalConductivity("CO2","TP","SI",AA38+273.15,AB38)/1000,"N/A")</f>
        <v>3.3917838394601295E-2</v>
      </c>
      <c r="AF38" s="16">
        <f>IFERROR([1]!Density("CO2","TP","SI",AA38+273.15,AB38),"N/A")</f>
        <v>117.47093266503731</v>
      </c>
      <c r="AG38" s="16">
        <f t="shared" si="18"/>
        <v>162.53046874999995</v>
      </c>
      <c r="AH38" s="16">
        <f t="shared" si="19"/>
        <v>9.8565000000000005</v>
      </c>
      <c r="AI38" s="14">
        <f>IFERROR([1]!Viscosity("CO2","TP","SI",AG38+273.15,AH38)/1000000,"N/A")</f>
        <v>2.3166679351215922E-5</v>
      </c>
      <c r="AJ38" s="20">
        <f>IFERROR([1]!CP("CO2","TP","SI",AG38+273.15,AH38),"N/A")</f>
        <v>1.2212833136051813</v>
      </c>
      <c r="AK38" s="21">
        <f>IFERROR([1]!ThermalConductivity("CO2","TP","SI",AG38+273.15,AH38)/1000,"N/A")</f>
        <v>3.3064621588352203E-2</v>
      </c>
      <c r="AL38" s="22">
        <f>IFERROR([1]!Density("CO2","TP","SI",AG38+273.15,AH38),"N/A")</f>
        <v>136.35127729492993</v>
      </c>
      <c r="AM38" s="51">
        <f t="shared" si="20"/>
        <v>23650.455190081735</v>
      </c>
      <c r="AN38" s="16">
        <f t="shared" si="21"/>
        <v>0.82015584084538296</v>
      </c>
      <c r="AO38" s="16">
        <f t="shared" si="22"/>
        <v>477.8661417990424</v>
      </c>
      <c r="AP38" s="16">
        <f t="shared" si="23"/>
        <v>7.8487491294119316</v>
      </c>
      <c r="AQ38" s="51">
        <f t="shared" si="24"/>
        <v>24575.240465161594</v>
      </c>
      <c r="AR38" s="16">
        <f t="shared" si="25"/>
        <v>0.85569038942966835</v>
      </c>
      <c r="AS38" s="16">
        <f t="shared" si="26"/>
        <v>542.36153873527223</v>
      </c>
      <c r="AT38" s="16">
        <f t="shared" si="27"/>
        <v>4.6247234836049964</v>
      </c>
      <c r="AU38" s="16">
        <f t="shared" si="28"/>
        <v>173.39374999999998</v>
      </c>
      <c r="AV38" s="16">
        <f t="shared" si="29"/>
        <v>6306.6873820200572</v>
      </c>
      <c r="AW38" s="16">
        <f t="shared" si="30"/>
        <v>6977.8128569487171</v>
      </c>
    </row>
    <row r="39" spans="3:49" ht="15.6" x14ac:dyDescent="0.25">
      <c r="C39" s="13">
        <v>35</v>
      </c>
      <c r="D39" s="14">
        <f t="shared" si="32"/>
        <v>0.182</v>
      </c>
      <c r="E39" s="14">
        <v>2.5699999999999998E-3</v>
      </c>
      <c r="F39" s="14">
        <v>5.9363999999999999E-4</v>
      </c>
      <c r="G39" s="14">
        <v>0.16346304</v>
      </c>
      <c r="H39" s="33">
        <v>0.14937667257683215</v>
      </c>
      <c r="I39" s="22">
        <v>214.89361702127664</v>
      </c>
      <c r="J39" s="22">
        <v>9.6807659574468072</v>
      </c>
      <c r="K39" s="22">
        <v>145.24468085106386</v>
      </c>
      <c r="L39" s="22">
        <v>9.5397446808510686</v>
      </c>
      <c r="M39" s="33">
        <v>0.15152653664302607</v>
      </c>
      <c r="N39" s="22">
        <v>122.25106382978724</v>
      </c>
      <c r="O39" s="22">
        <v>9.8690212765957455</v>
      </c>
      <c r="P39" s="22">
        <v>194.84680851063828</v>
      </c>
      <c r="Q39" s="22">
        <v>9.794893617021275</v>
      </c>
      <c r="R39" s="16">
        <f>IFERROR([1]!Enthalpy("CO2","TP","SI",I39+273.15,J39),"N/A")</f>
        <v>650.92464740776632</v>
      </c>
      <c r="S39" s="16">
        <f>IFERROR([1]!Enthalpy("CO2","TP","SI",K39+273.15,L39),"N/A")</f>
        <v>568.35778897532066</v>
      </c>
      <c r="T39" s="16">
        <f t="shared" si="11"/>
        <v>12.333562577761088</v>
      </c>
      <c r="U39" s="44">
        <f t="shared" si="12"/>
        <v>0.1410212765957386</v>
      </c>
      <c r="V39" s="16">
        <f>IFERROR([1]!Enthalpy("CO2","TP","SI",N39+273.15,O39),"N/A")</f>
        <v>536.75850509627116</v>
      </c>
      <c r="W39" s="16">
        <f>IFERROR([1]!Enthalpy("CO2","TP","SI",P39+273.15,Q39),"N/A")</f>
        <v>627.07317955898748</v>
      </c>
      <c r="X39" s="16">
        <f t="shared" si="13"/>
        <v>13.685069829377754</v>
      </c>
      <c r="Y39" s="44">
        <f t="shared" si="14"/>
        <v>7.4127659574470428E-2</v>
      </c>
      <c r="Z39" s="17">
        <f t="shared" si="15"/>
        <v>0.10957963225107388</v>
      </c>
      <c r="AA39" s="16">
        <f t="shared" si="16"/>
        <v>180.06914893617025</v>
      </c>
      <c r="AB39" s="16">
        <f t="shared" si="17"/>
        <v>9.610255319148937</v>
      </c>
      <c r="AC39" s="14">
        <f>IFERROR([1]!Viscosity("CO2","TP","SI",AA39+273.15,AB39)/1000000,"N/A")</f>
        <v>2.3660179396347435E-5</v>
      </c>
      <c r="AD39" s="18">
        <f>IFERROR([1]!CP("CO2","TP","SI",AA39+273.15,AB39),"N/A")</f>
        <v>1.1885469817969549</v>
      </c>
      <c r="AE39" s="19">
        <f>IFERROR([1]!ThermalConductivity("CO2","TP","SI",AA39+273.15,AB39)/1000,"N/A")</f>
        <v>3.3877046013245399E-2</v>
      </c>
      <c r="AF39" s="16">
        <f>IFERROR([1]!Density("CO2","TP","SI",AA39+273.15,AB39),"N/A")</f>
        <v>124.63127533998504</v>
      </c>
      <c r="AG39" s="16">
        <f t="shared" si="18"/>
        <v>158.54893617021276</v>
      </c>
      <c r="AH39" s="16">
        <f t="shared" si="19"/>
        <v>9.8319574468085094</v>
      </c>
      <c r="AI39" s="14">
        <f>IFERROR([1]!Viscosity("CO2","TP","SI",AG39+273.15,AH39)/1000000,"N/A")</f>
        <v>2.3032289297305705E-5</v>
      </c>
      <c r="AJ39" s="20">
        <f>IFERROR([1]!CP("CO2","TP","SI",AG39+273.15,AH39),"N/A")</f>
        <v>1.2280859881468791</v>
      </c>
      <c r="AK39" s="21">
        <f>IFERROR([1]!ThermalConductivity("CO2","TP","SI",AG39+273.15,AH39)/1000,"N/A")</f>
        <v>3.283199698938305E-2</v>
      </c>
      <c r="AL39" s="22">
        <f>IFERROR([1]!Density("CO2","TP","SI",AG39+273.15,AH39),"N/A")</f>
        <v>138.02965980254496</v>
      </c>
      <c r="AM39" s="51">
        <f t="shared" si="20"/>
        <v>27332.207859244962</v>
      </c>
      <c r="AN39" s="16">
        <f t="shared" si="21"/>
        <v>0.83009701611256992</v>
      </c>
      <c r="AO39" s="16">
        <f t="shared" si="22"/>
        <v>531.96124580341541</v>
      </c>
      <c r="AP39" s="16">
        <f t="shared" si="23"/>
        <v>7.8394241508255229</v>
      </c>
      <c r="AQ39" s="51">
        <f t="shared" si="24"/>
        <v>28481.41467630972</v>
      </c>
      <c r="AR39" s="16">
        <f t="shared" si="25"/>
        <v>0.8615263875089062</v>
      </c>
      <c r="AS39" s="16">
        <f t="shared" si="26"/>
        <v>609.04124598033331</v>
      </c>
      <c r="AT39" s="16">
        <f t="shared" si="27"/>
        <v>4.4352015052193279</v>
      </c>
      <c r="AU39" s="16">
        <f t="shared" si="28"/>
        <v>169.30904255319149</v>
      </c>
      <c r="AV39" s="16">
        <f t="shared" si="29"/>
        <v>7012.1694946870239</v>
      </c>
      <c r="AW39" s="16">
        <f t="shared" si="30"/>
        <v>7780.5604491970462</v>
      </c>
    </row>
    <row r="40" spans="3:49" ht="15.6" x14ac:dyDescent="0.25">
      <c r="C40" s="13">
        <v>36</v>
      </c>
      <c r="D40" s="14">
        <f t="shared" si="32"/>
        <v>0.182</v>
      </c>
      <c r="E40" s="14">
        <v>2.5699999999999998E-3</v>
      </c>
      <c r="F40" s="14">
        <v>5.9363999999999999E-4</v>
      </c>
      <c r="G40" s="14">
        <v>0.16346304</v>
      </c>
      <c r="H40" s="33">
        <v>0.17663495478036181</v>
      </c>
      <c r="I40" s="22">
        <v>165.81511627906974</v>
      </c>
      <c r="J40" s="22">
        <v>9.4425232558139545</v>
      </c>
      <c r="K40" s="22">
        <v>134.23139534883722</v>
      </c>
      <c r="L40" s="22">
        <v>9.2650348837209311</v>
      </c>
      <c r="M40" s="33">
        <v>0.17805390503875979</v>
      </c>
      <c r="N40" s="22">
        <v>126.08255813953488</v>
      </c>
      <c r="O40" s="22">
        <v>10.074593023255817</v>
      </c>
      <c r="P40" s="22">
        <v>159.95348837209301</v>
      </c>
      <c r="Q40" s="22">
        <v>9.9803953488372112</v>
      </c>
      <c r="R40" s="16">
        <f>IFERROR([1]!Enthalpy("CO2","TP","SI",I40+273.15,J40),"N/A")</f>
        <v>593.99249982596075</v>
      </c>
      <c r="S40" s="16">
        <f>IFERROR([1]!Enthalpy("CO2","TP","SI",K40+273.15,L40),"N/A")</f>
        <v>556.00807612055678</v>
      </c>
      <c r="T40" s="16">
        <f t="shared" si="11"/>
        <v>6.7093769635621339</v>
      </c>
      <c r="U40" s="44">
        <f t="shared" si="12"/>
        <v>0.17748837209302337</v>
      </c>
      <c r="V40" s="16">
        <f>IFERROR([1]!Enthalpy("CO2","TP","SI",N40+273.15,O40),"N/A")</f>
        <v>540.62259747965186</v>
      </c>
      <c r="W40" s="16">
        <f>IFERROR([1]!Enthalpy("CO2","TP","SI",P40+273.15,Q40),"N/A")</f>
        <v>584.39990615936915</v>
      </c>
      <c r="X40" s="16">
        <f t="shared" si="13"/>
        <v>7.7947207625108579</v>
      </c>
      <c r="Y40" s="44">
        <f t="shared" si="14"/>
        <v>9.4197674418605715E-2</v>
      </c>
      <c r="Z40" s="17">
        <f t="shared" si="15"/>
        <v>0.16176521379602057</v>
      </c>
      <c r="AA40" s="16">
        <f t="shared" si="16"/>
        <v>150.02325581395348</v>
      </c>
      <c r="AB40" s="16">
        <f t="shared" si="17"/>
        <v>9.3537790697674428</v>
      </c>
      <c r="AC40" s="14">
        <f>IFERROR([1]!Viscosity("CO2","TP","SI",AA40+273.15,AB40)/1000000,"N/A")</f>
        <v>2.2581106500844235E-5</v>
      </c>
      <c r="AD40" s="18">
        <f>IFERROR([1]!CP("CO2","TP","SI",AA40+273.15,AB40),"N/A")</f>
        <v>1.2289925353254314</v>
      </c>
      <c r="AE40" s="19">
        <f>IFERROR([1]!ThermalConductivity("CO2","TP","SI",AA40+273.15,AB40)/1000,"N/A")</f>
        <v>3.2004770377226342E-2</v>
      </c>
      <c r="AF40" s="16">
        <f>IFERROR([1]!Density("CO2","TP","SI",AA40+273.15,AB40),"N/A")</f>
        <v>134.82941110781726</v>
      </c>
      <c r="AG40" s="16">
        <f t="shared" si="18"/>
        <v>143.01802325581394</v>
      </c>
      <c r="AH40" s="16">
        <f t="shared" si="19"/>
        <v>10.027494186046514</v>
      </c>
      <c r="AI40" s="14">
        <f>IFERROR([1]!Viscosity("CO2","TP","SI",AG40+273.15,AH40)/1000000,"N/A")</f>
        <v>2.2653332981821246E-5</v>
      </c>
      <c r="AJ40" s="20">
        <f>IFERROR([1]!CP("CO2","TP","SI",AG40+273.15,AH40),"N/A")</f>
        <v>1.2737903610396852</v>
      </c>
      <c r="AK40" s="21">
        <f>IFERROR([1]!ThermalConductivity("CO2","TP","SI",AG40+273.15,AH40)/1000,"N/A")</f>
        <v>3.2228415492737951E-2</v>
      </c>
      <c r="AL40" s="22">
        <f>IFERROR([1]!Density("CO2","TP","SI",AG40+273.15,AH40),"N/A")</f>
        <v>150.37826737611616</v>
      </c>
      <c r="AM40" s="51">
        <f t="shared" si="20"/>
        <v>33864.245144562294</v>
      </c>
      <c r="AN40" s="16">
        <f t="shared" si="21"/>
        <v>0.86712108856977321</v>
      </c>
      <c r="AO40" s="16">
        <f t="shared" si="22"/>
        <v>940.99749577639852</v>
      </c>
      <c r="AP40" s="16">
        <f t="shared" si="23"/>
        <v>7.6337737583261251</v>
      </c>
      <c r="AQ40" s="51">
        <f t="shared" si="24"/>
        <v>34027.446602778116</v>
      </c>
      <c r="AR40" s="16">
        <f t="shared" si="25"/>
        <v>0.89534644370488348</v>
      </c>
      <c r="AS40" s="16">
        <f t="shared" si="26"/>
        <v>1085.6319042576831</v>
      </c>
      <c r="AT40" s="16">
        <f t="shared" si="27"/>
        <v>4.4469300237704381</v>
      </c>
      <c r="AU40" s="16">
        <f t="shared" si="28"/>
        <v>146.52063953488371</v>
      </c>
      <c r="AV40" s="16">
        <f t="shared" si="29"/>
        <v>11718.446995279632</v>
      </c>
      <c r="AW40" s="16">
        <f t="shared" si="30"/>
        <v>13614.084078828375</v>
      </c>
    </row>
    <row r="41" spans="3:49" ht="15.6" x14ac:dyDescent="0.25">
      <c r="C41" s="13">
        <v>37</v>
      </c>
      <c r="D41" s="14">
        <f t="shared" si="32"/>
        <v>0.182</v>
      </c>
      <c r="E41" s="14">
        <v>2.5699999999999998E-3</v>
      </c>
      <c r="F41" s="14">
        <v>5.9363999999999999E-4</v>
      </c>
      <c r="G41" s="14">
        <v>0.16346304</v>
      </c>
      <c r="H41" s="33">
        <v>4.859173611111111E-2</v>
      </c>
      <c r="I41" s="22">
        <v>220.73749999999998</v>
      </c>
      <c r="J41" s="22">
        <v>8.4251041666666691</v>
      </c>
      <c r="K41" s="22">
        <v>145.62916666666666</v>
      </c>
      <c r="L41" s="22">
        <v>8.4054791666666677</v>
      </c>
      <c r="M41" s="33">
        <v>5.0912569444444424E-2</v>
      </c>
      <c r="N41" s="22">
        <v>134.82916666666662</v>
      </c>
      <c r="O41" s="22">
        <v>9.185770833333331</v>
      </c>
      <c r="P41" s="22">
        <v>203.96875</v>
      </c>
      <c r="Q41" s="22">
        <v>9.1752708333333324</v>
      </c>
      <c r="R41" s="16">
        <f>IFERROR([1]!Enthalpy("CO2","TP","SI",I41+273.15,J41),"N/A")</f>
        <v>661.79021483455642</v>
      </c>
      <c r="S41" s="16">
        <f>IFERROR([1]!Enthalpy("CO2","TP","SI",K41+273.15,L41),"N/A")</f>
        <v>574.69450208588114</v>
      </c>
      <c r="T41" s="16">
        <f t="shared" si="11"/>
        <v>4.2321318902927647</v>
      </c>
      <c r="U41" s="44">
        <f t="shared" si="12"/>
        <v>1.9625000000001336E-2</v>
      </c>
      <c r="V41" s="16">
        <f>IFERROR([1]!Enthalpy("CO2","TP","SI",N41+273.15,O41),"N/A")</f>
        <v>557.21161183737433</v>
      </c>
      <c r="W41" s="16">
        <f>IFERROR([1]!Enthalpy("CO2","TP","SI",P41+273.15,Q41),"N/A")</f>
        <v>639.988037437196</v>
      </c>
      <c r="X41" s="16">
        <f t="shared" si="13"/>
        <v>4.2143605167138078</v>
      </c>
      <c r="Y41" s="44">
        <f t="shared" si="14"/>
        <v>1.0499999999998622E-2</v>
      </c>
      <c r="Z41" s="17">
        <f t="shared" si="15"/>
        <v>-4.1991540055070203E-3</v>
      </c>
      <c r="AA41" s="16">
        <f t="shared" si="16"/>
        <v>183.18333333333334</v>
      </c>
      <c r="AB41" s="16">
        <f t="shared" si="17"/>
        <v>8.4152916666666684</v>
      </c>
      <c r="AC41" s="14">
        <f>IFERROR([1]!Viscosity("CO2","TP","SI",AA41+273.15,AB41)/1000000,"N/A")</f>
        <v>2.3423533530904782E-5</v>
      </c>
      <c r="AD41" s="18">
        <f>IFERROR([1]!CP("CO2","TP","SI",AA41+273.15,AB41),"N/A")</f>
        <v>1.1559861200955561</v>
      </c>
      <c r="AE41" s="19">
        <f>IFERROR([1]!ThermalConductivity("CO2","TP","SI",AA41+273.15,AB41)/1000,"N/A")</f>
        <v>3.3378927817709625E-2</v>
      </c>
      <c r="AF41" s="16">
        <f>IFERROR([1]!Density("CO2","TP","SI",AA41+273.15,AB41),"N/A")</f>
        <v>106.74585598999035</v>
      </c>
      <c r="AG41" s="16">
        <f t="shared" si="18"/>
        <v>169.39895833333333</v>
      </c>
      <c r="AH41" s="16">
        <f t="shared" si="19"/>
        <v>9.1805208333333326</v>
      </c>
      <c r="AI41" s="14">
        <f>IFERROR([1]!Viscosity("CO2","TP","SI",AG41+273.15,AH41)/1000000,"N/A")</f>
        <v>2.3159972453366286E-5</v>
      </c>
      <c r="AJ41" s="20">
        <f>IFERROR([1]!CP("CO2","TP","SI",AG41+273.15,AH41),"N/A")</f>
        <v>1.1901080120804526</v>
      </c>
      <c r="AK41" s="21">
        <f>IFERROR([1]!ThermalConductivity("CO2","TP","SI",AG41+273.15,AH41)/1000,"N/A")</f>
        <v>3.298317888436416E-2</v>
      </c>
      <c r="AL41" s="22">
        <f>IFERROR([1]!Density("CO2","TP","SI",AG41+273.15,AH41),"N/A")</f>
        <v>122.88180341170747</v>
      </c>
      <c r="AM41" s="51">
        <f t="shared" si="20"/>
        <v>8980.902308144241</v>
      </c>
      <c r="AN41" s="16">
        <f t="shared" si="21"/>
        <v>0.81120878996456491</v>
      </c>
      <c r="AO41" s="16">
        <f t="shared" si="22"/>
        <v>289.22996121259064</v>
      </c>
      <c r="AP41" s="16">
        <f t="shared" si="23"/>
        <v>8.8302683384265137</v>
      </c>
      <c r="AQ41" s="51">
        <f t="shared" si="24"/>
        <v>9516.9315106088889</v>
      </c>
      <c r="AR41" s="16">
        <f t="shared" si="25"/>
        <v>0.83566441163680882</v>
      </c>
      <c r="AS41" s="16">
        <f t="shared" si="26"/>
        <v>291.47119560352206</v>
      </c>
      <c r="AT41" s="16">
        <f t="shared" si="27"/>
        <v>4.954101365396486</v>
      </c>
      <c r="AU41" s="16">
        <f t="shared" si="28"/>
        <v>176.29114583333333</v>
      </c>
      <c r="AV41" s="16">
        <f t="shared" si="29"/>
        <v>3756.4926062389181</v>
      </c>
      <c r="AW41" s="16">
        <f t="shared" si="30"/>
        <v>3740.7185152647721</v>
      </c>
    </row>
    <row r="42" spans="3:49" ht="15.6" x14ac:dyDescent="0.25">
      <c r="C42" s="13">
        <v>38</v>
      </c>
      <c r="D42" s="14">
        <f t="shared" si="32"/>
        <v>0.182</v>
      </c>
      <c r="E42" s="14">
        <v>2.5699999999999998E-3</v>
      </c>
      <c r="F42" s="14">
        <v>5.9363999999999999E-4</v>
      </c>
      <c r="G42" s="14">
        <v>0.16346304</v>
      </c>
      <c r="H42" s="33">
        <v>7.4549454545454558E-2</v>
      </c>
      <c r="I42" s="22">
        <v>228.90909090909091</v>
      </c>
      <c r="J42" s="22">
        <v>8.9209818181818186</v>
      </c>
      <c r="K42" s="22">
        <v>151.26363636363632</v>
      </c>
      <c r="L42" s="22">
        <v>8.8800363636363642</v>
      </c>
      <c r="M42" s="33">
        <v>7.5931707070707094E-2</v>
      </c>
      <c r="N42" s="22">
        <v>135.58909090909086</v>
      </c>
      <c r="O42" s="22">
        <v>9.7347999999999981</v>
      </c>
      <c r="P42" s="22">
        <v>211.3454545454544</v>
      </c>
      <c r="Q42" s="22">
        <v>9.7130181818181835</v>
      </c>
      <c r="R42" s="16">
        <f>IFERROR([1]!Enthalpy("CO2","TP","SI",I42+273.15,J42),"N/A")</f>
        <v>669.53679740119787</v>
      </c>
      <c r="S42" s="16">
        <f>IFERROR([1]!Enthalpy("CO2","TP","SI",K42+273.15,L42),"N/A")</f>
        <v>579.09541134176902</v>
      </c>
      <c r="T42" s="16">
        <f t="shared" si="11"/>
        <v>6.7423559990652988</v>
      </c>
      <c r="U42" s="44">
        <f t="shared" si="12"/>
        <v>4.0945454545454396E-2</v>
      </c>
      <c r="V42" s="16">
        <f>IFERROR([1]!Enthalpy("CO2","TP","SI",N42+273.15,O42),"N/A")</f>
        <v>555.08590372225694</v>
      </c>
      <c r="W42" s="16">
        <f>IFERROR([1]!Enthalpy("CO2","TP","SI",P42+273.15,Q42),"N/A")</f>
        <v>646.68698849768418</v>
      </c>
      <c r="X42" s="16">
        <f t="shared" si="13"/>
        <v>6.9554267365267481</v>
      </c>
      <c r="Y42" s="44">
        <f t="shared" si="14"/>
        <v>2.1781818181814572E-2</v>
      </c>
      <c r="Z42" s="17">
        <f t="shared" si="15"/>
        <v>3.1601822492165588E-2</v>
      </c>
      <c r="AA42" s="16">
        <f t="shared" si="16"/>
        <v>190.08636363636361</v>
      </c>
      <c r="AB42" s="16">
        <f t="shared" si="17"/>
        <v>8.9005090909090914</v>
      </c>
      <c r="AC42" s="14">
        <f>IFERROR([1]!Viscosity("CO2","TP","SI",AA42+273.15,AB42)/1000000,"N/A")</f>
        <v>2.3803885626925683E-5</v>
      </c>
      <c r="AD42" s="18">
        <f>IFERROR([1]!CP("CO2","TP","SI",AA42+273.15,AB42),"N/A")</f>
        <v>1.1620749275304074</v>
      </c>
      <c r="AE42" s="19">
        <f>IFERROR([1]!ThermalConductivity("CO2","TP","SI",AA42+273.15,AB42)/1000,"N/A")</f>
        <v>3.4131689369665118E-2</v>
      </c>
      <c r="AF42" s="16">
        <f>IFERROR([1]!Density("CO2","TP","SI",AA42+273.15,AB42),"N/A")</f>
        <v>111.02130497396791</v>
      </c>
      <c r="AG42" s="16">
        <f t="shared" si="18"/>
        <v>173.46727272727264</v>
      </c>
      <c r="AH42" s="16">
        <f t="shared" si="19"/>
        <v>9.7239090909090908</v>
      </c>
      <c r="AI42" s="14">
        <f>IFERROR([1]!Viscosity("CO2","TP","SI",AG42+273.15,AH42)/1000000,"N/A")</f>
        <v>2.3475201819414894E-5</v>
      </c>
      <c r="AJ42" s="20">
        <f>IFERROR([1]!CP("CO2","TP","SI",AG42+273.15,AH42),"N/A")</f>
        <v>1.1999148148371082</v>
      </c>
      <c r="AK42" s="21">
        <f>IFERROR([1]!ThermalConductivity("CO2","TP","SI",AG42+273.15,AH42)/1000,"N/A")</f>
        <v>3.3577415127243548E-2</v>
      </c>
      <c r="AL42" s="22">
        <f>IFERROR([1]!Density("CO2","TP","SI",AG42+273.15,AH42),"N/A")</f>
        <v>129.12337543733946</v>
      </c>
      <c r="AM42" s="51">
        <f t="shared" si="20"/>
        <v>13558.341929243068</v>
      </c>
      <c r="AN42" s="16">
        <f t="shared" si="21"/>
        <v>0.81044622096662355</v>
      </c>
      <c r="AO42" s="16">
        <f t="shared" si="22"/>
        <v>373.75772642337233</v>
      </c>
      <c r="AP42" s="16">
        <f t="shared" si="23"/>
        <v>8.1406883308910114</v>
      </c>
      <c r="AQ42" s="51">
        <f t="shared" si="24"/>
        <v>14003.087286023543</v>
      </c>
      <c r="AR42" s="16">
        <f t="shared" si="25"/>
        <v>0.83890443435451445</v>
      </c>
      <c r="AS42" s="16">
        <f t="shared" si="26"/>
        <v>391.93387782076007</v>
      </c>
      <c r="AT42" s="16">
        <f t="shared" si="27"/>
        <v>4.8550165601079796</v>
      </c>
      <c r="AU42" s="16">
        <f t="shared" si="28"/>
        <v>181.77681818181813</v>
      </c>
      <c r="AV42" s="16">
        <f t="shared" si="29"/>
        <v>4963.8064660680238</v>
      </c>
      <c r="AW42" s="16">
        <f t="shared" si="30"/>
        <v>5120.6717968941693</v>
      </c>
    </row>
    <row r="43" spans="3:49" ht="15.6" x14ac:dyDescent="0.25">
      <c r="C43" s="13">
        <v>39</v>
      </c>
      <c r="D43" s="14">
        <f t="shared" si="32"/>
        <v>0.182</v>
      </c>
      <c r="E43" s="14">
        <v>2.5699999999999998E-3</v>
      </c>
      <c r="F43" s="14">
        <v>5.9363999999999999E-4</v>
      </c>
      <c r="G43" s="14">
        <v>0.16346304</v>
      </c>
      <c r="H43" s="33">
        <v>9.9087560386473442E-2</v>
      </c>
      <c r="I43" s="22">
        <v>226.0565217391304</v>
      </c>
      <c r="J43" s="22">
        <v>9.3242826086956523</v>
      </c>
      <c r="K43" s="22">
        <v>150.50652173913045</v>
      </c>
      <c r="L43" s="22">
        <v>9.2565434782608698</v>
      </c>
      <c r="M43" s="33">
        <v>0.10186187801932367</v>
      </c>
      <c r="N43" s="22">
        <v>131.08913043478256</v>
      </c>
      <c r="O43" s="22">
        <v>9.227369565217387</v>
      </c>
      <c r="P43" s="22">
        <v>207.90652173913028</v>
      </c>
      <c r="Q43" s="22">
        <v>9.1841304347826096</v>
      </c>
      <c r="R43" s="16">
        <f>IFERROR([1]!Enthalpy("CO2","TP","SI",I43+273.15,J43),"N/A")</f>
        <v>664.99642668144065</v>
      </c>
      <c r="S43" s="16">
        <f>IFERROR([1]!Enthalpy("CO2","TP","SI",K43+273.15,L43),"N/A")</f>
        <v>576.30254914855777</v>
      </c>
      <c r="T43" s="16">
        <f t="shared" si="11"/>
        <v>8.788459945950013</v>
      </c>
      <c r="U43" s="44">
        <f t="shared" si="12"/>
        <v>6.7739130434782524E-2</v>
      </c>
      <c r="V43" s="16">
        <f>IFERROR([1]!Enthalpy("CO2","TP","SI",N43+273.15,O43),"N/A")</f>
        <v>552.23040304595588</v>
      </c>
      <c r="W43" s="16">
        <f>IFERROR([1]!Enthalpy("CO2","TP","SI",P43+273.15,Q43),"N/A")</f>
        <v>644.51590282195264</v>
      </c>
      <c r="X43" s="16">
        <f t="shared" si="13"/>
        <v>9.4003743211349029</v>
      </c>
      <c r="Y43" s="44">
        <f t="shared" si="14"/>
        <v>4.3239130434777451E-2</v>
      </c>
      <c r="Z43" s="17">
        <f t="shared" si="15"/>
        <v>6.962703123735331E-2</v>
      </c>
      <c r="AA43" s="16">
        <f t="shared" si="16"/>
        <v>188.28152173913043</v>
      </c>
      <c r="AB43" s="16">
        <f t="shared" si="17"/>
        <v>9.2904130434782601</v>
      </c>
      <c r="AC43" s="14">
        <f>IFERROR([1]!Viscosity("CO2","TP","SI",AA43+273.15,AB43)/1000000,"N/A")</f>
        <v>2.3848242592363765E-5</v>
      </c>
      <c r="AD43" s="18">
        <f>IFERROR([1]!CP("CO2","TP","SI",AA43+273.15,AB43),"N/A")</f>
        <v>1.1724643323985449</v>
      </c>
      <c r="AE43" s="19">
        <f>IFERROR([1]!ThermalConductivity("CO2","TP","SI",AA43+273.15,AB43)/1000,"N/A")</f>
        <v>3.4231535693325023E-2</v>
      </c>
      <c r="AF43" s="16">
        <f>IFERROR([1]!Density("CO2","TP","SI",AA43+273.15,AB43),"N/A")</f>
        <v>116.95673030021936</v>
      </c>
      <c r="AG43" s="16">
        <f t="shared" si="18"/>
        <v>169.49782608695642</v>
      </c>
      <c r="AH43" s="16">
        <f t="shared" si="19"/>
        <v>9.2057499999999983</v>
      </c>
      <c r="AI43" s="14">
        <f>IFERROR([1]!Viscosity("CO2","TP","SI",AG43+273.15,AH43)/1000000,"N/A")</f>
        <v>2.3171499532385307E-5</v>
      </c>
      <c r="AJ43" s="20">
        <f>IFERROR([1]!CP("CO2","TP","SI",AG43+273.15,AH43),"N/A")</f>
        <v>1.1906990883953235</v>
      </c>
      <c r="AK43" s="21">
        <f>IFERROR([1]!ThermalConductivity("CO2","TP","SI",AG43+273.15,AH43)/1000,"N/A")</f>
        <v>3.300576688318043E-2</v>
      </c>
      <c r="AL43" s="22">
        <f>IFERROR([1]!Density("CO2","TP","SI",AG43+273.15,AH43),"N/A")</f>
        <v>123.21359955582211</v>
      </c>
      <c r="AM43" s="51">
        <f t="shared" si="20"/>
        <v>17987.579315558745</v>
      </c>
      <c r="AN43" s="16">
        <f t="shared" si="21"/>
        <v>0.81682615937638525</v>
      </c>
      <c r="AO43" s="16">
        <f t="shared" si="22"/>
        <v>429.78266999154926</v>
      </c>
      <c r="AP43" s="16">
        <f t="shared" si="23"/>
        <v>8.0309072062032349</v>
      </c>
      <c r="AQ43" s="51">
        <f t="shared" si="24"/>
        <v>19031.25840122272</v>
      </c>
      <c r="AR43" s="16">
        <f t="shared" si="25"/>
        <v>0.8359231120917755</v>
      </c>
      <c r="AS43" s="16">
        <f t="shared" si="26"/>
        <v>476.7797748485861</v>
      </c>
      <c r="AT43" s="16">
        <f t="shared" si="27"/>
        <v>5.110345731461261</v>
      </c>
      <c r="AU43" s="16">
        <f t="shared" si="28"/>
        <v>178.88967391304342</v>
      </c>
      <c r="AV43" s="16">
        <f t="shared" si="29"/>
        <v>5724.5606257541822</v>
      </c>
      <c r="AW43" s="16">
        <f t="shared" si="30"/>
        <v>6123.1447872636909</v>
      </c>
    </row>
    <row r="44" spans="3:49" ht="15.6" x14ac:dyDescent="0.25">
      <c r="C44" s="13">
        <v>40</v>
      </c>
      <c r="D44" s="14">
        <f t="shared" si="32"/>
        <v>0.182</v>
      </c>
      <c r="E44" s="14">
        <v>2.5699999999999998E-3</v>
      </c>
      <c r="F44" s="14">
        <v>5.9363999999999999E-4</v>
      </c>
      <c r="G44" s="14">
        <v>0.16346304</v>
      </c>
      <c r="H44" s="33">
        <v>0.12387733539094649</v>
      </c>
      <c r="I44" s="22">
        <v>230.60555555555558</v>
      </c>
      <c r="J44" s="22">
        <v>9.078555555555555</v>
      </c>
      <c r="K44" s="22">
        <v>153.0185185185185</v>
      </c>
      <c r="L44" s="22">
        <v>8.969370370370374</v>
      </c>
      <c r="M44" s="33">
        <v>0.12538209362139918</v>
      </c>
      <c r="N44" s="22">
        <v>128.90925925925922</v>
      </c>
      <c r="O44" s="22">
        <v>8.7131296296296306</v>
      </c>
      <c r="P44" s="22">
        <v>211.29259259259251</v>
      </c>
      <c r="Q44" s="22">
        <v>8.6420555555555545</v>
      </c>
      <c r="R44" s="16">
        <f>IFERROR([1]!Enthalpy("CO2","TP","SI",I44+273.15,J44),"N/A")</f>
        <v>670.99097531931454</v>
      </c>
      <c r="S44" s="16">
        <f>IFERROR([1]!Enthalpy("CO2","TP","SI",K44+273.15,L44),"N/A")</f>
        <v>580.77772142372601</v>
      </c>
      <c r="T44" s="16">
        <f t="shared" si="11"/>
        <v>11.175377509532431</v>
      </c>
      <c r="U44" s="44">
        <f t="shared" si="12"/>
        <v>0.10918518518518106</v>
      </c>
      <c r="V44" s="16">
        <f>IFERROR([1]!Enthalpy("CO2","TP","SI",N44+273.15,O44),"N/A")</f>
        <v>552.47869585458068</v>
      </c>
      <c r="W44" s="16">
        <f>IFERROR([1]!Enthalpy("CO2","TP","SI",P44+273.15,Q44),"N/A")</f>
        <v>650.28325562277769</v>
      </c>
      <c r="X44" s="16">
        <f t="shared" si="13"/>
        <v>12.26294046945581</v>
      </c>
      <c r="Y44" s="44">
        <f t="shared" si="14"/>
        <v>7.1074074074076066E-2</v>
      </c>
      <c r="Z44" s="17">
        <f t="shared" si="15"/>
        <v>9.7317782687493387E-2</v>
      </c>
      <c r="AA44" s="16">
        <f t="shared" si="16"/>
        <v>191.81203703703704</v>
      </c>
      <c r="AB44" s="16">
        <f t="shared" si="17"/>
        <v>9.0239629629629654</v>
      </c>
      <c r="AC44" s="14">
        <f>IFERROR([1]!Viscosity("CO2","TP","SI",AA44+273.15,AB44)/1000000,"N/A")</f>
        <v>2.3899118574467681E-5</v>
      </c>
      <c r="AD44" s="18">
        <f>IFERROR([1]!CP("CO2","TP","SI",AA44+273.15,AB44),"N/A")</f>
        <v>1.163557299168843</v>
      </c>
      <c r="AE44" s="19">
        <f>IFERROR([1]!ThermalConductivity("CO2","TP","SI",AA44+273.15,AB44)/1000,"N/A")</f>
        <v>3.4320078453499513E-2</v>
      </c>
      <c r="AF44" s="16">
        <f>IFERROR([1]!Density("CO2","TP","SI",AA44+273.15,AB44),"N/A")</f>
        <v>112.09014183194881</v>
      </c>
      <c r="AG44" s="16">
        <f t="shared" si="18"/>
        <v>170.10092592592588</v>
      </c>
      <c r="AH44" s="16">
        <f t="shared" si="19"/>
        <v>8.6775925925925925</v>
      </c>
      <c r="AI44" s="14">
        <f>IFERROR([1]!Viscosity("CO2","TP","SI",AG44+273.15,AH44)/1000000,"N/A")</f>
        <v>2.3027320974196964E-5</v>
      </c>
      <c r="AJ44" s="20">
        <f>IFERROR([1]!CP("CO2","TP","SI",AG44+273.15,AH44),"N/A")</f>
        <v>1.1750221649297299</v>
      </c>
      <c r="AK44" s="21">
        <f>IFERROR([1]!ThermalConductivity("CO2","TP","SI",AG44+273.15,AH44)/1000,"N/A")</f>
        <v>3.2699005739322995E-2</v>
      </c>
      <c r="AL44" s="22">
        <f>IFERROR([1]!Density("CO2","TP","SI",AG44+273.15,AH44),"N/A")</f>
        <v>115.18836221495989</v>
      </c>
      <c r="AM44" s="51">
        <f t="shared" si="20"/>
        <v>22439.849404641711</v>
      </c>
      <c r="AN44" s="16">
        <f t="shared" si="21"/>
        <v>0.81025437918799537</v>
      </c>
      <c r="AO44" s="16">
        <f t="shared" si="22"/>
        <v>471.60177215489693</v>
      </c>
      <c r="AP44" s="16">
        <f t="shared" si="23"/>
        <v>7.9375316021956213</v>
      </c>
      <c r="AQ44" s="51">
        <f t="shared" si="24"/>
        <v>23572.305975645646</v>
      </c>
      <c r="AR44" s="16">
        <f t="shared" si="25"/>
        <v>0.82747508469634889</v>
      </c>
      <c r="AS44" s="16">
        <f t="shared" si="26"/>
        <v>543.15223393158578</v>
      </c>
      <c r="AT44" s="16">
        <f t="shared" si="27"/>
        <v>5.1830670018422209</v>
      </c>
      <c r="AU44" s="16">
        <f t="shared" si="28"/>
        <v>180.95648148148146</v>
      </c>
      <c r="AV44" s="16">
        <f t="shared" si="29"/>
        <v>6297.8248323601038</v>
      </c>
      <c r="AW44" s="16">
        <f t="shared" si="30"/>
        <v>6910.7151807996233</v>
      </c>
    </row>
    <row r="45" spans="3:49" ht="15.6" x14ac:dyDescent="0.25">
      <c r="C45" s="13">
        <v>41</v>
      </c>
      <c r="D45" s="14">
        <f t="shared" si="32"/>
        <v>0.182</v>
      </c>
      <c r="E45" s="14">
        <v>2.5699999999999998E-3</v>
      </c>
      <c r="F45" s="14">
        <v>5.9363999999999999E-4</v>
      </c>
      <c r="G45" s="14">
        <v>0.16346304</v>
      </c>
      <c r="H45" s="33">
        <v>0.14922191414141417</v>
      </c>
      <c r="I45" s="22">
        <v>213.82181818181817</v>
      </c>
      <c r="J45" s="22">
        <v>9.4917090909090884</v>
      </c>
      <c r="K45" s="22">
        <v>152.89454545454541</v>
      </c>
      <c r="L45" s="22">
        <v>9.3448363636363663</v>
      </c>
      <c r="M45" s="33">
        <v>0.15202578282828288</v>
      </c>
      <c r="N45" s="22">
        <v>133.92909090909092</v>
      </c>
      <c r="O45" s="22">
        <v>9.0136727272727288</v>
      </c>
      <c r="P45" s="22">
        <v>199.76727272727274</v>
      </c>
      <c r="Q45" s="22">
        <v>8.9197090909090928</v>
      </c>
      <c r="R45" s="16">
        <f>IFERROR([1]!Enthalpy("CO2","TP","SI",I45+273.15,J45),"N/A")</f>
        <v>650.31440432421539</v>
      </c>
      <c r="S45" s="16">
        <f>IFERROR([1]!Enthalpy("CO2","TP","SI",K45+273.15,L45),"N/A")</f>
        <v>578.78729874722978</v>
      </c>
      <c r="T45" s="16">
        <f t="shared" si="11"/>
        <v>10.673411607192813</v>
      </c>
      <c r="U45" s="44">
        <f t="shared" si="12"/>
        <v>0.14687272727272216</v>
      </c>
      <c r="V45" s="16">
        <f>IFERROR([1]!Enthalpy("CO2","TP","SI",N45+273.15,O45),"N/A")</f>
        <v>557.05099379534408</v>
      </c>
      <c r="W45" s="16">
        <f>IFERROR([1]!Enthalpy("CO2","TP","SI",P45+273.15,Q45),"N/A")</f>
        <v>636.0449076938354</v>
      </c>
      <c r="X45" s="16">
        <f t="shared" si="13"/>
        <v>12.009111599088117</v>
      </c>
      <c r="Y45" s="44">
        <f t="shared" si="14"/>
        <v>9.3963636363636027E-2</v>
      </c>
      <c r="Z45" s="17">
        <f t="shared" si="15"/>
        <v>0.12514274170736331</v>
      </c>
      <c r="AA45" s="16">
        <f t="shared" si="16"/>
        <v>183.35818181818178</v>
      </c>
      <c r="AB45" s="16">
        <f t="shared" si="17"/>
        <v>9.4182727272727274</v>
      </c>
      <c r="AC45" s="14">
        <f>IFERROR([1]!Viscosity("CO2","TP","SI",AA45+273.15,AB45)/1000000,"N/A")</f>
        <v>2.3714091287298586E-5</v>
      </c>
      <c r="AD45" s="18">
        <f>IFERROR([1]!CP("CO2","TP","SI",AA45+273.15,AB45),"N/A")</f>
        <v>1.1801677352691669</v>
      </c>
      <c r="AE45" s="19">
        <f>IFERROR([1]!ThermalConductivity("CO2","TP","SI",AA45+273.15,AB45)/1000,"N/A")</f>
        <v>3.3976766434694404E-2</v>
      </c>
      <c r="AF45" s="16">
        <f>IFERROR([1]!Density("CO2","TP","SI",AA45+273.15,AB45),"N/A")</f>
        <v>120.59612643649109</v>
      </c>
      <c r="AG45" s="16">
        <f t="shared" si="18"/>
        <v>166.84818181818184</v>
      </c>
      <c r="AH45" s="16">
        <f t="shared" si="19"/>
        <v>8.9666909090909108</v>
      </c>
      <c r="AI45" s="14">
        <f>IFERROR([1]!Viscosity("CO2","TP","SI",AG45+273.15,AH45)/1000000,"N/A")</f>
        <v>2.30035725926938E-5</v>
      </c>
      <c r="AJ45" s="20">
        <f>IFERROR([1]!CP("CO2","TP","SI",AG45+273.15,AH45),"N/A")</f>
        <v>1.1872950429203897</v>
      </c>
      <c r="AK45" s="21">
        <f>IFERROR([1]!ThermalConductivity("CO2","TP","SI",AG45+273.15,AH45)/1000,"N/A")</f>
        <v>3.2688447403268137E-2</v>
      </c>
      <c r="AL45" s="22">
        <f>IFERROR([1]!Density("CO2","TP","SI",AG45+273.15,AH45),"N/A")</f>
        <v>120.78208413552271</v>
      </c>
      <c r="AM45" s="51">
        <f t="shared" si="20"/>
        <v>27241.81793973079</v>
      </c>
      <c r="AN45" s="16">
        <f t="shared" si="21"/>
        <v>0.82369831932916748</v>
      </c>
      <c r="AO45" s="16">
        <f t="shared" si="22"/>
        <v>598.29818772438716</v>
      </c>
      <c r="AP45" s="16">
        <f t="shared" si="23"/>
        <v>7.9167576138818827</v>
      </c>
      <c r="AQ45" s="51">
        <f t="shared" si="24"/>
        <v>28610.926754360764</v>
      </c>
      <c r="AR45" s="16">
        <f t="shared" si="25"/>
        <v>0.83552538827628975</v>
      </c>
      <c r="AS45" s="16">
        <f t="shared" si="26"/>
        <v>699.70191335918457</v>
      </c>
      <c r="AT45" s="16">
        <f t="shared" si="27"/>
        <v>4.8872649270840629</v>
      </c>
      <c r="AU45" s="16">
        <f t="shared" si="28"/>
        <v>175.10318181818181</v>
      </c>
      <c r="AV45" s="16">
        <f t="shared" si="29"/>
        <v>7909.8201488764398</v>
      </c>
      <c r="AW45" s="16">
        <f t="shared" si="30"/>
        <v>8899.6767287189832</v>
      </c>
    </row>
    <row r="46" spans="3:49" ht="15.6" x14ac:dyDescent="0.25">
      <c r="C46" s="13">
        <v>42</v>
      </c>
      <c r="D46" s="14">
        <f t="shared" si="32"/>
        <v>0.182</v>
      </c>
      <c r="E46" s="14">
        <v>2.5699999999999998E-3</v>
      </c>
      <c r="F46" s="14">
        <v>5.9363999999999999E-4</v>
      </c>
      <c r="G46" s="14">
        <v>0.16346304</v>
      </c>
      <c r="H46" s="33">
        <v>4.8480335917312656E-2</v>
      </c>
      <c r="I46" s="22">
        <v>196.80930232558143</v>
      </c>
      <c r="J46" s="22">
        <v>8.3663488372093013</v>
      </c>
      <c r="K46" s="22">
        <v>157.40697674418607</v>
      </c>
      <c r="L46" s="22">
        <v>8.3496744186046516</v>
      </c>
      <c r="M46" s="33">
        <v>5.0670335917312646E-2</v>
      </c>
      <c r="N46" s="22">
        <v>160.5395348837209</v>
      </c>
      <c r="O46" s="22">
        <v>9.0871162790697664</v>
      </c>
      <c r="P46" s="22">
        <v>192.93720930232556</v>
      </c>
      <c r="Q46" s="22">
        <v>9.0865116279069778</v>
      </c>
      <c r="R46" s="16">
        <f>IFERROR([1]!Enthalpy("CO2","TP","SI",I46+273.15,J46),"N/A")</f>
        <v>634.67317181942144</v>
      </c>
      <c r="S46" s="16">
        <f>IFERROR([1]!Enthalpy("CO2","TP","SI",K46+273.15,L46),"N/A")</f>
        <v>589.00048024079183</v>
      </c>
      <c r="T46" s="16">
        <f t="shared" si="11"/>
        <v>2.2142274299797804</v>
      </c>
      <c r="U46" s="44">
        <f t="shared" si="12"/>
        <v>1.6674418604649688E-2</v>
      </c>
      <c r="V46" s="16">
        <f>IFERROR([1]!Enthalpy("CO2","TP","SI",N46+273.15,O46),"N/A")</f>
        <v>589.2756936848624</v>
      </c>
      <c r="W46" s="16">
        <f>IFERROR([1]!Enthalpy("CO2","TP","SI",P46+273.15,Q46),"N/A")</f>
        <v>627.50270328855561</v>
      </c>
      <c r="X46" s="16">
        <f t="shared" si="13"/>
        <v>1.9369754177334713</v>
      </c>
      <c r="Y46" s="44">
        <f t="shared" si="14"/>
        <v>6.0465116278862752E-4</v>
      </c>
      <c r="Z46" s="17">
        <f t="shared" si="15"/>
        <v>-0.12521388204862086</v>
      </c>
      <c r="AA46" s="16">
        <f t="shared" si="16"/>
        <v>177.10813953488375</v>
      </c>
      <c r="AB46" s="16">
        <f t="shared" si="17"/>
        <v>8.3580116279069756</v>
      </c>
      <c r="AC46" s="14">
        <f>IFERROR([1]!Viscosity("CO2","TP","SI",AA46+273.15,AB46)/1000000,"N/A")</f>
        <v>2.3186562767055854E-5</v>
      </c>
      <c r="AD46" s="18">
        <f>IFERROR([1]!CP("CO2","TP","SI",AA46+273.15,AB46),"N/A")</f>
        <v>1.1595048199732847</v>
      </c>
      <c r="AE46" s="19">
        <f>IFERROR([1]!ThermalConductivity("CO2","TP","SI",AA46+273.15,AB46)/1000,"N/A")</f>
        <v>3.2923852859354862E-2</v>
      </c>
      <c r="AF46" s="16">
        <f>IFERROR([1]!Density("CO2","TP","SI",AA46+273.15,AB46),"N/A")</f>
        <v>108.01875002450836</v>
      </c>
      <c r="AG46" s="16">
        <f t="shared" si="18"/>
        <v>176.73837209302323</v>
      </c>
      <c r="AH46" s="16">
        <f t="shared" si="19"/>
        <v>9.0868139534883721</v>
      </c>
      <c r="AI46" s="14">
        <f>IFERROR([1]!Viscosity("CO2","TP","SI",AG46+273.15,AH46)/1000000,"N/A")</f>
        <v>2.3384314020942033E-5</v>
      </c>
      <c r="AJ46" s="20">
        <f>IFERROR([1]!CP("CO2","TP","SI",AG46+273.15,AH46),"N/A")</f>
        <v>1.1787209456090046</v>
      </c>
      <c r="AK46" s="21">
        <f>IFERROR([1]!ThermalConductivity("CO2","TP","SI",AG46+273.15,AH46)/1000,"N/A")</f>
        <v>3.3342067563250512E-2</v>
      </c>
      <c r="AL46" s="22">
        <f>IFERROR([1]!Density("CO2","TP","SI",AG46+273.15,AH46),"N/A")</f>
        <v>118.50747974792485</v>
      </c>
      <c r="AM46" s="51">
        <f t="shared" si="20"/>
        <v>9051.8888965582337</v>
      </c>
      <c r="AN46" s="16">
        <f t="shared" si="21"/>
        <v>0.81657913494700185</v>
      </c>
      <c r="AO46" s="16">
        <f t="shared" si="22"/>
        <v>5719.0837086116808</v>
      </c>
      <c r="AP46" s="16">
        <f t="shared" si="23"/>
        <v>7.6270510029243725</v>
      </c>
      <c r="AQ46" s="51">
        <f t="shared" si="24"/>
        <v>9380.7835649577628</v>
      </c>
      <c r="AR46" s="16">
        <f t="shared" si="25"/>
        <v>0.8266908068281632</v>
      </c>
      <c r="AS46" s="16">
        <f t="shared" si="26"/>
        <v>4940.22194699801</v>
      </c>
      <c r="AT46" s="16">
        <f t="shared" si="27"/>
        <v>0.27776730911823716</v>
      </c>
      <c r="AU46" s="16">
        <f t="shared" si="28"/>
        <v>176.92325581395349</v>
      </c>
      <c r="AV46" s="16">
        <f t="shared" si="29"/>
        <v>73266.253117768298</v>
      </c>
      <c r="AW46" s="16">
        <f t="shared" si="30"/>
        <v>64092.301141735654</v>
      </c>
    </row>
    <row r="47" spans="3:49" ht="15.6" x14ac:dyDescent="0.25">
      <c r="C47" s="13">
        <v>43</v>
      </c>
      <c r="D47" s="14">
        <f t="shared" si="32"/>
        <v>0.182</v>
      </c>
      <c r="E47" s="14">
        <v>2.5699999999999998E-3</v>
      </c>
      <c r="F47" s="14">
        <v>5.9363999999999999E-4</v>
      </c>
      <c r="G47" s="14">
        <v>0.16346304</v>
      </c>
      <c r="H47" s="33">
        <v>7.4462888888888898E-2</v>
      </c>
      <c r="I47" s="22">
        <v>203.15399999999997</v>
      </c>
      <c r="J47" s="22">
        <v>8.878619999999998</v>
      </c>
      <c r="K47" s="22">
        <v>160.33000000000001</v>
      </c>
      <c r="L47" s="22">
        <v>8.8414799999999971</v>
      </c>
      <c r="M47" s="33">
        <v>7.5631372222222229E-2</v>
      </c>
      <c r="N47" s="22">
        <v>158.71</v>
      </c>
      <c r="O47" s="22">
        <v>9.4959800000000012</v>
      </c>
      <c r="P47" s="22">
        <v>198.54400000000001</v>
      </c>
      <c r="Q47" s="22">
        <v>9.4801000000000002</v>
      </c>
      <c r="R47" s="16">
        <f>IFERROR([1]!Enthalpy("CO2","TP","SI",I47+273.15,J47),"N/A")</f>
        <v>640.10377392278599</v>
      </c>
      <c r="S47" s="16">
        <f>IFERROR([1]!Enthalpy("CO2","TP","SI",K47+273.15,L47),"N/A")</f>
        <v>590.16584439941619</v>
      </c>
      <c r="T47" s="16">
        <f t="shared" si="11"/>
        <v>3.7185224974398503</v>
      </c>
      <c r="U47" s="44">
        <f t="shared" si="12"/>
        <v>3.7140000000000839E-2</v>
      </c>
      <c r="V47" s="16">
        <f>IFERROR([1]!Enthalpy("CO2","TP","SI",N47+273.15,O47),"N/A")</f>
        <v>585.15271779038346</v>
      </c>
      <c r="W47" s="16">
        <f>IFERROR([1]!Enthalpy("CO2","TP","SI",P47+273.15,Q47),"N/A")</f>
        <v>632.57603142395158</v>
      </c>
      <c r="X47" s="16">
        <f t="shared" si="13"/>
        <v>3.5866902854315761</v>
      </c>
      <c r="Y47" s="44">
        <f t="shared" si="14"/>
        <v>1.5880000000001004E-2</v>
      </c>
      <c r="Z47" s="17">
        <f t="shared" si="15"/>
        <v>-3.5452847763873641E-2</v>
      </c>
      <c r="AA47" s="16">
        <f t="shared" si="16"/>
        <v>181.74199999999999</v>
      </c>
      <c r="AB47" s="16">
        <f t="shared" si="17"/>
        <v>8.8600499999999975</v>
      </c>
      <c r="AC47" s="14">
        <f>IFERROR([1]!Viscosity("CO2","TP","SI",AA47+273.15,AB47)/1000000,"N/A")</f>
        <v>2.3494268218634063E-5</v>
      </c>
      <c r="AD47" s="18">
        <f>IFERROR([1]!CP("CO2","TP","SI",AA47+273.15,AB47),"N/A")</f>
        <v>1.1679882369179271</v>
      </c>
      <c r="AE47" s="19">
        <f>IFERROR([1]!ThermalConductivity("CO2","TP","SI",AA47+273.15,AB47)/1000,"N/A")</f>
        <v>3.3535872325153329E-2</v>
      </c>
      <c r="AF47" s="16">
        <f>IFERROR([1]!Density("CO2","TP","SI",AA47+273.15,AB47),"N/A")</f>
        <v>113.40980895694202</v>
      </c>
      <c r="AG47" s="16">
        <f t="shared" si="18"/>
        <v>178.62700000000001</v>
      </c>
      <c r="AH47" s="16">
        <f t="shared" si="19"/>
        <v>9.4880400000000016</v>
      </c>
      <c r="AI47" s="14">
        <f>IFERROR([1]!Viscosity("CO2","TP","SI",AG47+273.15,AH47)/1000000,"N/A")</f>
        <v>2.3572844824010852E-5</v>
      </c>
      <c r="AJ47" s="20">
        <f>IFERROR([1]!CP("CO2","TP","SI",AG47+273.15,AH47),"N/A")</f>
        <v>1.1870636897819316</v>
      </c>
      <c r="AK47" s="21">
        <f>IFERROR([1]!ThermalConductivity("CO2","TP","SI",AG47+273.15,AH47)/1000,"N/A")</f>
        <v>3.3706608759659508E-2</v>
      </c>
      <c r="AL47" s="22">
        <f>IFERROR([1]!Density("CO2","TP","SI",AG47+273.15,AH47),"N/A")</f>
        <v>123.48498803791118</v>
      </c>
      <c r="AM47" s="51">
        <f t="shared" si="20"/>
        <v>13721.068285023706</v>
      </c>
      <c r="AN47" s="16">
        <f t="shared" si="21"/>
        <v>0.81825898692300747</v>
      </c>
      <c r="AO47" s="16">
        <f t="shared" si="22"/>
        <v>1119.2994809223574</v>
      </c>
      <c r="AP47" s="16">
        <f t="shared" si="23"/>
        <v>7.5605049067548746</v>
      </c>
      <c r="AQ47" s="51">
        <f t="shared" si="24"/>
        <v>13889.926566586026</v>
      </c>
      <c r="AR47" s="16">
        <f t="shared" si="25"/>
        <v>0.83017749886891623</v>
      </c>
      <c r="AS47" s="16">
        <f t="shared" si="26"/>
        <v>1074.1484669474421</v>
      </c>
      <c r="AT47" s="16">
        <f t="shared" si="27"/>
        <v>3.4119192621231487</v>
      </c>
      <c r="AU47" s="16">
        <f t="shared" si="28"/>
        <v>180.18450000000001</v>
      </c>
      <c r="AV47" s="16">
        <f t="shared" si="29"/>
        <v>14605.713807713062</v>
      </c>
      <c r="AW47" s="16">
        <f t="shared" si="30"/>
        <v>14087.899659605246</v>
      </c>
    </row>
    <row r="48" spans="3:49" ht="15.6" x14ac:dyDescent="0.25">
      <c r="C48" s="13">
        <v>44</v>
      </c>
      <c r="D48" s="14">
        <f t="shared" si="32"/>
        <v>0.182</v>
      </c>
      <c r="E48" s="14">
        <v>2.5699999999999998E-3</v>
      </c>
      <c r="F48" s="14">
        <v>5.9363999999999999E-4</v>
      </c>
      <c r="G48" s="14">
        <v>0.16346304</v>
      </c>
      <c r="H48" s="33">
        <v>9.8555217391304351E-2</v>
      </c>
      <c r="I48" s="22">
        <v>194.80869565217392</v>
      </c>
      <c r="J48" s="22">
        <v>8.4353913043478261</v>
      </c>
      <c r="K48" s="22">
        <v>160.51304347826087</v>
      </c>
      <c r="L48" s="22">
        <v>8.3650869565217381</v>
      </c>
      <c r="M48" s="33">
        <v>0.10111146135265699</v>
      </c>
      <c r="N48" s="22">
        <v>159.52173913043481</v>
      </c>
      <c r="O48" s="22">
        <v>8.6791739130434795</v>
      </c>
      <c r="P48" s="22">
        <v>193.66086956521741</v>
      </c>
      <c r="Q48" s="22">
        <v>8.6376956521739139</v>
      </c>
      <c r="R48" s="16">
        <f>IFERROR([1]!Enthalpy("CO2","TP","SI",I48+273.15,J48),"N/A")</f>
        <v>632.12008849304493</v>
      </c>
      <c r="S48" s="16">
        <f>IFERROR([1]!Enthalpy("CO2","TP","SI",K48+273.15,L48),"N/A")</f>
        <v>592.59152441780645</v>
      </c>
      <c r="T48" s="16">
        <f t="shared" si="11"/>
        <v>3.8957462256012314</v>
      </c>
      <c r="U48" s="44">
        <f t="shared" si="12"/>
        <v>7.0304347826088076E-2</v>
      </c>
      <c r="V48" s="16">
        <f>IFERROR([1]!Enthalpy("CO2","TP","SI",N48+273.15,O48),"N/A")</f>
        <v>589.95912598354744</v>
      </c>
      <c r="W48" s="16">
        <f>IFERROR([1]!Enthalpy("CO2","TP","SI",P48+273.15,Q48),"N/A")</f>
        <v>630.03781457344792</v>
      </c>
      <c r="X48" s="16">
        <f t="shared" si="13"/>
        <v>4.0524147724228969</v>
      </c>
      <c r="Y48" s="44">
        <f t="shared" si="14"/>
        <v>4.1478260869565631E-2</v>
      </c>
      <c r="Z48" s="17">
        <f t="shared" si="15"/>
        <v>4.0215285531717826E-2</v>
      </c>
      <c r="AA48" s="16">
        <f t="shared" si="16"/>
        <v>177.66086956521741</v>
      </c>
      <c r="AB48" s="16">
        <f t="shared" si="17"/>
        <v>8.4002391304347821</v>
      </c>
      <c r="AC48" s="14">
        <f>IFERROR([1]!Viscosity("CO2","TP","SI",AA48+273.15,AB48)/1000000,"N/A")</f>
        <v>2.3218343873393075E-5</v>
      </c>
      <c r="AD48" s="18">
        <f>IFERROR([1]!CP("CO2","TP","SI",AA48+273.15,AB48),"N/A")</f>
        <v>1.1601006461501846</v>
      </c>
      <c r="AE48" s="19">
        <f>IFERROR([1]!ThermalConductivity("CO2","TP","SI",AA48+273.15,AB48)/1000,"N/A")</f>
        <v>3.2986702332055147E-2</v>
      </c>
      <c r="AF48" s="16">
        <f>IFERROR([1]!Density("CO2","TP","SI",AA48+273.15,AB48),"N/A")</f>
        <v>108.42103648000104</v>
      </c>
      <c r="AG48" s="16">
        <f t="shared" si="18"/>
        <v>176.59130434782611</v>
      </c>
      <c r="AH48" s="16">
        <f t="shared" si="19"/>
        <v>8.6584347826086976</v>
      </c>
      <c r="AI48" s="14">
        <f>IFERROR([1]!Viscosity("CO2","TP","SI",AG48+273.15,AH48)/1000000,"N/A")</f>
        <v>2.3252689372499478E-5</v>
      </c>
      <c r="AJ48" s="20">
        <f>IFERROR([1]!CP("CO2","TP","SI",AG48+273.15,AH48),"N/A")</f>
        <v>1.1677061870724901</v>
      </c>
      <c r="AK48" s="21">
        <f>IFERROR([1]!ThermalConductivity("CO2","TP","SI",AG48+273.15,AH48)/1000,"N/A")</f>
        <v>3.3076285127541946E-2</v>
      </c>
      <c r="AL48" s="22">
        <f>IFERROR([1]!Density("CO2","TP","SI",AG48+273.15,AH48),"N/A")</f>
        <v>112.45484239821329</v>
      </c>
      <c r="AM48" s="51">
        <f t="shared" si="20"/>
        <v>18376.311674190063</v>
      </c>
      <c r="AN48" s="16">
        <f t="shared" si="21"/>
        <v>0.81655982034571373</v>
      </c>
      <c r="AO48" s="16">
        <f t="shared" si="22"/>
        <v>3472.0664921303523</v>
      </c>
      <c r="AP48" s="16">
        <f t="shared" si="23"/>
        <v>7.8104227618982431</v>
      </c>
      <c r="AQ48" s="51">
        <f t="shared" si="24"/>
        <v>18825.09446394394</v>
      </c>
      <c r="AR48" s="16">
        <f t="shared" si="25"/>
        <v>0.82089960047336763</v>
      </c>
      <c r="AS48" s="16">
        <f t="shared" si="26"/>
        <v>3601.9148291709844</v>
      </c>
      <c r="AT48" s="16">
        <f t="shared" si="27"/>
        <v>4.540837593273646</v>
      </c>
      <c r="AU48" s="16">
        <f t="shared" si="28"/>
        <v>177.12608695652176</v>
      </c>
      <c r="AV48" s="16">
        <f t="shared" si="29"/>
        <v>44564.989826072699</v>
      </c>
      <c r="AW48" s="16">
        <f t="shared" si="30"/>
        <v>46357.183616646311</v>
      </c>
    </row>
    <row r="49" spans="3:49" ht="15.6" x14ac:dyDescent="0.25">
      <c r="C49" s="13">
        <v>45</v>
      </c>
      <c r="D49" s="14">
        <f t="shared" si="32"/>
        <v>0.182</v>
      </c>
      <c r="E49" s="14">
        <v>2.5699999999999998E-3</v>
      </c>
      <c r="F49" s="14">
        <v>5.9363999999999999E-4</v>
      </c>
      <c r="G49" s="14">
        <v>0.16346304</v>
      </c>
      <c r="H49" s="33">
        <v>0.1241530620155039</v>
      </c>
      <c r="I49" s="22">
        <v>199.9325581395349</v>
      </c>
      <c r="J49" s="22">
        <v>9.3095116279069785</v>
      </c>
      <c r="K49" s="22">
        <v>168.13255813953486</v>
      </c>
      <c r="L49" s="22">
        <v>9.2060930232558142</v>
      </c>
      <c r="M49" s="33">
        <v>0.12538403100775197</v>
      </c>
      <c r="N49" s="22">
        <v>166.87674418604644</v>
      </c>
      <c r="O49" s="22">
        <v>8.8919767441860458</v>
      </c>
      <c r="P49" s="22">
        <v>199.88372093023256</v>
      </c>
      <c r="Q49" s="22">
        <v>8.8208372093023275</v>
      </c>
      <c r="R49" s="16">
        <f>IFERROR([1]!Enthalpy("CO2","TP","SI",I49+273.15,J49),"N/A")</f>
        <v>634.81798625538261</v>
      </c>
      <c r="S49" s="16">
        <f>IFERROR([1]!Enthalpy("CO2","TP","SI",K49+273.15,L49),"N/A")</f>
        <v>597.82015803978595</v>
      </c>
      <c r="T49" s="16">
        <f t="shared" si="11"/>
        <v>4.5933936608899311</v>
      </c>
      <c r="U49" s="44">
        <f t="shared" si="12"/>
        <v>0.10341860465116426</v>
      </c>
      <c r="V49" s="16">
        <f>IFERROR([1]!Enthalpy("CO2","TP","SI",N49+273.15,O49),"N/A")</f>
        <v>597.71898256294583</v>
      </c>
      <c r="W49" s="16">
        <f>IFERROR([1]!Enthalpy("CO2","TP","SI",P49+273.15,Q49),"N/A")</f>
        <v>636.53947776482835</v>
      </c>
      <c r="X49" s="16">
        <f t="shared" si="13"/>
        <v>4.8674701741291253</v>
      </c>
      <c r="Y49" s="44">
        <f t="shared" si="14"/>
        <v>7.1139534883718269E-2</v>
      </c>
      <c r="Z49" s="17">
        <f t="shared" si="15"/>
        <v>5.9667542882900708E-2</v>
      </c>
      <c r="AA49" s="16">
        <f t="shared" si="16"/>
        <v>184.0325581395349</v>
      </c>
      <c r="AB49" s="16">
        <f t="shared" si="17"/>
        <v>9.2578023255813964</v>
      </c>
      <c r="AC49" s="14">
        <f>IFERROR([1]!Viscosity("CO2","TP","SI",AA49+273.15,AB49)/1000000,"N/A")</f>
        <v>2.3689977219113707E-5</v>
      </c>
      <c r="AD49" s="18">
        <f>IFERROR([1]!CP("CO2","TP","SI",AA49+273.15,AB49),"N/A")</f>
        <v>1.1755828533354702</v>
      </c>
      <c r="AE49" s="19">
        <f>IFERROR([1]!ThermalConductivity("CO2","TP","SI",AA49+273.15,AB49)/1000,"N/A")</f>
        <v>3.3925871524529333E-2</v>
      </c>
      <c r="AF49" s="16">
        <f>IFERROR([1]!Density("CO2","TP","SI",AA49+273.15,AB49),"N/A")</f>
        <v>118.09795066225385</v>
      </c>
      <c r="AG49" s="16">
        <f t="shared" si="18"/>
        <v>183.38023255813948</v>
      </c>
      <c r="AH49" s="16">
        <f t="shared" si="19"/>
        <v>8.8564069767441858</v>
      </c>
      <c r="AI49" s="14">
        <f>IFERROR([1]!Viscosity("CO2","TP","SI",AG49+273.15,AH49)/1000000,"N/A")</f>
        <v>2.3551660106921718E-5</v>
      </c>
      <c r="AJ49" s="20">
        <f>IFERROR([1]!CP("CO2","TP","SI",AG49+273.15,AH49),"N/A")</f>
        <v>1.1664476278962823</v>
      </c>
      <c r="AK49" s="21">
        <f>IFERROR([1]!ThermalConductivity("CO2","TP","SI",AG49+273.15,AH49)/1000,"N/A")</f>
        <v>3.3645642049206566E-2</v>
      </c>
      <c r="AL49" s="22">
        <f>IFERROR([1]!Density("CO2","TP","SI",AG49+273.15,AH49),"N/A")</f>
        <v>112.76745208785847</v>
      </c>
      <c r="AM49" s="51">
        <f t="shared" si="20"/>
        <v>22688.341943735064</v>
      </c>
      <c r="AN49" s="16">
        <f t="shared" si="21"/>
        <v>0.82089360606586059</v>
      </c>
      <c r="AO49" s="16">
        <f t="shared" si="22"/>
        <v>6526.5217724922941</v>
      </c>
      <c r="AP49" s="16">
        <f t="shared" si="23"/>
        <v>7.8861350279139195</v>
      </c>
      <c r="AQ49" s="51">
        <f t="shared" si="24"/>
        <v>23047.86332329037</v>
      </c>
      <c r="AR49" s="16">
        <f t="shared" si="25"/>
        <v>0.81650330894446943</v>
      </c>
      <c r="AS49" s="16">
        <f t="shared" si="26"/>
        <v>6973.5451382406118</v>
      </c>
      <c r="AT49" s="16">
        <f t="shared" si="27"/>
        <v>5.0786510892553371</v>
      </c>
      <c r="AU49" s="16">
        <f t="shared" si="28"/>
        <v>183.70639534883719</v>
      </c>
      <c r="AV49" s="16">
        <f t="shared" si="29"/>
        <v>86154.840138372398</v>
      </c>
      <c r="AW49" s="16">
        <f t="shared" si="30"/>
        <v>91295.48775689819</v>
      </c>
    </row>
    <row r="50" spans="3:49" ht="15.6" x14ac:dyDescent="0.25">
      <c r="C50" s="13">
        <v>46</v>
      </c>
      <c r="D50" s="14">
        <f t="shared" si="32"/>
        <v>0.182</v>
      </c>
      <c r="E50" s="14">
        <v>2.5699999999999998E-3</v>
      </c>
      <c r="F50" s="14">
        <v>5.9363999999999999E-4</v>
      </c>
      <c r="G50" s="14">
        <v>0.16346304</v>
      </c>
      <c r="H50" s="33">
        <v>0.14918280960648142</v>
      </c>
      <c r="I50" s="22">
        <v>200.62812499999993</v>
      </c>
      <c r="J50" s="22">
        <v>9.5456666666666639</v>
      </c>
      <c r="K50" s="22">
        <v>171.02187499999991</v>
      </c>
      <c r="L50" s="22">
        <v>9.3990833333333317</v>
      </c>
      <c r="M50" s="33">
        <v>0.15183592881944438</v>
      </c>
      <c r="N50" s="22">
        <v>167.77708333333331</v>
      </c>
      <c r="O50" s="22">
        <v>9.5213749999999973</v>
      </c>
      <c r="P50" s="22">
        <v>201.02708333333339</v>
      </c>
      <c r="Q50" s="22">
        <v>9.4281666666666659</v>
      </c>
      <c r="R50" s="16">
        <f>IFERROR([1]!Enthalpy("CO2","TP","SI",I50+273.15,J50),"N/A")</f>
        <v>634.77242830503371</v>
      </c>
      <c r="S50" s="16">
        <f>IFERROR([1]!Enthalpy("CO2","TP","SI",K50+273.15,L50),"N/A")</f>
        <v>600.42407395987368</v>
      </c>
      <c r="T50" s="16">
        <f t="shared" si="11"/>
        <v>5.1241840065699682</v>
      </c>
      <c r="U50" s="44">
        <f t="shared" si="12"/>
        <v>0.14658333333333218</v>
      </c>
      <c r="V50" s="16">
        <f>IFERROR([1]!Enthalpy("CO2","TP","SI",N50+273.15,O50),"N/A")</f>
        <v>596.00055921681758</v>
      </c>
      <c r="W50" s="16">
        <f>IFERROR([1]!Enthalpy("CO2","TP","SI",P50+273.15,Q50),"N/A")</f>
        <v>635.66289115346297</v>
      </c>
      <c r="X50" s="16">
        <f t="shared" si="13"/>
        <v>6.0221670087456642</v>
      </c>
      <c r="Y50" s="44">
        <f t="shared" si="14"/>
        <v>9.3208333333331339E-2</v>
      </c>
      <c r="Z50" s="17">
        <f t="shared" si="15"/>
        <v>0.17524409760155918</v>
      </c>
      <c r="AA50" s="16">
        <f t="shared" si="16"/>
        <v>185.82499999999993</v>
      </c>
      <c r="AB50" s="16">
        <f t="shared" si="17"/>
        <v>9.4723749999999978</v>
      </c>
      <c r="AC50" s="14">
        <f>IFERROR([1]!Viscosity("CO2","TP","SI",AA50+273.15,AB50)/1000000,"N/A")</f>
        <v>2.3815571140694426E-5</v>
      </c>
      <c r="AD50" s="18">
        <f>IFERROR([1]!CP("CO2","TP","SI",AA50+273.15,AB50),"N/A")</f>
        <v>1.1790237355278399</v>
      </c>
      <c r="AE50" s="19">
        <f>IFERROR([1]!ThermalConductivity("CO2","TP","SI",AA50+273.15,AB50)/1000,"N/A")</f>
        <v>3.4173639859540368E-2</v>
      </c>
      <c r="AF50" s="16">
        <f>IFERROR([1]!Density("CO2","TP","SI",AA50+273.15,AB50),"N/A")</f>
        <v>120.38844381021845</v>
      </c>
      <c r="AG50" s="16">
        <f t="shared" si="18"/>
        <v>184.40208333333334</v>
      </c>
      <c r="AH50" s="16">
        <f t="shared" si="19"/>
        <v>9.4747708333333307</v>
      </c>
      <c r="AI50" s="14">
        <f>IFERROR([1]!Viscosity("CO2","TP","SI",AG50+273.15,AH50)/1000000,"N/A")</f>
        <v>2.3767091225013334E-5</v>
      </c>
      <c r="AJ50" s="20">
        <f>IFERROR([1]!CP("CO2","TP","SI",AG50+273.15,AH50),"N/A")</f>
        <v>1.1804913640336352</v>
      </c>
      <c r="AK50" s="21">
        <f>IFERROR([1]!ThermalConductivity("CO2","TP","SI",AG50+273.15,AH50)/1000,"N/A")</f>
        <v>3.4080245477737262E-2</v>
      </c>
      <c r="AL50" s="22">
        <f>IFERROR([1]!Density("CO2","TP","SI",AG50+273.15,AH50),"N/A")</f>
        <v>120.97577702597617</v>
      </c>
      <c r="AM50" s="51">
        <f t="shared" si="20"/>
        <v>27118.630134185318</v>
      </c>
      <c r="AN50" s="16">
        <f t="shared" si="21"/>
        <v>0.82166031378105064</v>
      </c>
      <c r="AO50" s="16">
        <f t="shared" si="22"/>
        <v>3313.5807578668646</v>
      </c>
      <c r="AP50" s="16">
        <f t="shared" si="23"/>
        <v>7.8916873949497548</v>
      </c>
      <c r="AQ50" s="51">
        <f t="shared" si="24"/>
        <v>27657.217450574655</v>
      </c>
      <c r="AR50" s="16">
        <f t="shared" si="25"/>
        <v>0.82325832886549533</v>
      </c>
      <c r="AS50" s="16">
        <f t="shared" si="26"/>
        <v>3904.9381750028774</v>
      </c>
      <c r="AT50" s="16">
        <f t="shared" si="27"/>
        <v>4.8679051273830911</v>
      </c>
      <c r="AU50" s="16">
        <f t="shared" si="28"/>
        <v>185.11354166666663</v>
      </c>
      <c r="AV50" s="16">
        <f t="shared" si="29"/>
        <v>44061.134422118703</v>
      </c>
      <c r="AW50" s="16">
        <f t="shared" si="30"/>
        <v>51782.588163223896</v>
      </c>
    </row>
    <row r="51" spans="3:49" ht="15.6" x14ac:dyDescent="0.25">
      <c r="C51" s="13">
        <v>47</v>
      </c>
      <c r="D51" s="14">
        <f t="shared" si="32"/>
        <v>0.182</v>
      </c>
      <c r="E51" s="14">
        <v>2.5699999999999998E-3</v>
      </c>
      <c r="F51" s="14">
        <v>5.9363999999999999E-4</v>
      </c>
      <c r="G51" s="14">
        <v>0.16346304</v>
      </c>
      <c r="H51" s="33">
        <v>4.8453129340277783E-2</v>
      </c>
      <c r="I51" s="22">
        <v>217.57187500000003</v>
      </c>
      <c r="J51" s="22">
        <v>8.5460937499999989</v>
      </c>
      <c r="K51" s="22">
        <v>165.05312499999999</v>
      </c>
      <c r="L51" s="22">
        <v>8.5273593749999996</v>
      </c>
      <c r="M51" s="33">
        <v>5.0676757812499994E-2</v>
      </c>
      <c r="N51" s="22">
        <v>164.82187499999998</v>
      </c>
      <c r="O51" s="22">
        <v>9.1586874999999992</v>
      </c>
      <c r="P51" s="22">
        <v>209.84375000000003</v>
      </c>
      <c r="Q51" s="22">
        <v>9.1598124999999975</v>
      </c>
      <c r="R51" s="16">
        <f>IFERROR([1]!Enthalpy("CO2","TP","SI",I51+273.15,J51),"N/A")</f>
        <v>657.78455949746058</v>
      </c>
      <c r="S51" s="16">
        <f>IFERROR([1]!Enthalpy("CO2","TP","SI",K51+273.15,L51),"N/A")</f>
        <v>597.19554019898305</v>
      </c>
      <c r="T51" s="16">
        <f t="shared" si="11"/>
        <v>2.9357275886697183</v>
      </c>
      <c r="U51" s="44">
        <f t="shared" si="12"/>
        <v>1.8734374999999304E-2</v>
      </c>
      <c r="V51" s="16">
        <f>IFERROR([1]!Enthalpy("CO2","TP","SI",N51+273.15,O51),"N/A")</f>
        <v>594.07818350833963</v>
      </c>
      <c r="W51" s="16">
        <f>IFERROR([1]!Enthalpy("CO2","TP","SI",P51+273.15,Q51),"N/A")</f>
        <v>646.83964940446924</v>
      </c>
      <c r="X51" s="16">
        <f t="shared" si="13"/>
        <v>2.6737800290506382</v>
      </c>
      <c r="Y51" s="44">
        <f t="shared" si="14"/>
        <v>-1.1249999999982663E-3</v>
      </c>
      <c r="Z51" s="17">
        <f t="shared" si="15"/>
        <v>-8.9227474861786407E-2</v>
      </c>
      <c r="AA51" s="16">
        <f t="shared" si="16"/>
        <v>191.3125</v>
      </c>
      <c r="AB51" s="16">
        <f t="shared" si="17"/>
        <v>8.5367265625000002</v>
      </c>
      <c r="AC51" s="14">
        <f>IFERROR([1]!Viscosity("CO2","TP","SI",AA51+273.15,AB51)/1000000,"N/A")</f>
        <v>2.3752269227641373E-5</v>
      </c>
      <c r="AD51" s="18">
        <f>IFERROR([1]!CP("CO2","TP","SI",AA51+273.15,AB51),"N/A")</f>
        <v>1.153098139082944</v>
      </c>
      <c r="AE51" s="19">
        <f>IFERROR([1]!ThermalConductivity("CO2","TP","SI",AA51+273.15,AB51)/1000,"N/A")</f>
        <v>3.4015095969546931E-2</v>
      </c>
      <c r="AF51" s="16">
        <f>IFERROR([1]!Density("CO2","TP","SI",AA51+273.15,AB51),"N/A")</f>
        <v>105.73484077277097</v>
      </c>
      <c r="AG51" s="16">
        <f t="shared" si="18"/>
        <v>187.33281249999999</v>
      </c>
      <c r="AH51" s="16">
        <f t="shared" si="19"/>
        <v>9.1592499999999983</v>
      </c>
      <c r="AI51" s="14">
        <f>IFERROR([1]!Viscosity("CO2","TP","SI",AG51+273.15,AH51)/1000000,"N/A")</f>
        <v>2.3777510435008327E-5</v>
      </c>
      <c r="AJ51" s="20">
        <f>IFERROR([1]!CP("CO2","TP","SI",AG51+273.15,AH51),"N/A")</f>
        <v>1.1702319480467573</v>
      </c>
      <c r="AK51" s="21">
        <f>IFERROR([1]!ThermalConductivity("CO2","TP","SI",AG51+273.15,AH51)/1000,"N/A")</f>
        <v>3.4091013218807704E-2</v>
      </c>
      <c r="AL51" s="22">
        <f>IFERROR([1]!Density("CO2","TP","SI",AG51+273.15,AH51),"N/A")</f>
        <v>115.50989206585837</v>
      </c>
      <c r="AM51" s="51">
        <f t="shared" si="20"/>
        <v>8831.3417429030924</v>
      </c>
      <c r="AN51" s="16">
        <f t="shared" si="21"/>
        <v>0.80519242015106829</v>
      </c>
      <c r="AO51" s="16">
        <f t="shared" si="22"/>
        <v>681.92816827295985</v>
      </c>
      <c r="AP51" s="16">
        <f t="shared" si="23"/>
        <v>8.3975327501124895</v>
      </c>
      <c r="AQ51" s="51">
        <f t="shared" si="24"/>
        <v>9226.8276387517744</v>
      </c>
      <c r="AR51" s="16">
        <f t="shared" si="25"/>
        <v>0.81620344275103507</v>
      </c>
      <c r="AS51" s="16">
        <f t="shared" si="26"/>
        <v>619.69835403409354</v>
      </c>
      <c r="AT51" s="16">
        <f t="shared" si="27"/>
        <v>-0.50360739714191893</v>
      </c>
      <c r="AU51" s="16">
        <f t="shared" si="28"/>
        <v>189.32265624999999</v>
      </c>
      <c r="AV51" s="16">
        <f t="shared" si="29"/>
        <v>9025.6233806000309</v>
      </c>
      <c r="AW51" s="16">
        <f t="shared" si="30"/>
        <v>8220.2897972955889</v>
      </c>
    </row>
    <row r="52" spans="3:49" ht="15.6" x14ac:dyDescent="0.25">
      <c r="C52" s="13">
        <v>48</v>
      </c>
      <c r="D52" s="14">
        <f t="shared" si="32"/>
        <v>0.182</v>
      </c>
      <c r="E52" s="14">
        <v>2.5699999999999998E-3</v>
      </c>
      <c r="F52" s="14">
        <v>5.9363999999999999E-4</v>
      </c>
      <c r="G52" s="14">
        <v>0.16346304</v>
      </c>
      <c r="H52" s="33">
        <v>7.3812488888888902E-2</v>
      </c>
      <c r="I52" s="22">
        <v>230.21999999999991</v>
      </c>
      <c r="J52" s="22">
        <v>7.9255066666666654</v>
      </c>
      <c r="K52" s="22">
        <v>169.63466666666665</v>
      </c>
      <c r="L52" s="22">
        <v>7.8808533333333326</v>
      </c>
      <c r="M52" s="33">
        <v>7.5366933333333316E-2</v>
      </c>
      <c r="N52" s="22">
        <v>162.71333333333337</v>
      </c>
      <c r="O52" s="22">
        <v>9.2041866666666685</v>
      </c>
      <c r="P52" s="22">
        <v>220.27333333333337</v>
      </c>
      <c r="Q52" s="22">
        <v>9.1979466666666703</v>
      </c>
      <c r="R52" s="16">
        <f>IFERROR([1]!Enthalpy("CO2","TP","SI",I52+273.15,J52),"N/A")</f>
        <v>674.12803916160431</v>
      </c>
      <c r="S52" s="16">
        <f>IFERROR([1]!Enthalpy("CO2","TP","SI",K52+273.15,L52),"N/A")</f>
        <v>605.3909817366233</v>
      </c>
      <c r="T52" s="16">
        <f t="shared" si="11"/>
        <v>5.0736532874363292</v>
      </c>
      <c r="U52" s="44">
        <f t="shared" si="12"/>
        <v>4.4653333333332768E-2</v>
      </c>
      <c r="V52" s="16">
        <f>IFERROR([1]!Enthalpy("CO2","TP","SI",N52+273.15,O52),"N/A")</f>
        <v>591.34513678100518</v>
      </c>
      <c r="W52" s="16">
        <f>IFERROR([1]!Enthalpy("CO2","TP","SI",P52+273.15,Q52),"N/A")</f>
        <v>658.7413188620402</v>
      </c>
      <c r="X52" s="16">
        <f t="shared" si="13"/>
        <v>5.0794435618225595</v>
      </c>
      <c r="Y52" s="44">
        <f t="shared" si="14"/>
        <v>6.2399999999982469E-3</v>
      </c>
      <c r="Z52" s="17">
        <f t="shared" si="15"/>
        <v>1.1412436085391515E-3</v>
      </c>
      <c r="AA52" s="16">
        <f t="shared" si="16"/>
        <v>199.92733333333328</v>
      </c>
      <c r="AB52" s="16">
        <f t="shared" si="17"/>
        <v>7.903179999999999</v>
      </c>
      <c r="AC52" s="14">
        <f>IFERROR([1]!Viscosity("CO2","TP","SI",AA52+273.15,AB52)/1000000,"N/A")</f>
        <v>2.3918647707045744E-5</v>
      </c>
      <c r="AD52" s="18">
        <f>IFERROR([1]!CP("CO2","TP","SI",AA52+273.15,AB52),"N/A")</f>
        <v>1.135383128933249</v>
      </c>
      <c r="AE52" s="19">
        <f>IFERROR([1]!ThermalConductivity("CO2","TP","SI",AA52+273.15,AB52)/1000,"N/A")</f>
        <v>3.4296345463774545E-2</v>
      </c>
      <c r="AF52" s="16">
        <f>IFERROR([1]!Density("CO2","TP","SI",AA52+273.15,AB52),"N/A")</f>
        <v>94.921156421968917</v>
      </c>
      <c r="AG52" s="16">
        <f t="shared" si="18"/>
        <v>191.49333333333337</v>
      </c>
      <c r="AH52" s="16">
        <f t="shared" si="19"/>
        <v>9.2010666666666694</v>
      </c>
      <c r="AI52" s="14">
        <f>IFERROR([1]!Viscosity("CO2","TP","SI",AG52+273.15,AH52)/1000000,"N/A")</f>
        <v>2.3936333825785241E-5</v>
      </c>
      <c r="AJ52" s="20">
        <f>IFERROR([1]!CP("CO2","TP","SI",AG52+273.15,AH52),"N/A")</f>
        <v>1.167755895757792</v>
      </c>
      <c r="AK52" s="21">
        <f>IFERROR([1]!ThermalConductivity("CO2","TP","SI",AG52+273.15,AH52)/1000,"N/A")</f>
        <v>3.4398406050108653E-2</v>
      </c>
      <c r="AL52" s="22">
        <f>IFERROR([1]!Density("CO2","TP","SI",AG52+273.15,AH52),"N/A")</f>
        <v>114.58290536161417</v>
      </c>
      <c r="AM52" s="51">
        <f t="shared" si="20"/>
        <v>13359.899595718258</v>
      </c>
      <c r="AN52" s="16">
        <f t="shared" si="21"/>
        <v>0.79182865422679016</v>
      </c>
      <c r="AO52" s="16">
        <f t="shared" si="22"/>
        <v>551.54746361283992</v>
      </c>
      <c r="AP52" s="16">
        <f t="shared" si="23"/>
        <v>7.7427502232136423</v>
      </c>
      <c r="AQ52" s="51">
        <f t="shared" si="24"/>
        <v>13631.171381547238</v>
      </c>
      <c r="AR52" s="16">
        <f t="shared" si="25"/>
        <v>0.8125898306790611</v>
      </c>
      <c r="AS52" s="16">
        <f t="shared" si="26"/>
        <v>550.53859645140165</v>
      </c>
      <c r="AT52" s="16">
        <f t="shared" si="27"/>
        <v>1.2527972026709631</v>
      </c>
      <c r="AU52" s="16">
        <f t="shared" si="28"/>
        <v>195.71033333333332</v>
      </c>
      <c r="AV52" s="16">
        <f t="shared" si="29"/>
        <v>7360.3355454220155</v>
      </c>
      <c r="AW52" s="16">
        <f t="shared" si="30"/>
        <v>7368.7354813199318</v>
      </c>
    </row>
    <row r="53" spans="3:49" ht="15.6" x14ac:dyDescent="0.25">
      <c r="C53" s="13">
        <v>49</v>
      </c>
      <c r="D53" s="14">
        <f t="shared" si="32"/>
        <v>0.182</v>
      </c>
      <c r="E53" s="14">
        <v>2.5699999999999998E-3</v>
      </c>
      <c r="F53" s="14">
        <v>5.9363999999999999E-4</v>
      </c>
      <c r="G53" s="14">
        <v>0.16346304</v>
      </c>
      <c r="H53" s="33">
        <v>9.8468294871794843E-2</v>
      </c>
      <c r="I53" s="22">
        <v>238.87846153846155</v>
      </c>
      <c r="J53" s="22">
        <v>8.4871846153846136</v>
      </c>
      <c r="K53" s="22">
        <v>171.10769230769242</v>
      </c>
      <c r="L53" s="22">
        <v>8.4100615384615409</v>
      </c>
      <c r="M53" s="33">
        <v>0.10098074358974359</v>
      </c>
      <c r="N53" s="22">
        <v>155.83692307692311</v>
      </c>
      <c r="O53" s="22">
        <v>8.5370769230769223</v>
      </c>
      <c r="P53" s="22">
        <v>226.10923076923081</v>
      </c>
      <c r="Q53" s="22">
        <v>8.5039076923076937</v>
      </c>
      <c r="R53" s="16">
        <f>IFERROR([1]!Enthalpy("CO2","TP","SI",I53+273.15,J53),"N/A")</f>
        <v>682.22416254713971</v>
      </c>
      <c r="S53" s="16">
        <f>IFERROR([1]!Enthalpy("CO2","TP","SI",K53+273.15,L53),"N/A")</f>
        <v>604.80515468311251</v>
      </c>
      <c r="T53" s="16">
        <f t="shared" si="11"/>
        <v>7.6233176950368353</v>
      </c>
      <c r="U53" s="44">
        <f t="shared" si="12"/>
        <v>7.7123076923072631E-2</v>
      </c>
      <c r="V53" s="16">
        <f>IFERROR([1]!Enthalpy("CO2","TP","SI",N53+273.15,O53),"N/A")</f>
        <v>586.24850266524732</v>
      </c>
      <c r="W53" s="16">
        <f>IFERROR([1]!Enthalpy("CO2","TP","SI",P53+273.15,Q53),"N/A")</f>
        <v>667.65209360185008</v>
      </c>
      <c r="X53" s="16">
        <f t="shared" si="13"/>
        <v>8.2201951436534593</v>
      </c>
      <c r="Y53" s="44">
        <f t="shared" si="14"/>
        <v>3.3169230769228619E-2</v>
      </c>
      <c r="Z53" s="17">
        <f t="shared" si="15"/>
        <v>7.8296284176274239E-2</v>
      </c>
      <c r="AA53" s="16">
        <f t="shared" si="16"/>
        <v>204.99307692307698</v>
      </c>
      <c r="AB53" s="16">
        <f t="shared" si="17"/>
        <v>8.4486230769230772</v>
      </c>
      <c r="AC53" s="14">
        <f>IFERROR([1]!Viscosity("CO2","TP","SI",AA53+273.15,AB53)/1000000,"N/A")</f>
        <v>2.4233478844611745E-5</v>
      </c>
      <c r="AD53" s="18">
        <f>IFERROR([1]!CP("CO2","TP","SI",AA53+273.15,AB53),"N/A")</f>
        <v>1.1440485433349374</v>
      </c>
      <c r="AE53" s="19">
        <f>IFERROR([1]!ThermalConductivity("CO2","TP","SI",AA53+273.15,AB53)/1000,"N/A")</f>
        <v>3.4937373377262618E-2</v>
      </c>
      <c r="AF53" s="16">
        <f>IFERROR([1]!Density("CO2","TP","SI",AA53+273.15,AB53),"N/A")</f>
        <v>100.46168784873352</v>
      </c>
      <c r="AG53" s="16">
        <f t="shared" si="18"/>
        <v>190.97307692307697</v>
      </c>
      <c r="AH53" s="16">
        <f t="shared" si="19"/>
        <v>8.520492307692308</v>
      </c>
      <c r="AI53" s="14">
        <f>IFERROR([1]!Viscosity("CO2","TP","SI",AG53+273.15,AH53)/1000000,"N/A")</f>
        <v>2.3735684200595556E-5</v>
      </c>
      <c r="AJ53" s="20">
        <f>IFERROR([1]!CP("CO2","TP","SI",AG53+273.15,AH53),"N/A")</f>
        <v>1.1529569905681787</v>
      </c>
      <c r="AK53" s="21">
        <f>IFERROR([1]!ThermalConductivity("CO2","TP","SI",AG53+273.15,AH53)/1000,"N/A")</f>
        <v>3.3982396341298723E-2</v>
      </c>
      <c r="AL53" s="22">
        <f>IFERROR([1]!Density("CO2","TP","SI",AG53+273.15,AH53),"N/A")</f>
        <v>105.6265655319684</v>
      </c>
      <c r="AM53" s="51">
        <f t="shared" si="20"/>
        <v>17591.003723824211</v>
      </c>
      <c r="AN53" s="16">
        <f t="shared" si="21"/>
        <v>0.79354208665724024</v>
      </c>
      <c r="AO53" s="16">
        <f t="shared" si="22"/>
        <v>489.38347638622122</v>
      </c>
      <c r="AP53" s="16">
        <f t="shared" si="23"/>
        <v>7.9529825070746858</v>
      </c>
      <c r="AQ53" s="51">
        <f t="shared" si="24"/>
        <v>18418.182679079149</v>
      </c>
      <c r="AR53" s="16">
        <f t="shared" si="25"/>
        <v>0.80530586336953558</v>
      </c>
      <c r="AS53" s="16">
        <f t="shared" si="26"/>
        <v>542.5298783028403</v>
      </c>
      <c r="AT53" s="16">
        <f t="shared" si="27"/>
        <v>3.4195540590957885</v>
      </c>
      <c r="AU53" s="16">
        <f t="shared" si="28"/>
        <v>197.98307692307696</v>
      </c>
      <c r="AV53" s="16">
        <f t="shared" si="29"/>
        <v>6652.8300541510489</v>
      </c>
      <c r="AW53" s="16">
        <f t="shared" si="30"/>
        <v>7173.7219266473476</v>
      </c>
    </row>
    <row r="54" spans="3:49" ht="15.6" x14ac:dyDescent="0.25">
      <c r="C54" s="13">
        <v>50</v>
      </c>
      <c r="D54" s="14">
        <f t="shared" si="32"/>
        <v>0.182</v>
      </c>
      <c r="E54" s="14">
        <v>2.5699999999999998E-3</v>
      </c>
      <c r="F54" s="14">
        <v>5.9363999999999999E-4</v>
      </c>
      <c r="G54" s="14">
        <v>0.16346304</v>
      </c>
      <c r="H54" s="33">
        <v>0.12366313200815496</v>
      </c>
      <c r="I54" s="22">
        <v>240.78715596330267</v>
      </c>
      <c r="J54" s="22">
        <v>9.0173669724770633</v>
      </c>
      <c r="K54" s="22">
        <v>174.33944954128441</v>
      </c>
      <c r="L54" s="22">
        <v>8.9020825688073355</v>
      </c>
      <c r="M54" s="33">
        <v>0.12568127420998981</v>
      </c>
      <c r="N54" s="22">
        <v>158.37798165137613</v>
      </c>
      <c r="O54" s="22">
        <v>9.1405045871559665</v>
      </c>
      <c r="P54" s="22">
        <v>228.21926605504589</v>
      </c>
      <c r="Q54" s="22">
        <v>9.0816880733944938</v>
      </c>
      <c r="R54" s="16">
        <f>IFERROR([1]!Enthalpy("CO2","TP","SI",I54+273.15,J54),"N/A")</f>
        <v>682.832478192297</v>
      </c>
      <c r="S54" s="16">
        <f>IFERROR([1]!Enthalpy("CO2","TP","SI",K54+273.15,L54),"N/A")</f>
        <v>606.48579606200553</v>
      </c>
      <c r="T54" s="16">
        <f t="shared" si="11"/>
        <v>9.4412698306628791</v>
      </c>
      <c r="U54" s="44">
        <f t="shared" si="12"/>
        <v>0.11528440366972781</v>
      </c>
      <c r="V54" s="16">
        <f>IFERROR([1]!Enthalpy("CO2","TP","SI",N54+273.15,O54),"N/A")</f>
        <v>586.42602602749628</v>
      </c>
      <c r="W54" s="16">
        <f>IFERROR([1]!Enthalpy("CO2","TP","SI",P54+273.15,Q54),"N/A")</f>
        <v>668.24458411934165</v>
      </c>
      <c r="X54" s="16">
        <f t="shared" si="13"/>
        <v>10.2830606350072</v>
      </c>
      <c r="Y54" s="44">
        <f t="shared" si="14"/>
        <v>5.8816513761472677E-2</v>
      </c>
      <c r="Z54" s="17">
        <f t="shared" si="15"/>
        <v>8.9160761152106346E-2</v>
      </c>
      <c r="AA54" s="16">
        <f t="shared" si="16"/>
        <v>207.56330275229354</v>
      </c>
      <c r="AB54" s="16">
        <f t="shared" si="17"/>
        <v>8.9597247706422003</v>
      </c>
      <c r="AC54" s="14">
        <f>IFERROR([1]!Viscosity("CO2","TP","SI",AA54+273.15,AB54)/1000000,"N/A")</f>
        <v>2.4450083115928207E-5</v>
      </c>
      <c r="AD54" s="18">
        <f>IFERROR([1]!CP("CO2","TP","SI",AA54+273.15,AB54),"N/A")</f>
        <v>1.1526913878448333</v>
      </c>
      <c r="AE54" s="19">
        <f>IFERROR([1]!ThermalConductivity("CO2","TP","SI",AA54+273.15,AB54)/1000,"N/A")</f>
        <v>3.5382472715567645E-2</v>
      </c>
      <c r="AF54" s="16">
        <f>IFERROR([1]!Density("CO2","TP","SI",AA54+273.15,AB54),"N/A")</f>
        <v>106.17236265443151</v>
      </c>
      <c r="AG54" s="16">
        <f t="shared" si="18"/>
        <v>193.29862385321101</v>
      </c>
      <c r="AH54" s="16">
        <f t="shared" si="19"/>
        <v>9.111096330275231</v>
      </c>
      <c r="AI54" s="14">
        <f>IFERROR([1]!Viscosity("CO2","TP","SI",AG54+273.15,AH54)/1000000,"N/A")</f>
        <v>2.3975798723441993E-5</v>
      </c>
      <c r="AJ54" s="20">
        <f>IFERROR([1]!CP("CO2","TP","SI",AG54+273.15,AH54),"N/A")</f>
        <v>1.1643846442921388</v>
      </c>
      <c r="AK54" s="21">
        <f>IFERROR([1]!ThermalConductivity("CO2","TP","SI",AG54+273.15,AH54)/1000,"N/A")</f>
        <v>3.4471257040986546E-2</v>
      </c>
      <c r="AL54" s="22">
        <f>IFERROR([1]!Density("CO2","TP","SI",AG54+273.15,AH54),"N/A")</f>
        <v>112.74484437995619</v>
      </c>
      <c r="AM54" s="51">
        <f t="shared" si="20"/>
        <v>21896.256341700286</v>
      </c>
      <c r="AN54" s="16">
        <f t="shared" si="21"/>
        <v>0.79653563125396343</v>
      </c>
      <c r="AO54" s="16">
        <f t="shared" si="22"/>
        <v>588.19831624391816</v>
      </c>
      <c r="AP54" s="16">
        <f t="shared" si="23"/>
        <v>7.9659871185554421</v>
      </c>
      <c r="AQ54" s="51">
        <f t="shared" si="24"/>
        <v>22693.812272699684</v>
      </c>
      <c r="AR54" s="16">
        <f t="shared" si="25"/>
        <v>0.80986463113374041</v>
      </c>
      <c r="AS54" s="16">
        <f t="shared" si="26"/>
        <v>657.57731618581329</v>
      </c>
      <c r="AT54" s="16">
        <f t="shared" si="27"/>
        <v>4.1782350126744445</v>
      </c>
      <c r="AU54" s="16">
        <f t="shared" si="28"/>
        <v>200.43096330275228</v>
      </c>
      <c r="AV54" s="16">
        <f t="shared" si="29"/>
        <v>8098.0197960479636</v>
      </c>
      <c r="AW54" s="16">
        <f t="shared" si="30"/>
        <v>8820.0454048884258</v>
      </c>
    </row>
    <row r="55" spans="3:49" ht="15.6" x14ac:dyDescent="0.25">
      <c r="C55" s="13">
        <v>51</v>
      </c>
      <c r="D55" s="14">
        <f t="shared" si="32"/>
        <v>0.182</v>
      </c>
      <c r="E55" s="14">
        <v>2.5699999999999998E-3</v>
      </c>
      <c r="F55" s="14">
        <v>5.9363999999999999E-4</v>
      </c>
      <c r="G55" s="14">
        <v>0.16346304</v>
      </c>
      <c r="H55" s="33">
        <v>0.14907571568627445</v>
      </c>
      <c r="I55" s="22">
        <v>212.1658823529412</v>
      </c>
      <c r="J55" s="22">
        <v>9.3138705882352966</v>
      </c>
      <c r="K55" s="22">
        <v>170.51411764705875</v>
      </c>
      <c r="L55" s="22">
        <v>9.1590235294117672</v>
      </c>
      <c r="M55" s="33">
        <v>0.15188456209150325</v>
      </c>
      <c r="N55" s="22">
        <v>162.4670588235295</v>
      </c>
      <c r="O55" s="22">
        <v>9.6107764705882399</v>
      </c>
      <c r="P55" s="22">
        <v>207.64117647058825</v>
      </c>
      <c r="Q55" s="22">
        <v>9.52262352941176</v>
      </c>
      <c r="R55" s="16">
        <f>IFERROR([1]!Enthalpy("CO2","TP","SI",I55+273.15,J55),"N/A")</f>
        <v>648.99765324992063</v>
      </c>
      <c r="S55" s="16">
        <f>IFERROR([1]!Enthalpy("CO2","TP","SI",K55+273.15,L55),"N/A")</f>
        <v>600.86103169749254</v>
      </c>
      <c r="T55" s="16">
        <f t="shared" si="11"/>
        <v>7.176001308647562</v>
      </c>
      <c r="U55" s="44">
        <f t="shared" si="12"/>
        <v>0.15484705882352934</v>
      </c>
      <c r="V55" s="16">
        <f>IFERROR([1]!Enthalpy("CO2","TP","SI",N55+273.15,O55),"N/A")</f>
        <v>589.18387684263405</v>
      </c>
      <c r="W55" s="16">
        <f>IFERROR([1]!Enthalpy("CO2","TP","SI",P55+273.15,Q55),"N/A")</f>
        <v>643.03021795057771</v>
      </c>
      <c r="X55" s="16">
        <f t="shared" si="13"/>
        <v>8.1784279394097332</v>
      </c>
      <c r="Y55" s="44">
        <f t="shared" si="14"/>
        <v>8.8152941176479871E-2</v>
      </c>
      <c r="Z55" s="17">
        <f t="shared" si="15"/>
        <v>0.13969153399598463</v>
      </c>
      <c r="AA55" s="16">
        <f t="shared" si="16"/>
        <v>191.33999999999997</v>
      </c>
      <c r="AB55" s="16">
        <f t="shared" si="17"/>
        <v>9.2364470588235328</v>
      </c>
      <c r="AC55" s="14">
        <f>IFERROR([1]!Viscosity("CO2","TP","SI",AA55+273.15,AB55)/1000000,"N/A")</f>
        <v>2.3940737915995972E-5</v>
      </c>
      <c r="AD55" s="18">
        <f>IFERROR([1]!CP("CO2","TP","SI",AA55+273.15,AB55),"N/A")</f>
        <v>1.1686715785430122</v>
      </c>
      <c r="AE55" s="19">
        <f>IFERROR([1]!ThermalConductivity("CO2","TP","SI",AA55+273.15,AB55)/1000,"N/A")</f>
        <v>3.4408109809284541E-2</v>
      </c>
      <c r="AF55" s="16">
        <f>IFERROR([1]!Density("CO2","TP","SI",AA55+273.15,AB55),"N/A")</f>
        <v>115.11439594516881</v>
      </c>
      <c r="AG55" s="16">
        <f t="shared" si="18"/>
        <v>185.05411764705889</v>
      </c>
      <c r="AH55" s="16">
        <f t="shared" si="19"/>
        <v>9.5667000000000009</v>
      </c>
      <c r="AI55" s="14">
        <f>IFERROR([1]!Viscosity("CO2","TP","SI",AG55+273.15,AH55)/1000000,"N/A")</f>
        <v>2.3817157442269111E-5</v>
      </c>
      <c r="AJ55" s="20">
        <f>IFERROR([1]!CP("CO2","TP","SI",AG55+273.15,AH55),"N/A")</f>
        <v>1.1820608953807674</v>
      </c>
      <c r="AK55" s="21">
        <f>IFERROR([1]!ThermalConductivity("CO2","TP","SI",AG55+273.15,AH55)/1000,"N/A")</f>
        <v>3.4178862572359019E-2</v>
      </c>
      <c r="AL55" s="22">
        <f>IFERROR([1]!Density("CO2","TP","SI",AG55+273.15,AH55),"N/A")</f>
        <v>121.99938357551622</v>
      </c>
      <c r="AM55" s="51">
        <f t="shared" si="20"/>
        <v>26957.482847453291</v>
      </c>
      <c r="AN55" s="16">
        <f t="shared" si="21"/>
        <v>0.81314725298341883</v>
      </c>
      <c r="AO55" s="16">
        <f t="shared" si="22"/>
        <v>1043.2754618760409</v>
      </c>
      <c r="AP55" s="16">
        <f t="shared" si="23"/>
        <v>7.982829204866154</v>
      </c>
      <c r="AQ55" s="51">
        <f t="shared" si="24"/>
        <v>27607.919041405559</v>
      </c>
      <c r="AR55" s="16">
        <f t="shared" si="25"/>
        <v>0.82370589109075198</v>
      </c>
      <c r="AS55" s="16">
        <f t="shared" si="26"/>
        <v>1196.9872505894464</v>
      </c>
      <c r="AT55" s="16">
        <f t="shared" si="27"/>
        <v>4.6398636713219927</v>
      </c>
      <c r="AU55" s="16">
        <f t="shared" si="28"/>
        <v>188.19705882352943</v>
      </c>
      <c r="AV55" s="16">
        <f t="shared" si="29"/>
        <v>13967.757452748197</v>
      </c>
      <c r="AW55" s="16">
        <f t="shared" si="30"/>
        <v>15918.93491780644</v>
      </c>
    </row>
    <row r="58" spans="3:49" x14ac:dyDescent="0.25">
      <c r="Z58" s="42"/>
    </row>
  </sheetData>
  <mergeCells count="9">
    <mergeCell ref="AA3:AF3"/>
    <mergeCell ref="AG3:AL3"/>
    <mergeCell ref="E3:G3"/>
    <mergeCell ref="AM3:AP3"/>
    <mergeCell ref="AQ3:AT3"/>
    <mergeCell ref="H3:L3"/>
    <mergeCell ref="M3:Q3"/>
    <mergeCell ref="R3:U3"/>
    <mergeCell ref="V3:Y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F8A58-FE5A-4545-9BD1-C6F3A7E64318}">
  <dimension ref="B2:AV54"/>
  <sheetViews>
    <sheetView tabSelected="1" workbookViewId="0">
      <selection activeCell="I17" sqref="I17"/>
    </sheetView>
  </sheetViews>
  <sheetFormatPr defaultRowHeight="13.8" x14ac:dyDescent="0.25"/>
  <sheetData>
    <row r="2" spans="2:48" x14ac:dyDescent="0.25">
      <c r="D2" t="s">
        <v>42</v>
      </c>
      <c r="G2" t="s">
        <v>43</v>
      </c>
      <c r="L2" t="s">
        <v>44</v>
      </c>
      <c r="Q2" t="s">
        <v>45</v>
      </c>
      <c r="U2" t="s">
        <v>46</v>
      </c>
      <c r="Z2" t="s">
        <v>47</v>
      </c>
      <c r="AF2" t="s">
        <v>48</v>
      </c>
      <c r="AL2" t="s">
        <v>49</v>
      </c>
      <c r="AP2" t="s">
        <v>50</v>
      </c>
    </row>
    <row r="3" spans="2:48" x14ac:dyDescent="0.25"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56</v>
      </c>
      <c r="N3" t="s">
        <v>57</v>
      </c>
      <c r="O3" t="s">
        <v>58</v>
      </c>
      <c r="P3" t="s">
        <v>59</v>
      </c>
      <c r="Q3" t="s">
        <v>61</v>
      </c>
      <c r="R3" t="s">
        <v>62</v>
      </c>
      <c r="S3" t="s">
        <v>63</v>
      </c>
      <c r="T3" t="s">
        <v>64</v>
      </c>
      <c r="U3" t="s">
        <v>61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67</v>
      </c>
      <c r="AB3" t="s">
        <v>68</v>
      </c>
      <c r="AC3" t="s">
        <v>69</v>
      </c>
      <c r="AD3" t="s">
        <v>70</v>
      </c>
      <c r="AE3" t="s">
        <v>71</v>
      </c>
      <c r="AF3" t="s">
        <v>66</v>
      </c>
      <c r="AG3" t="s">
        <v>67</v>
      </c>
      <c r="AH3" t="s">
        <v>68</v>
      </c>
      <c r="AI3" t="s">
        <v>69</v>
      </c>
      <c r="AJ3" t="s">
        <v>70</v>
      </c>
      <c r="AK3" t="s">
        <v>71</v>
      </c>
      <c r="AL3" t="s">
        <v>0</v>
      </c>
      <c r="AM3" t="s">
        <v>2</v>
      </c>
      <c r="AN3" t="s">
        <v>4</v>
      </c>
      <c r="AO3" t="s">
        <v>6</v>
      </c>
      <c r="AP3" t="s">
        <v>0</v>
      </c>
      <c r="AQ3" t="s">
        <v>2</v>
      </c>
      <c r="AR3" t="s">
        <v>4</v>
      </c>
      <c r="AS3" t="s">
        <v>6</v>
      </c>
      <c r="AT3" t="s">
        <v>72</v>
      </c>
      <c r="AU3" t="s">
        <v>73</v>
      </c>
      <c r="AV3" t="s">
        <v>73</v>
      </c>
    </row>
    <row r="4" spans="2:48" x14ac:dyDescent="0.25">
      <c r="B4">
        <v>1</v>
      </c>
      <c r="C4">
        <v>0.182</v>
      </c>
      <c r="D4">
        <v>2.5699999999999998E-3</v>
      </c>
      <c r="E4">
        <v>5.9363999999999999E-4</v>
      </c>
      <c r="F4">
        <v>0.16346304</v>
      </c>
      <c r="G4">
        <v>4.8445133333333355E-2</v>
      </c>
      <c r="H4">
        <v>130.40133333333327</v>
      </c>
      <c r="I4">
        <v>8.8993066666666643</v>
      </c>
      <c r="J4">
        <v>102.05999999999997</v>
      </c>
      <c r="K4">
        <v>8.8837866666666656</v>
      </c>
      <c r="L4">
        <v>5.0528951851851849E-2</v>
      </c>
      <c r="M4">
        <v>101.15066666666665</v>
      </c>
      <c r="N4">
        <v>8.870613333333333</v>
      </c>
      <c r="O4">
        <v>126.96666666666664</v>
      </c>
      <c r="P4">
        <v>8.8689733333333329</v>
      </c>
      <c r="Q4">
        <v>553.2676344999843</v>
      </c>
      <c r="R4">
        <v>515.95517827809431</v>
      </c>
      <c r="S4">
        <v>1.8076069166636242</v>
      </c>
      <c r="T4">
        <v>1.5519999999998646E-2</v>
      </c>
      <c r="U4">
        <v>514.78347037345748</v>
      </c>
      <c r="V4">
        <v>549.09776815143459</v>
      </c>
      <c r="W4">
        <v>1.7338655002535126</v>
      </c>
      <c r="X4">
        <v>1.6400000000000858E-3</v>
      </c>
      <c r="Y4">
        <v>-4.0795051031459417E-2</v>
      </c>
      <c r="Z4">
        <v>116.23066666666662</v>
      </c>
      <c r="AA4">
        <v>8.8915466666666649</v>
      </c>
      <c r="AB4">
        <v>2.1382190102958494E-5</v>
      </c>
      <c r="AC4">
        <v>1.315654471571625</v>
      </c>
      <c r="AD4">
        <v>3.001877518009792E-2</v>
      </c>
      <c r="AE4">
        <v>147.70399421686398</v>
      </c>
      <c r="AF4">
        <v>114.05866666666665</v>
      </c>
      <c r="AG4">
        <v>8.8697933333333339</v>
      </c>
      <c r="AH4">
        <v>2.1314224278901203E-5</v>
      </c>
      <c r="AI4">
        <v>1.3246653955789733</v>
      </c>
      <c r="AJ4">
        <v>2.9919158123203001E-2</v>
      </c>
      <c r="AK4">
        <v>148.91131243527295</v>
      </c>
      <c r="AL4">
        <v>9808.6205955004625</v>
      </c>
      <c r="AM4">
        <v>0.93713263956228221</v>
      </c>
      <c r="AN4">
        <v>871.75561391921383</v>
      </c>
      <c r="AO4">
        <v>9.7212405406532909</v>
      </c>
      <c r="AP4">
        <v>10263.151153011837</v>
      </c>
      <c r="AQ4">
        <v>0.94368348265699797</v>
      </c>
      <c r="AR4">
        <v>838.97643551738327</v>
      </c>
      <c r="AS4">
        <v>0.95198258585426676</v>
      </c>
      <c r="AT4">
        <v>115.14466666666664</v>
      </c>
      <c r="AU4">
        <v>10182.504196976312</v>
      </c>
      <c r="AV4">
        <v>9767.1084186326134</v>
      </c>
    </row>
    <row r="5" spans="2:48" x14ac:dyDescent="0.25">
      <c r="B5">
        <v>2</v>
      </c>
      <c r="C5">
        <v>0.182</v>
      </c>
      <c r="D5">
        <v>2.5699999999999998E-3</v>
      </c>
      <c r="E5">
        <v>5.9363999999999999E-4</v>
      </c>
      <c r="F5">
        <v>0.16346304</v>
      </c>
      <c r="G5">
        <v>7.3929089052287608E-2</v>
      </c>
      <c r="H5">
        <v>140.70441176470584</v>
      </c>
      <c r="I5">
        <v>9.276397058823532</v>
      </c>
      <c r="J5">
        <v>105.86176470588236</v>
      </c>
      <c r="K5">
        <v>9.2493970588235328</v>
      </c>
      <c r="L5">
        <v>7.537820669934639E-2</v>
      </c>
      <c r="M5">
        <v>100.88382352941179</v>
      </c>
      <c r="N5">
        <v>9.1512058823529419</v>
      </c>
      <c r="O5">
        <v>135.26323529411764</v>
      </c>
      <c r="P5">
        <v>9.1404264705882348</v>
      </c>
      <c r="Q5">
        <v>564.08474410292922</v>
      </c>
      <c r="R5">
        <v>518.51660681853525</v>
      </c>
      <c r="S5">
        <v>3.3688108792448288</v>
      </c>
      <c r="T5">
        <v>2.6999999999999247E-2</v>
      </c>
      <c r="U5">
        <v>512.21931457550431</v>
      </c>
      <c r="V5">
        <v>558.01332675835363</v>
      </c>
      <c r="W5">
        <v>3.4518705159112022</v>
      </c>
      <c r="X5">
        <v>1.0779411764707092E-2</v>
      </c>
      <c r="Y5">
        <v>2.4655476262589279E-2</v>
      </c>
      <c r="Z5">
        <v>123.2830882352941</v>
      </c>
      <c r="AA5">
        <v>9.2628970588235333</v>
      </c>
      <c r="AB5">
        <v>2.1756484535634176E-5</v>
      </c>
      <c r="AC5">
        <v>1.3067536125871708</v>
      </c>
      <c r="AD5">
        <v>3.0674240600787897E-2</v>
      </c>
      <c r="AE5">
        <v>149.86575160132179</v>
      </c>
      <c r="AF5">
        <v>118.07352941176471</v>
      </c>
      <c r="AG5">
        <v>9.1458161764705892</v>
      </c>
      <c r="AH5">
        <v>2.1561696444258779E-5</v>
      </c>
      <c r="AI5">
        <v>1.3230425503224705</v>
      </c>
      <c r="AJ5">
        <v>3.0361952522410474E-2</v>
      </c>
      <c r="AK5">
        <v>151.45009695974016</v>
      </c>
      <c r="AL5">
        <v>14710.81044494651</v>
      </c>
      <c r="AM5">
        <v>0.92684820250795752</v>
      </c>
      <c r="AN5">
        <v>662.89602150161124</v>
      </c>
      <c r="AO5">
        <v>7.3684050969827268</v>
      </c>
      <c r="AP5">
        <v>15134.665975164227</v>
      </c>
      <c r="AQ5">
        <v>0.93956545883651499</v>
      </c>
      <c r="AR5">
        <v>686.22636686727799</v>
      </c>
      <c r="AS5">
        <v>2.8596379989359648</v>
      </c>
      <c r="AT5">
        <v>120.67830882352941</v>
      </c>
      <c r="AU5">
        <v>7911.9969092784022</v>
      </c>
      <c r="AV5">
        <v>8107.0709612647961</v>
      </c>
    </row>
    <row r="6" spans="2:48" x14ac:dyDescent="0.25">
      <c r="B6">
        <v>3</v>
      </c>
      <c r="C6">
        <v>0.182</v>
      </c>
      <c r="D6">
        <v>2.5699999999999998E-3</v>
      </c>
      <c r="E6">
        <v>5.9363999999999999E-4</v>
      </c>
      <c r="F6">
        <v>0.16346304</v>
      </c>
      <c r="G6">
        <v>9.8777632850241534E-2</v>
      </c>
      <c r="H6">
        <v>130.1282608695652</v>
      </c>
      <c r="I6">
        <v>9.4499347826086932</v>
      </c>
      <c r="J6">
        <v>103.6152173913043</v>
      </c>
      <c r="K6">
        <v>9.4028695652173901</v>
      </c>
      <c r="L6">
        <v>0.10150222222222219</v>
      </c>
      <c r="M6">
        <v>99.815217391304344</v>
      </c>
      <c r="N6">
        <v>9.3730217391304329</v>
      </c>
      <c r="O6">
        <v>127.87173913043478</v>
      </c>
      <c r="P6">
        <v>9.3453913043478263</v>
      </c>
      <c r="Q6">
        <v>549.6962752308209</v>
      </c>
      <c r="R6">
        <v>514.17885210685506</v>
      </c>
      <c r="S6">
        <v>3.5083269811257765</v>
      </c>
      <c r="T6">
        <v>4.7065217391303094E-2</v>
      </c>
      <c r="U6">
        <v>508.91892963196528</v>
      </c>
      <c r="V6">
        <v>547.40275286463873</v>
      </c>
      <c r="W6">
        <v>3.906193577723537</v>
      </c>
      <c r="X6">
        <v>2.7630434782606628E-2</v>
      </c>
      <c r="Y6">
        <v>0.11340636113401562</v>
      </c>
      <c r="Z6">
        <v>116.87173913043475</v>
      </c>
      <c r="AA6">
        <v>9.4264021739130417</v>
      </c>
      <c r="AB6">
        <v>2.1683733724410089E-5</v>
      </c>
      <c r="AC6">
        <v>1.3470253866661566</v>
      </c>
      <c r="AD6">
        <v>3.064042554554372E-2</v>
      </c>
      <c r="AE6">
        <v>158.14692874981719</v>
      </c>
      <c r="AF6">
        <v>113.84347826086956</v>
      </c>
      <c r="AG6">
        <v>9.3592065217391287</v>
      </c>
      <c r="AH6">
        <v>2.1577338018118273E-5</v>
      </c>
      <c r="AI6">
        <v>1.359055107302424</v>
      </c>
      <c r="AJ6">
        <v>3.0479761020811725E-2</v>
      </c>
      <c r="AK6">
        <v>159.30333054529649</v>
      </c>
      <c r="AL6">
        <v>19721.25350519393</v>
      </c>
      <c r="AM6">
        <v>0.95326808568876131</v>
      </c>
      <c r="AN6">
        <v>1188.9279412476324</v>
      </c>
      <c r="AO6">
        <v>7.5924448577179691</v>
      </c>
      <c r="AP6">
        <v>20365.151836220521</v>
      </c>
      <c r="AQ6">
        <v>0.96210699996930094</v>
      </c>
      <c r="AR6">
        <v>1330.7377190666259</v>
      </c>
      <c r="AS6">
        <v>4.2520613042682207</v>
      </c>
      <c r="AT6">
        <v>115.35760869565215</v>
      </c>
      <c r="AU6">
        <v>14174.808584752787</v>
      </c>
      <c r="AV6">
        <v>15782.322046120955</v>
      </c>
    </row>
    <row r="7" spans="2:48" x14ac:dyDescent="0.25">
      <c r="B7">
        <v>4</v>
      </c>
      <c r="C7">
        <v>0.182</v>
      </c>
      <c r="D7">
        <v>2.5699999999999998E-3</v>
      </c>
      <c r="E7">
        <v>5.9363999999999999E-4</v>
      </c>
      <c r="F7">
        <v>0.16346304</v>
      </c>
      <c r="G7">
        <v>0.12427928160919541</v>
      </c>
      <c r="H7">
        <v>131.0051724137931</v>
      </c>
      <c r="I7">
        <v>9.8066034482758599</v>
      </c>
      <c r="J7">
        <v>106.11206896551724</v>
      </c>
      <c r="K7">
        <v>9.7368103448275907</v>
      </c>
      <c r="L7">
        <v>0.12559551724137935</v>
      </c>
      <c r="M7">
        <v>100.85</v>
      </c>
      <c r="N7">
        <v>9.6066206896551716</v>
      </c>
      <c r="O7">
        <v>128.61896551724141</v>
      </c>
      <c r="P7">
        <v>9.5708620689655177</v>
      </c>
      <c r="Q7">
        <v>548.7396488684526</v>
      </c>
      <c r="R7">
        <v>515.2347372947728</v>
      </c>
      <c r="S7">
        <v>4.1639663407565433</v>
      </c>
      <c r="T7">
        <v>6.9793103448269278E-2</v>
      </c>
      <c r="U7">
        <v>508.57459742189207</v>
      </c>
      <c r="V7">
        <v>547.02396061572847</v>
      </c>
      <c r="W7">
        <v>4.829067657931537</v>
      </c>
      <c r="X7">
        <v>3.5758620689653853E-2</v>
      </c>
      <c r="Y7">
        <v>0.15972783225095732</v>
      </c>
      <c r="Z7">
        <v>118.55862068965517</v>
      </c>
      <c r="AA7">
        <v>9.7717068965517253</v>
      </c>
      <c r="AB7">
        <v>2.1915773094612666E-5</v>
      </c>
      <c r="AC7">
        <v>1.3604809022731661</v>
      </c>
      <c r="AD7">
        <v>3.1087025378866252E-2</v>
      </c>
      <c r="AE7">
        <v>163.85517534190615</v>
      </c>
      <c r="AF7">
        <v>114.7344827586207</v>
      </c>
      <c r="AG7">
        <v>9.5887413793103455</v>
      </c>
      <c r="AH7">
        <v>2.172927117001259E-5</v>
      </c>
      <c r="AI7">
        <v>1.3698605691496082</v>
      </c>
      <c r="AJ7">
        <v>3.0777479298139818E-2</v>
      </c>
      <c r="AK7">
        <v>163.38465912981434</v>
      </c>
      <c r="AL7">
        <v>24550.023138323893</v>
      </c>
      <c r="AM7">
        <v>0.95911366206308968</v>
      </c>
      <c r="AN7">
        <v>1101.3821707662657</v>
      </c>
      <c r="AO7">
        <v>7.3690796182356957</v>
      </c>
      <c r="AP7">
        <v>25022.975230704546</v>
      </c>
      <c r="AQ7">
        <v>0.96713806494083721</v>
      </c>
      <c r="AR7">
        <v>1290.1501035943973</v>
      </c>
      <c r="AS7">
        <v>3.6862246678649906</v>
      </c>
      <c r="AT7">
        <v>116.64655172413794</v>
      </c>
      <c r="AU7">
        <v>13322.449608732184</v>
      </c>
      <c r="AV7">
        <v>15450.415605007591</v>
      </c>
    </row>
    <row r="8" spans="2:48" x14ac:dyDescent="0.25">
      <c r="B8">
        <v>5</v>
      </c>
      <c r="C8">
        <v>0.182</v>
      </c>
      <c r="D8">
        <v>2.5699999999999998E-3</v>
      </c>
      <c r="E8">
        <v>5.9363999999999999E-4</v>
      </c>
      <c r="F8">
        <v>0.16346304</v>
      </c>
      <c r="G8">
        <v>0.14926991830065359</v>
      </c>
      <c r="H8">
        <v>133.86705882352939</v>
      </c>
      <c r="I8">
        <v>8.7517647058823531</v>
      </c>
      <c r="J8">
        <v>104.74823529411763</v>
      </c>
      <c r="K8">
        <v>8.6243294117647054</v>
      </c>
      <c r="L8">
        <v>0.14737847058823531</v>
      </c>
      <c r="M8">
        <v>98.985882352941189</v>
      </c>
      <c r="N8">
        <v>9.8944235294117622</v>
      </c>
      <c r="O8">
        <v>128.29999999999998</v>
      </c>
      <c r="P8">
        <v>9.821211764705879</v>
      </c>
      <c r="Q8">
        <v>558.45499819186682</v>
      </c>
      <c r="R8">
        <v>521.60984968320554</v>
      </c>
      <c r="S8">
        <v>5.4998723076633178</v>
      </c>
      <c r="T8">
        <v>0.12743529411764776</v>
      </c>
      <c r="U8">
        <v>503.45821751851571</v>
      </c>
      <c r="V8">
        <v>545.10753787420151</v>
      </c>
      <c r="W8">
        <v>6.1382131350604299</v>
      </c>
      <c r="X8">
        <v>7.3211764705883198E-2</v>
      </c>
      <c r="Y8">
        <v>0.11606466326639468</v>
      </c>
      <c r="Z8">
        <v>119.30764705882351</v>
      </c>
      <c r="AA8">
        <v>8.6880470588235283</v>
      </c>
      <c r="AB8">
        <v>2.1365748273980707E-5</v>
      </c>
      <c r="AC8">
        <v>1.2898162503712993</v>
      </c>
      <c r="AD8">
        <v>2.9922076566964453E-2</v>
      </c>
      <c r="AE8">
        <v>141.43863738886654</v>
      </c>
      <c r="AF8">
        <v>113.64294117647059</v>
      </c>
      <c r="AG8">
        <v>9.8578176470588197</v>
      </c>
      <c r="AH8">
        <v>2.1870074523188844E-5</v>
      </c>
      <c r="AI8">
        <v>1.3956928764440413</v>
      </c>
      <c r="AJ8">
        <v>3.1089894336469755E-2</v>
      </c>
      <c r="AK8">
        <v>170.16469081576173</v>
      </c>
      <c r="AL8">
        <v>30245.735833025079</v>
      </c>
      <c r="AM8">
        <v>0.92098853044003681</v>
      </c>
      <c r="AN8">
        <v>1020.2980540566115</v>
      </c>
      <c r="AO8">
        <v>8.0510262556938983</v>
      </c>
      <c r="AP8">
        <v>29173.850247635626</v>
      </c>
      <c r="AQ8">
        <v>0.98179514182231087</v>
      </c>
      <c r="AR8">
        <v>1095.9453542142489</v>
      </c>
      <c r="AS8">
        <v>5.7084772865529851</v>
      </c>
      <c r="AT8">
        <v>116.47529411764705</v>
      </c>
      <c r="AU8">
        <v>11879.158169107692</v>
      </c>
      <c r="AV8">
        <v>13257.908661893352</v>
      </c>
    </row>
    <row r="9" spans="2:48" x14ac:dyDescent="0.25">
      <c r="B9">
        <v>6</v>
      </c>
      <c r="C9">
        <v>0.182</v>
      </c>
      <c r="D9">
        <v>2.5699999999999998E-3</v>
      </c>
      <c r="E9">
        <v>5.9363999999999999E-4</v>
      </c>
      <c r="F9">
        <v>0.16346304</v>
      </c>
      <c r="G9">
        <v>0.17700486904761908</v>
      </c>
      <c r="H9">
        <v>144.46857142857147</v>
      </c>
      <c r="I9">
        <v>9.1615714285714311</v>
      </c>
      <c r="J9">
        <v>107.23000000000006</v>
      </c>
      <c r="K9">
        <v>8.9956571428571408</v>
      </c>
      <c r="L9">
        <v>0.17761230158730162</v>
      </c>
      <c r="M9">
        <v>96.015714285714296</v>
      </c>
      <c r="N9">
        <v>10.074228571428572</v>
      </c>
      <c r="O9">
        <v>134.4057142857142</v>
      </c>
      <c r="P9">
        <v>9.9744714285714267</v>
      </c>
      <c r="Q9">
        <v>569.36537208540108</v>
      </c>
      <c r="R9">
        <v>522.2772442400975</v>
      </c>
      <c r="S9">
        <v>8.3348279029555048</v>
      </c>
      <c r="T9">
        <v>0.16591428571429034</v>
      </c>
      <c r="U9">
        <v>497.35004310731472</v>
      </c>
      <c r="V9">
        <v>552.19843177524376</v>
      </c>
      <c r="W9">
        <v>9.7417485496657505</v>
      </c>
      <c r="X9">
        <v>9.9757142857145098E-2</v>
      </c>
      <c r="Y9">
        <v>0.16880020356645348</v>
      </c>
      <c r="Z9">
        <v>125.84928571428577</v>
      </c>
      <c r="AA9">
        <v>9.078614285714286</v>
      </c>
      <c r="AB9">
        <v>2.1736829960042136E-5</v>
      </c>
      <c r="AC9">
        <v>1.2863319276958125</v>
      </c>
      <c r="AD9">
        <v>3.0589369591570933E-2</v>
      </c>
      <c r="AE9">
        <v>144.50794065705338</v>
      </c>
      <c r="AF9">
        <v>115.21071428571425</v>
      </c>
      <c r="AG9">
        <v>10.024349999999998</v>
      </c>
      <c r="AH9">
        <v>2.2001447745753266E-5</v>
      </c>
      <c r="AI9">
        <v>1.3975177899781097</v>
      </c>
      <c r="AJ9">
        <v>3.1325907406371541E-2</v>
      </c>
      <c r="AK9">
        <v>172.25758821337499</v>
      </c>
      <c r="AL9">
        <v>35253.23467032022</v>
      </c>
      <c r="AM9">
        <v>0.91406847404275493</v>
      </c>
      <c r="AN9">
        <v>805.3531169770697</v>
      </c>
      <c r="AO9">
        <v>7.6162836758868533</v>
      </c>
      <c r="AP9">
        <v>34948.758256147339</v>
      </c>
      <c r="AQ9">
        <v>0.98153308796763195</v>
      </c>
      <c r="AR9">
        <v>919.16502211172246</v>
      </c>
      <c r="AS9">
        <v>5.4214358588007796</v>
      </c>
      <c r="AT9">
        <v>120.53</v>
      </c>
      <c r="AU9">
        <v>9585.6981116479546</v>
      </c>
      <c r="AV9">
        <v>11203.765904220727</v>
      </c>
    </row>
    <row r="10" spans="2:48" x14ac:dyDescent="0.25">
      <c r="B10">
        <v>7</v>
      </c>
      <c r="C10">
        <v>0.182</v>
      </c>
      <c r="D10">
        <v>2.5699999999999998E-3</v>
      </c>
      <c r="E10">
        <v>5.9363999999999999E-4</v>
      </c>
      <c r="F10">
        <v>0.16346304</v>
      </c>
      <c r="G10">
        <v>0.2024392091503267</v>
      </c>
      <c r="H10">
        <v>125.5388235294118</v>
      </c>
      <c r="I10">
        <v>9.2133058823529428</v>
      </c>
      <c r="J10">
        <v>100.97647058823529</v>
      </c>
      <c r="K10">
        <v>9.0125529411764713</v>
      </c>
      <c r="L10">
        <v>0.20004338888888887</v>
      </c>
      <c r="M10">
        <v>93.365882352941185</v>
      </c>
      <c r="N10">
        <v>8.9541294117647094</v>
      </c>
      <c r="O10">
        <v>120.01176470588233</v>
      </c>
      <c r="P10">
        <v>8.8175176470588248</v>
      </c>
      <c r="Q10">
        <v>545.18298595434578</v>
      </c>
      <c r="R10">
        <v>513.43502399554473</v>
      </c>
      <c r="S10">
        <v>6.4270323110743428</v>
      </c>
      <c r="T10">
        <v>0.20075294117647147</v>
      </c>
      <c r="U10">
        <v>502.90421650161136</v>
      </c>
      <c r="V10">
        <v>540.49584889848688</v>
      </c>
      <c r="W10">
        <v>7.5199575385363246</v>
      </c>
      <c r="X10">
        <v>0.13661176470588465</v>
      </c>
      <c r="Y10">
        <v>0.1700513043288697</v>
      </c>
      <c r="Z10">
        <v>113.25764705882355</v>
      </c>
      <c r="AA10">
        <v>9.1129294117647071</v>
      </c>
      <c r="AB10">
        <v>2.1425450264835578E-5</v>
      </c>
      <c r="AC10">
        <v>1.3452542373400023</v>
      </c>
      <c r="AD10">
        <v>3.0172676647654228E-2</v>
      </c>
      <c r="AE10">
        <v>154.60741057615337</v>
      </c>
      <c r="AF10">
        <v>106.68882352941176</v>
      </c>
      <c r="AG10">
        <v>8.8858235294117662</v>
      </c>
      <c r="AH10">
        <v>2.1143919899552285E-5</v>
      </c>
      <c r="AI10">
        <v>1.3666488117712066</v>
      </c>
      <c r="AJ10">
        <v>2.9723876666045333E-2</v>
      </c>
      <c r="AK10">
        <v>155.29232271017918</v>
      </c>
      <c r="AL10">
        <v>40904.834642754839</v>
      </c>
      <c r="AM10">
        <v>0.95525756936543949</v>
      </c>
      <c r="AN10">
        <v>1019.6534605377767</v>
      </c>
      <c r="AO10">
        <v>7.5377373931099783</v>
      </c>
      <c r="AP10">
        <v>40958.935898783609</v>
      </c>
      <c r="AQ10">
        <v>0.97215828647001523</v>
      </c>
      <c r="AR10">
        <v>1211.0606426255156</v>
      </c>
      <c r="AS10">
        <v>5.2762786648246705</v>
      </c>
      <c r="AT10">
        <v>109.97323529411766</v>
      </c>
      <c r="AU10">
        <v>11971.079438703502</v>
      </c>
      <c r="AV10">
        <v>14006.777111479547</v>
      </c>
    </row>
    <row r="11" spans="2:48" x14ac:dyDescent="0.25">
      <c r="B11">
        <v>8</v>
      </c>
      <c r="C11">
        <v>0.182</v>
      </c>
      <c r="D11">
        <v>2.5699999999999998E-3</v>
      </c>
      <c r="E11">
        <v>5.9363999999999999E-4</v>
      </c>
      <c r="F11">
        <v>0.16346304</v>
      </c>
      <c r="G11">
        <v>4.853640476190476E-2</v>
      </c>
      <c r="H11">
        <v>149.94714285714286</v>
      </c>
      <c r="I11">
        <v>8.4522857142857148</v>
      </c>
      <c r="J11">
        <v>106.13857142857135</v>
      </c>
      <c r="K11">
        <v>8.4377571428571425</v>
      </c>
      <c r="L11">
        <v>5.0946107142857126E-2</v>
      </c>
      <c r="M11">
        <v>102.06857142857143</v>
      </c>
      <c r="N11">
        <v>9.8486000000000047</v>
      </c>
      <c r="O11">
        <v>140.35714285714292</v>
      </c>
      <c r="P11">
        <v>9.843</v>
      </c>
      <c r="Q11">
        <v>579.63637171729977</v>
      </c>
      <c r="R11">
        <v>524.84595764688356</v>
      </c>
      <c r="S11">
        <v>2.6593297143940826</v>
      </c>
      <c r="T11">
        <v>1.4528571428572334E-2</v>
      </c>
      <c r="U11">
        <v>508.46132508717409</v>
      </c>
      <c r="V11">
        <v>560.58724066598086</v>
      </c>
      <c r="W11">
        <v>2.6556124799974152</v>
      </c>
      <c r="X11">
        <v>5.6000000000047123E-3</v>
      </c>
      <c r="Y11">
        <v>-1.3978087698367015E-3</v>
      </c>
      <c r="Z11">
        <v>128.04285714285712</v>
      </c>
      <c r="AA11">
        <v>8.4450214285714296</v>
      </c>
      <c r="AB11">
        <v>2.1520119376094348E-5</v>
      </c>
      <c r="AC11">
        <v>1.2462445086644056</v>
      </c>
      <c r="AD11">
        <v>3.0090894807144143E-2</v>
      </c>
      <c r="AE11">
        <v>131.32559970132166</v>
      </c>
      <c r="AF11">
        <v>121.21285714285717</v>
      </c>
      <c r="AG11">
        <v>9.8458000000000023</v>
      </c>
      <c r="AH11">
        <v>2.2014981158184467E-5</v>
      </c>
      <c r="AI11">
        <v>1.3510617812872743</v>
      </c>
      <c r="AJ11">
        <v>3.1242023577288537E-2</v>
      </c>
      <c r="AK11">
        <v>163.0979861543025</v>
      </c>
      <c r="AL11">
        <v>9764.1151949638825</v>
      </c>
      <c r="AM11">
        <v>0.8912772707540968</v>
      </c>
      <c r="AN11">
        <v>406.87398982290546</v>
      </c>
      <c r="AO11">
        <v>8.060744248610348</v>
      </c>
      <c r="AP11">
        <v>10018.498867663451</v>
      </c>
      <c r="AQ11">
        <v>0.95203819256460287</v>
      </c>
      <c r="AR11">
        <v>391.33472713616862</v>
      </c>
      <c r="AS11">
        <v>3.5022944849341462</v>
      </c>
      <c r="AT11">
        <v>124.62785714285715</v>
      </c>
      <c r="AU11">
        <v>4763.8919951455591</v>
      </c>
      <c r="AV11">
        <v>4757.2329851361701</v>
      </c>
    </row>
    <row r="12" spans="2:48" x14ac:dyDescent="0.25">
      <c r="B12">
        <v>9</v>
      </c>
      <c r="C12">
        <v>0.182</v>
      </c>
      <c r="D12">
        <v>2.5699999999999998E-3</v>
      </c>
      <c r="E12">
        <v>5.9363999999999999E-4</v>
      </c>
      <c r="F12">
        <v>0.16346304</v>
      </c>
      <c r="G12">
        <v>7.4464473905723874E-2</v>
      </c>
      <c r="H12">
        <v>162.21060606060607</v>
      </c>
      <c r="I12">
        <v>8.5982878787878771</v>
      </c>
      <c r="J12">
        <v>113.0333333333333</v>
      </c>
      <c r="K12">
        <v>8.5648484848484845</v>
      </c>
      <c r="L12">
        <v>7.6013855218855245E-2</v>
      </c>
      <c r="M12">
        <v>105.16666666666667</v>
      </c>
      <c r="N12">
        <v>10.262484848484847</v>
      </c>
      <c r="O12">
        <v>150.76060606060605</v>
      </c>
      <c r="P12">
        <v>10.248227272727277</v>
      </c>
      <c r="Q12">
        <v>593.52090666989659</v>
      </c>
      <c r="R12">
        <v>533.07147574085798</v>
      </c>
      <c r="S12">
        <v>4.501335072031253</v>
      </c>
      <c r="T12">
        <v>3.3439393939392659E-2</v>
      </c>
      <c r="U12">
        <v>509.85802890830547</v>
      </c>
      <c r="V12">
        <v>571.65930683497868</v>
      </c>
      <c r="W12">
        <v>4.6977533926583721</v>
      </c>
      <c r="X12">
        <v>1.4257575757570251E-2</v>
      </c>
      <c r="Y12">
        <v>4.3635569777409212E-2</v>
      </c>
      <c r="Z12">
        <v>137.6219696969697</v>
      </c>
      <c r="AA12">
        <v>8.5815681818181808</v>
      </c>
      <c r="AB12">
        <v>2.1883119745987994E-5</v>
      </c>
      <c r="AC12">
        <v>1.2267263968243993</v>
      </c>
      <c r="AD12">
        <v>3.0710135787248804E-2</v>
      </c>
      <c r="AE12">
        <v>128.42514035092739</v>
      </c>
      <c r="AF12">
        <v>127.96363636363637</v>
      </c>
      <c r="AG12">
        <v>10.255356060606061</v>
      </c>
      <c r="AH12">
        <v>2.2389086532996946E-5</v>
      </c>
      <c r="AI12">
        <v>1.3418105750759692</v>
      </c>
      <c r="AJ12">
        <v>3.1888508929729158E-2</v>
      </c>
      <c r="AK12">
        <v>165.61259687520516</v>
      </c>
      <c r="AL12">
        <v>14731.597878549124</v>
      </c>
      <c r="AM12">
        <v>0.87412836020148432</v>
      </c>
      <c r="AN12">
        <v>477.2005804286905</v>
      </c>
      <c r="AO12">
        <v>7.7081159577580936</v>
      </c>
      <c r="AP12">
        <v>14698.274416409195</v>
      </c>
      <c r="AQ12">
        <v>0.942092122979719</v>
      </c>
      <c r="AR12">
        <v>479.62008299956835</v>
      </c>
      <c r="AS12">
        <v>4.0671630203322326</v>
      </c>
      <c r="AT12">
        <v>132.79280303030305</v>
      </c>
      <c r="AU12">
        <v>5702.2936275171323</v>
      </c>
      <c r="AV12">
        <v>5951.1164589918972</v>
      </c>
    </row>
    <row r="13" spans="2:48" x14ac:dyDescent="0.25">
      <c r="B13">
        <v>10</v>
      </c>
      <c r="C13">
        <v>0.182</v>
      </c>
      <c r="D13">
        <v>2.5699999999999998E-3</v>
      </c>
      <c r="E13">
        <v>5.9363999999999999E-4</v>
      </c>
      <c r="F13">
        <v>0.16346304</v>
      </c>
      <c r="G13">
        <v>9.9267401960784346E-2</v>
      </c>
      <c r="H13">
        <v>166.23333333333335</v>
      </c>
      <c r="I13">
        <v>9.0548235294117667</v>
      </c>
      <c r="J13">
        <v>115.84509803921566</v>
      </c>
      <c r="K13">
        <v>8.9971568627450988</v>
      </c>
      <c r="L13">
        <v>0.10247916122004361</v>
      </c>
      <c r="M13">
        <v>105.48039215686271</v>
      </c>
      <c r="N13">
        <v>10.588843137254901</v>
      </c>
      <c r="O13">
        <v>154.33529411764707</v>
      </c>
      <c r="P13">
        <v>10.56109803921569</v>
      </c>
      <c r="Q13">
        <v>596.22878592448649</v>
      </c>
      <c r="R13">
        <v>533.87150939978267</v>
      </c>
      <c r="S13">
        <v>6.1900448339575558</v>
      </c>
      <c r="T13">
        <v>5.7666666666667865E-2</v>
      </c>
      <c r="U13">
        <v>507.8207546749772</v>
      </c>
      <c r="V13">
        <v>574.62400396589453</v>
      </c>
      <c r="W13">
        <v>6.8459409541066814</v>
      </c>
      <c r="X13">
        <v>2.7745098039211769E-2</v>
      </c>
      <c r="Y13">
        <v>0.10595983352995904</v>
      </c>
      <c r="Z13">
        <v>141.0392156862745</v>
      </c>
      <c r="AA13">
        <v>9.0259901960784319</v>
      </c>
      <c r="AB13">
        <v>2.21685163921296E-5</v>
      </c>
      <c r="AC13">
        <v>1.2371003900244497</v>
      </c>
      <c r="AD13">
        <v>3.1262922990249305E-2</v>
      </c>
      <c r="AE13">
        <v>134.21936306242949</v>
      </c>
      <c r="AF13">
        <v>129.90784313725487</v>
      </c>
      <c r="AG13">
        <v>10.574970588235296</v>
      </c>
      <c r="AH13">
        <v>2.2606594541965966E-5</v>
      </c>
      <c r="AI13">
        <v>1.3501755816965326</v>
      </c>
      <c r="AJ13">
        <v>3.2291702505090183E-2</v>
      </c>
      <c r="AK13">
        <v>170.21997337312766</v>
      </c>
      <c r="AL13">
        <v>19385.633294653901</v>
      </c>
      <c r="AM13">
        <v>0.87722700412627785</v>
      </c>
      <c r="AN13">
        <v>559.31831830463602</v>
      </c>
      <c r="AO13">
        <v>7.8174435622061393</v>
      </c>
      <c r="AP13">
        <v>19625.032466156026</v>
      </c>
      <c r="AQ13">
        <v>0.945223372198019</v>
      </c>
      <c r="AR13">
        <v>598.87617463138054</v>
      </c>
      <c r="AS13">
        <v>4.4757281651599667</v>
      </c>
      <c r="AT13">
        <v>135.47352941176467</v>
      </c>
      <c r="AU13">
        <v>6803.8620670013952</v>
      </c>
      <c r="AV13">
        <v>7524.7981589817036</v>
      </c>
    </row>
    <row r="14" spans="2:48" x14ac:dyDescent="0.25">
      <c r="B14">
        <v>11</v>
      </c>
      <c r="C14">
        <v>0.182</v>
      </c>
      <c r="D14">
        <v>2.5699999999999998E-3</v>
      </c>
      <c r="E14">
        <v>5.9363999999999999E-4</v>
      </c>
      <c r="F14">
        <v>0.16346304</v>
      </c>
      <c r="G14">
        <v>0.12332769371345029</v>
      </c>
      <c r="H14">
        <v>161.43026315789473</v>
      </c>
      <c r="I14">
        <v>8.5496447368421045</v>
      </c>
      <c r="J14">
        <v>118.44605263157899</v>
      </c>
      <c r="K14">
        <v>8.4542763157894729</v>
      </c>
      <c r="L14">
        <v>0.12500714546783626</v>
      </c>
      <c r="M14">
        <v>107.58157894736841</v>
      </c>
      <c r="N14">
        <v>9.091828947368418</v>
      </c>
      <c r="O14">
        <v>152.25526315789466</v>
      </c>
      <c r="P14">
        <v>9.0385131578947409</v>
      </c>
      <c r="Q14">
        <v>592.82175671717982</v>
      </c>
      <c r="R14">
        <v>540.80462304538969</v>
      </c>
      <c r="S14">
        <v>6.4151531293261357</v>
      </c>
      <c r="T14">
        <v>9.5368421052631547E-2</v>
      </c>
      <c r="U14">
        <v>522.06212606315432</v>
      </c>
      <c r="V14">
        <v>579.51414246523257</v>
      </c>
      <c r="W14">
        <v>7.1819125717951096</v>
      </c>
      <c r="X14">
        <v>5.33157894736771E-2</v>
      </c>
      <c r="Y14">
        <v>0.1195231706884472</v>
      </c>
      <c r="Z14">
        <v>139.93815789473686</v>
      </c>
      <c r="AA14">
        <v>8.5019605263157878</v>
      </c>
      <c r="AB14">
        <v>2.1928823934463301E-5</v>
      </c>
      <c r="AC14">
        <v>1.2179769564136145</v>
      </c>
      <c r="AD14">
        <v>3.077200777258814E-2</v>
      </c>
      <c r="AE14">
        <v>125.8535005294201</v>
      </c>
      <c r="AF14">
        <v>129.91842105263154</v>
      </c>
      <c r="AG14">
        <v>9.0651710526315803</v>
      </c>
      <c r="AH14">
        <v>2.1847247054468937E-5</v>
      </c>
      <c r="AI14">
        <v>1.2711936523853238</v>
      </c>
      <c r="AJ14">
        <v>3.0754278101914403E-2</v>
      </c>
      <c r="AK14">
        <v>141.56615045204228</v>
      </c>
      <c r="AL14">
        <v>24347.548316519507</v>
      </c>
      <c r="AM14">
        <v>0.86795773713602031</v>
      </c>
      <c r="AN14">
        <v>654.24200795680724</v>
      </c>
      <c r="AO14">
        <v>7.8539243858009762</v>
      </c>
      <c r="AP14">
        <v>24771.259291703296</v>
      </c>
      <c r="AQ14">
        <v>0.90303149648653624</v>
      </c>
      <c r="AR14">
        <v>732.86133421489853</v>
      </c>
      <c r="AS14">
        <v>4.8071052889405035</v>
      </c>
      <c r="AT14">
        <v>134.9282894736842</v>
      </c>
      <c r="AU14">
        <v>7833.5953906616905</v>
      </c>
      <c r="AV14">
        <v>8769.8915496439804</v>
      </c>
    </row>
    <row r="15" spans="2:48" x14ac:dyDescent="0.25">
      <c r="B15">
        <v>12</v>
      </c>
      <c r="C15">
        <v>0.182</v>
      </c>
      <c r="D15">
        <v>2.5699999999999998E-3</v>
      </c>
      <c r="E15">
        <v>5.9363999999999999E-4</v>
      </c>
      <c r="F15">
        <v>0.16346304</v>
      </c>
      <c r="G15">
        <v>0.14907605902777779</v>
      </c>
      <c r="H15">
        <v>167.17250000000007</v>
      </c>
      <c r="I15">
        <v>9.0021749999999976</v>
      </c>
      <c r="J15">
        <v>117.64124999999997</v>
      </c>
      <c r="K15">
        <v>8.8723875000000021</v>
      </c>
      <c r="L15">
        <v>0.15100304513888885</v>
      </c>
      <c r="M15">
        <v>102.23249999999999</v>
      </c>
      <c r="N15">
        <v>9.3184250000000013</v>
      </c>
      <c r="O15">
        <v>153.77250000000009</v>
      </c>
      <c r="P15">
        <v>9.2462124999999986</v>
      </c>
      <c r="Q15">
        <v>597.58024135409721</v>
      </c>
      <c r="R15">
        <v>537.05745994989365</v>
      </c>
      <c r="S15">
        <v>9.0224977331383407</v>
      </c>
      <c r="T15">
        <v>0.1297874999999955</v>
      </c>
      <c r="U15">
        <v>512.84777239725679</v>
      </c>
      <c r="V15">
        <v>580.34071728294236</v>
      </c>
      <c r="W15">
        <v>10.191640203129715</v>
      </c>
      <c r="X15">
        <v>7.2212500000002677E-2</v>
      </c>
      <c r="Y15">
        <v>0.12958079952708459</v>
      </c>
      <c r="Z15">
        <v>142.40687500000001</v>
      </c>
      <c r="AA15">
        <v>8.9372812499999998</v>
      </c>
      <c r="AB15">
        <v>2.2176731950036411E-5</v>
      </c>
      <c r="AC15">
        <v>1.2301177409158479</v>
      </c>
      <c r="AD15">
        <v>3.1261409270378529E-2</v>
      </c>
      <c r="AE15">
        <v>131.95506074555979</v>
      </c>
      <c r="AF15">
        <v>128.00250000000005</v>
      </c>
      <c r="AG15">
        <v>9.28231875</v>
      </c>
      <c r="AH15">
        <v>2.189344161472821E-5</v>
      </c>
      <c r="AI15">
        <v>1.2890950345404271</v>
      </c>
      <c r="AJ15">
        <v>3.0880864541110043E-2</v>
      </c>
      <c r="AK15">
        <v>146.89184958951287</v>
      </c>
      <c r="AL15">
        <v>29101.831576529617</v>
      </c>
      <c r="AM15">
        <v>0.87264112667895655</v>
      </c>
      <c r="AN15">
        <v>630.03889016313042</v>
      </c>
      <c r="AO15">
        <v>7.6697490684179384</v>
      </c>
      <c r="AP15">
        <v>29859.43838405512</v>
      </c>
      <c r="AQ15">
        <v>0.91392282223755361</v>
      </c>
      <c r="AR15">
        <v>720.44986007877026</v>
      </c>
      <c r="AS15">
        <v>4.6299543910763834</v>
      </c>
      <c r="AT15">
        <v>135.20468750000003</v>
      </c>
      <c r="AU15">
        <v>7663.7757204843138</v>
      </c>
      <c r="AV15">
        <v>8656.8539057409289</v>
      </c>
    </row>
    <row r="16" spans="2:48" x14ac:dyDescent="0.25">
      <c r="B16">
        <v>13</v>
      </c>
      <c r="C16">
        <v>0.182</v>
      </c>
      <c r="D16">
        <v>2.5699999999999998E-3</v>
      </c>
      <c r="E16">
        <v>5.9363999999999999E-4</v>
      </c>
      <c r="F16">
        <v>0.16346304</v>
      </c>
      <c r="G16">
        <v>0.17556528133903132</v>
      </c>
      <c r="H16">
        <v>164.50769230769234</v>
      </c>
      <c r="I16">
        <v>8.5120384615384648</v>
      </c>
      <c r="J16">
        <v>116.02179487179484</v>
      </c>
      <c r="K16">
        <v>8.326794871794867</v>
      </c>
      <c r="L16">
        <v>0.17710196225071223</v>
      </c>
      <c r="M16">
        <v>100.60769230769228</v>
      </c>
      <c r="N16">
        <v>9.4976923076923061</v>
      </c>
      <c r="O16">
        <v>149.58717948717947</v>
      </c>
      <c r="P16">
        <v>9.3981666666666666</v>
      </c>
      <c r="Q16">
        <v>596.62266194208769</v>
      </c>
      <c r="R16">
        <v>538.52709671235925</v>
      </c>
      <c r="S16">
        <v>10.199564254107319</v>
      </c>
      <c r="T16">
        <v>0.18524358974359778</v>
      </c>
      <c r="U16">
        <v>509.08450077314518</v>
      </c>
      <c r="V16">
        <v>574.4640376809557</v>
      </c>
      <c r="W16">
        <v>11.578844277416106</v>
      </c>
      <c r="X16">
        <v>9.9525641025639544E-2</v>
      </c>
      <c r="Y16">
        <v>0.13522930871810113</v>
      </c>
      <c r="Z16">
        <v>140.2647435897436</v>
      </c>
      <c r="AA16">
        <v>8.4194166666666668</v>
      </c>
      <c r="AB16">
        <v>2.1908813729716378E-5</v>
      </c>
      <c r="AC16">
        <v>1.21386935099867</v>
      </c>
      <c r="AD16">
        <v>3.0723986428368398E-2</v>
      </c>
      <c r="AE16">
        <v>124.28844791640712</v>
      </c>
      <c r="AF16">
        <v>125.09743589743587</v>
      </c>
      <c r="AG16">
        <v>9.4479294871794863</v>
      </c>
      <c r="AH16">
        <v>2.1896761233889853E-5</v>
      </c>
      <c r="AI16">
        <v>1.3095635981893587</v>
      </c>
      <c r="AJ16">
        <v>3.0934544126779585E-2</v>
      </c>
      <c r="AK16">
        <v>152.13021134153672</v>
      </c>
      <c r="AL16">
        <v>34692.032192479033</v>
      </c>
      <c r="AM16">
        <v>0.86559202091972387</v>
      </c>
      <c r="AN16">
        <v>688.23872286295318</v>
      </c>
      <c r="AO16">
        <v>7.4342082635136419</v>
      </c>
      <c r="AP16">
        <v>35014.945704439058</v>
      </c>
      <c r="AQ16">
        <v>0.92696376299020211</v>
      </c>
      <c r="AR16">
        <v>775.99074791048906</v>
      </c>
      <c r="AS16">
        <v>4.8044286675196783</v>
      </c>
      <c r="AT16">
        <v>132.68108974358972</v>
      </c>
      <c r="AU16">
        <v>8227.7965683731418</v>
      </c>
      <c r="AV16">
        <v>9340.4358105874398</v>
      </c>
    </row>
    <row r="17" spans="2:48" x14ac:dyDescent="0.25">
      <c r="B17">
        <v>14</v>
      </c>
      <c r="C17">
        <v>0.182</v>
      </c>
      <c r="D17">
        <v>2.5699999999999998E-3</v>
      </c>
      <c r="E17">
        <v>5.9363999999999999E-4</v>
      </c>
      <c r="F17">
        <v>0.16346304</v>
      </c>
      <c r="G17">
        <v>4.8290833333333345E-2</v>
      </c>
      <c r="H17">
        <v>191.66250000000005</v>
      </c>
      <c r="I17">
        <v>8.3407343749999985</v>
      </c>
      <c r="J17">
        <v>113.69687500000002</v>
      </c>
      <c r="K17">
        <v>8.3266718749999988</v>
      </c>
      <c r="L17">
        <v>5.0810403645833314E-2</v>
      </c>
      <c r="M17">
        <v>99.90781250000002</v>
      </c>
      <c r="N17">
        <v>10.200671875000001</v>
      </c>
      <c r="O17">
        <v>169.94374999999997</v>
      </c>
      <c r="P17">
        <v>10.208937499999999</v>
      </c>
      <c r="Q17">
        <v>628.8641563726037</v>
      </c>
      <c r="R17">
        <v>535.53777074725372</v>
      </c>
      <c r="S17">
        <v>4.5068089338361732</v>
      </c>
      <c r="T17">
        <v>1.4062499999999645E-2</v>
      </c>
      <c r="U17">
        <v>502.36051516785489</v>
      </c>
      <c r="V17">
        <v>595.5997137744622</v>
      </c>
      <c r="W17">
        <v>4.7375213168157373</v>
      </c>
      <c r="X17">
        <v>-8.2656249999981668E-3</v>
      </c>
      <c r="Y17">
        <v>5.1191960069002271E-2</v>
      </c>
      <c r="Z17">
        <v>152.67968750000003</v>
      </c>
      <c r="AA17">
        <v>8.3337031249999995</v>
      </c>
      <c r="AB17">
        <v>2.2304953053508879E-5</v>
      </c>
      <c r="AC17">
        <v>1.1876928224052503</v>
      </c>
      <c r="AD17">
        <v>3.1390472312207977E-2</v>
      </c>
      <c r="AE17">
        <v>117.11600563416728</v>
      </c>
      <c r="AF17">
        <v>134.92578125</v>
      </c>
      <c r="AG17">
        <v>10.204804687500001</v>
      </c>
      <c r="AH17">
        <v>2.2525013403660691E-5</v>
      </c>
      <c r="AI17">
        <v>1.3095251678609554</v>
      </c>
      <c r="AJ17">
        <v>3.2066320360188881E-2</v>
      </c>
      <c r="AK17">
        <v>159.19317648446298</v>
      </c>
      <c r="AL17">
        <v>9372.8863986041088</v>
      </c>
      <c r="AM17">
        <v>0.84393227289657136</v>
      </c>
      <c r="AN17">
        <v>254.28510492025117</v>
      </c>
      <c r="AO17">
        <v>7.0289010801104519</v>
      </c>
      <c r="AP17">
        <v>9765.5690209416753</v>
      </c>
      <c r="AQ17">
        <v>0.91987704317706409</v>
      </c>
      <c r="AR17">
        <v>261.66863887436932</v>
      </c>
      <c r="AS17">
        <v>-5.0726266663114181</v>
      </c>
      <c r="AT17">
        <v>143.802734375</v>
      </c>
      <c r="AU17">
        <v>3105.8869826482669</v>
      </c>
      <c r="AV17">
        <v>3264.8834250428413</v>
      </c>
    </row>
    <row r="18" spans="2:48" x14ac:dyDescent="0.25">
      <c r="B18">
        <v>15</v>
      </c>
      <c r="C18">
        <v>0.182</v>
      </c>
      <c r="D18">
        <v>2.5699999999999998E-3</v>
      </c>
      <c r="E18">
        <v>5.9363999999999999E-4</v>
      </c>
      <c r="F18">
        <v>0.16346304</v>
      </c>
      <c r="G18">
        <v>7.4177165532879841E-2</v>
      </c>
      <c r="H18">
        <v>199.14693877551025</v>
      </c>
      <c r="I18">
        <v>8.5248571428571438</v>
      </c>
      <c r="J18">
        <v>127.44693877551019</v>
      </c>
      <c r="K18">
        <v>8.4901020408163266</v>
      </c>
      <c r="L18">
        <v>7.5139529478458034E-2</v>
      </c>
      <c r="M18">
        <v>110.57142857142857</v>
      </c>
      <c r="N18">
        <v>9.0388163265306147</v>
      </c>
      <c r="O18">
        <v>181.44285714285715</v>
      </c>
      <c r="P18">
        <v>9.0287755102040865</v>
      </c>
      <c r="Q18">
        <v>636.77147464550694</v>
      </c>
      <c r="R18">
        <v>551.9633608981394</v>
      </c>
      <c r="S18">
        <v>6.2908254919697848</v>
      </c>
      <c r="T18">
        <v>3.4755102040817221E-2</v>
      </c>
      <c r="U18">
        <v>526.52423480506354</v>
      </c>
      <c r="V18">
        <v>614.30265250498496</v>
      </c>
      <c r="W18">
        <v>6.595629004335648</v>
      </c>
      <c r="X18">
        <v>1.0040816326528201E-2</v>
      </c>
      <c r="Y18">
        <v>4.84520692482956E-2</v>
      </c>
      <c r="Z18">
        <v>163.29693877551023</v>
      </c>
      <c r="AA18">
        <v>8.5074795918367343</v>
      </c>
      <c r="AB18">
        <v>2.2734434276985161E-5</v>
      </c>
      <c r="AC18">
        <v>1.1782687352926176</v>
      </c>
      <c r="AD18">
        <v>3.2165295637808893E-2</v>
      </c>
      <c r="AE18">
        <v>115.36273063638706</v>
      </c>
      <c r="AF18">
        <v>146.00714285714287</v>
      </c>
      <c r="AG18">
        <v>9.0337959183673497</v>
      </c>
      <c r="AH18">
        <v>2.2329714530060461E-5</v>
      </c>
      <c r="AI18">
        <v>1.2256966027071841</v>
      </c>
      <c r="AJ18">
        <v>3.1533451432849774E-2</v>
      </c>
      <c r="AK18">
        <v>131.66002127140476</v>
      </c>
      <c r="AL18">
        <v>14125.246947847229</v>
      </c>
      <c r="AM18">
        <v>0.83280046372865213</v>
      </c>
      <c r="AN18">
        <v>355.69173268254792</v>
      </c>
      <c r="AO18">
        <v>7.2523986940928173</v>
      </c>
      <c r="AP18">
        <v>14567.843496886129</v>
      </c>
      <c r="AQ18">
        <v>0.86794987529986634</v>
      </c>
      <c r="AR18">
        <v>380.39814585841918</v>
      </c>
      <c r="AS18">
        <v>2.3303655159174008</v>
      </c>
      <c r="AT18">
        <v>154.65204081632655</v>
      </c>
      <c r="AU18">
        <v>4451.7236333302126</v>
      </c>
      <c r="AV18">
        <v>4667.418855086602</v>
      </c>
    </row>
    <row r="19" spans="2:48" x14ac:dyDescent="0.25">
      <c r="B19">
        <v>16</v>
      </c>
      <c r="C19">
        <v>0.182</v>
      </c>
      <c r="D19">
        <v>2.5699999999999998E-3</v>
      </c>
      <c r="E19">
        <v>5.9363999999999999E-4</v>
      </c>
      <c r="F19">
        <v>0.16346304</v>
      </c>
      <c r="G19">
        <v>9.8708480392156878E-2</v>
      </c>
      <c r="H19">
        <v>193.58823529411771</v>
      </c>
      <c r="I19">
        <v>8.4833921568627435</v>
      </c>
      <c r="J19">
        <v>123.1078431372549</v>
      </c>
      <c r="K19">
        <v>8.4184117647058834</v>
      </c>
      <c r="L19">
        <v>0.10096791394335509</v>
      </c>
      <c r="M19">
        <v>102.80784313725492</v>
      </c>
      <c r="N19">
        <v>8.8617254901960738</v>
      </c>
      <c r="O19">
        <v>173.61764705882356</v>
      </c>
      <c r="P19">
        <v>8.8233137254901948</v>
      </c>
      <c r="Q19">
        <v>630.53641837338864</v>
      </c>
      <c r="R19">
        <v>546.94955535922747</v>
      </c>
      <c r="S19">
        <v>8.2507322288752309</v>
      </c>
      <c r="T19">
        <v>6.4980392156860134E-2</v>
      </c>
      <c r="U19">
        <v>517.16592095384988</v>
      </c>
      <c r="V19">
        <v>605.97168910761877</v>
      </c>
      <c r="W19">
        <v>8.9665331566232815</v>
      </c>
      <c r="X19">
        <v>3.8411764705879037E-2</v>
      </c>
      <c r="Y19">
        <v>8.6756048783518835E-2</v>
      </c>
      <c r="Z19">
        <v>158.3480392156863</v>
      </c>
      <c r="AA19">
        <v>8.4509019607843143</v>
      </c>
      <c r="AB19">
        <v>2.2542039812036584E-5</v>
      </c>
      <c r="AC19">
        <v>1.1831454946675588</v>
      </c>
      <c r="AD19">
        <v>3.1820268746081473E-2</v>
      </c>
      <c r="AE19">
        <v>116.53286443152524</v>
      </c>
      <c r="AF19">
        <v>138.21274509803925</v>
      </c>
      <c r="AG19">
        <v>8.8425196078431334</v>
      </c>
      <c r="AH19">
        <v>2.2005468643830472E-5</v>
      </c>
      <c r="AI19">
        <v>1.2364774211827603</v>
      </c>
      <c r="AJ19">
        <v>3.0960782752211063E-2</v>
      </c>
      <c r="AK19">
        <v>132.62392469178752</v>
      </c>
      <c r="AL19">
        <v>18957.070294552508</v>
      </c>
      <c r="AM19">
        <v>0.83816114367394168</v>
      </c>
      <c r="AN19">
        <v>404.92465345250622</v>
      </c>
      <c r="AO19">
        <v>7.734991868705225</v>
      </c>
      <c r="AP19">
        <v>19863.818048726978</v>
      </c>
      <c r="AQ19">
        <v>0.87883001338841948</v>
      </c>
      <c r="AR19">
        <v>452.27043269855272</v>
      </c>
      <c r="AS19">
        <v>4.9734460617392635</v>
      </c>
      <c r="AT19">
        <v>148.28039215686277</v>
      </c>
      <c r="AU19">
        <v>5013.5452508843018</v>
      </c>
      <c r="AV19">
        <v>5448.5006272483997</v>
      </c>
    </row>
    <row r="20" spans="2:48" x14ac:dyDescent="0.25">
      <c r="B20">
        <v>17</v>
      </c>
      <c r="C20">
        <v>0.182</v>
      </c>
      <c r="D20">
        <v>2.5699999999999998E-3</v>
      </c>
      <c r="E20">
        <v>5.9363999999999999E-4</v>
      </c>
      <c r="F20">
        <v>0.16346304</v>
      </c>
      <c r="G20">
        <v>0.12392348333333332</v>
      </c>
      <c r="H20">
        <v>200.32200000000003</v>
      </c>
      <c r="I20">
        <v>8.9197999999999986</v>
      </c>
      <c r="J20">
        <v>125.55000000000001</v>
      </c>
      <c r="K20">
        <v>8.8207999999999984</v>
      </c>
      <c r="L20">
        <v>0.12508347777777781</v>
      </c>
      <c r="M20">
        <v>101.64000000000006</v>
      </c>
      <c r="N20">
        <v>9.1465199999999989</v>
      </c>
      <c r="O20">
        <v>177.20200000000006</v>
      </c>
      <c r="P20">
        <v>9.0883800000000008</v>
      </c>
      <c r="Q20">
        <v>636.68578602900448</v>
      </c>
      <c r="R20">
        <v>547.58566600761367</v>
      </c>
      <c r="S20">
        <v>11.041597238468823</v>
      </c>
      <c r="T20">
        <v>9.9000000000000199E-2</v>
      </c>
      <c r="U20">
        <v>513.33506991881814</v>
      </c>
      <c r="V20">
        <v>609.07343722062228</v>
      </c>
      <c r="W20">
        <v>11.975287938875949</v>
      </c>
      <c r="X20">
        <v>5.8139999999998082E-2</v>
      </c>
      <c r="Y20">
        <v>8.4561198913700328E-2</v>
      </c>
      <c r="Z20">
        <v>162.93600000000004</v>
      </c>
      <c r="AA20">
        <v>8.8702999999999985</v>
      </c>
      <c r="AB20">
        <v>2.2837475159436942E-5</v>
      </c>
      <c r="AC20">
        <v>1.1897785634963784</v>
      </c>
      <c r="AD20">
        <v>3.2387425911402187E-2</v>
      </c>
      <c r="AE20">
        <v>120.99775221141637</v>
      </c>
      <c r="AF20">
        <v>139.42100000000005</v>
      </c>
      <c r="AG20">
        <v>9.1174499999999998</v>
      </c>
      <c r="AH20">
        <v>2.2155351952335091E-5</v>
      </c>
      <c r="AI20">
        <v>1.2451540711212818</v>
      </c>
      <c r="AJ20">
        <v>3.1257600138668462E-2</v>
      </c>
      <c r="AK20">
        <v>136.71711589465849</v>
      </c>
      <c r="AL20">
        <v>23491.756540834336</v>
      </c>
      <c r="AM20">
        <v>0.83895331674114948</v>
      </c>
      <c r="AN20">
        <v>455.88366746606607</v>
      </c>
      <c r="AO20">
        <v>7.7632454260032384</v>
      </c>
      <c r="AP20">
        <v>24441.691667119441</v>
      </c>
      <c r="AQ20">
        <v>0.88256381034344011</v>
      </c>
      <c r="AR20">
        <v>512.30535782003642</v>
      </c>
      <c r="AS20">
        <v>5.0563376109873985</v>
      </c>
      <c r="AT20">
        <v>151.17850000000004</v>
      </c>
      <c r="AU20">
        <v>5745.0966942706336</v>
      </c>
      <c r="AV20">
        <v>6230.908958613295</v>
      </c>
    </row>
    <row r="21" spans="2:48" x14ac:dyDescent="0.25">
      <c r="B21">
        <v>18</v>
      </c>
      <c r="C21">
        <v>0.182</v>
      </c>
      <c r="D21">
        <v>2.5699999999999998E-3</v>
      </c>
      <c r="E21">
        <v>5.9363999999999999E-4</v>
      </c>
      <c r="F21">
        <v>0.16346304</v>
      </c>
      <c r="G21">
        <v>0.14916723794549266</v>
      </c>
      <c r="H21">
        <v>196.99999999999997</v>
      </c>
      <c r="I21">
        <v>9.0383773584905658</v>
      </c>
      <c r="J21">
        <v>123.30566037735852</v>
      </c>
      <c r="K21">
        <v>8.899037735849058</v>
      </c>
      <c r="L21">
        <v>0.15050370020964363</v>
      </c>
      <c r="M21">
        <v>96.066037735849093</v>
      </c>
      <c r="N21">
        <v>8.9103396226415086</v>
      </c>
      <c r="O21">
        <v>173.56037735849063</v>
      </c>
      <c r="P21">
        <v>8.8219811320754715</v>
      </c>
      <c r="Q21">
        <v>632.40442261827695</v>
      </c>
      <c r="R21">
        <v>544.23370596488428</v>
      </c>
      <c r="S21">
        <v>13.152182270861237</v>
      </c>
      <c r="T21">
        <v>0.13933962264150779</v>
      </c>
      <c r="U21">
        <v>507.22161776998337</v>
      </c>
      <c r="V21">
        <v>605.91006372656364</v>
      </c>
      <c r="W21">
        <v>14.852976284404773</v>
      </c>
      <c r="X21">
        <v>8.8358490566037062E-2</v>
      </c>
      <c r="Y21">
        <v>0.12931648744799246</v>
      </c>
      <c r="Z21">
        <v>160.15283018867925</v>
      </c>
      <c r="AA21">
        <v>8.9687075471698119</v>
      </c>
      <c r="AB21">
        <v>2.2774940026996919E-5</v>
      </c>
      <c r="AC21">
        <v>1.1969940800325429</v>
      </c>
      <c r="AD21">
        <v>3.2289485734106303E-2</v>
      </c>
      <c r="AE21">
        <v>123.73000333204054</v>
      </c>
      <c r="AF21">
        <v>134.81320754716987</v>
      </c>
      <c r="AG21">
        <v>8.8661603773584901</v>
      </c>
      <c r="AH21">
        <v>2.1908440547826004E-5</v>
      </c>
      <c r="AI21">
        <v>1.2466486227870559</v>
      </c>
      <c r="AJ21">
        <v>3.0807006840594144E-2</v>
      </c>
      <c r="AK21">
        <v>134.9717631860357</v>
      </c>
      <c r="AL21">
        <v>28354.772888049283</v>
      </c>
      <c r="AM21">
        <v>0.84428313940646438</v>
      </c>
      <c r="AN21">
        <v>505.45220476110325</v>
      </c>
      <c r="AO21">
        <v>7.7115344332176186</v>
      </c>
      <c r="AP21">
        <v>29740.322862591704</v>
      </c>
      <c r="AQ21">
        <v>0.88655569097256182</v>
      </c>
      <c r="AR21">
        <v>598.28399793562619</v>
      </c>
      <c r="AS21">
        <v>5.2400435746768022</v>
      </c>
      <c r="AT21">
        <v>147.48301886792456</v>
      </c>
      <c r="AU21">
        <v>6350.50262836818</v>
      </c>
      <c r="AV21">
        <v>7171.7273217979964</v>
      </c>
    </row>
    <row r="22" spans="2:48" x14ac:dyDescent="0.25">
      <c r="B22">
        <v>19</v>
      </c>
      <c r="C22">
        <v>0.182</v>
      </c>
      <c r="D22">
        <v>2.5699999999999998E-3</v>
      </c>
      <c r="E22">
        <v>5.9363999999999999E-4</v>
      </c>
      <c r="F22">
        <v>0.16346304</v>
      </c>
      <c r="G22">
        <v>0.17643392156862744</v>
      </c>
      <c r="H22">
        <v>164.22205882352941</v>
      </c>
      <c r="I22">
        <v>9.021735294117649</v>
      </c>
      <c r="J22">
        <v>116.64264705882351</v>
      </c>
      <c r="K22">
        <v>8.8452058823529427</v>
      </c>
      <c r="L22">
        <v>0.17615957924836606</v>
      </c>
      <c r="M22">
        <v>99.419117647058798</v>
      </c>
      <c r="N22">
        <v>9.0993823529411699</v>
      </c>
      <c r="O22">
        <v>148.68823529411753</v>
      </c>
      <c r="P22">
        <v>8.9911323529411753</v>
      </c>
      <c r="Q22">
        <v>593.98090891662389</v>
      </c>
      <c r="R22">
        <v>535.92800864767014</v>
      </c>
      <c r="S22">
        <v>10.242500852883937</v>
      </c>
      <c r="T22">
        <v>0.17652941176470627</v>
      </c>
      <c r="U22">
        <v>510.52830130207508</v>
      </c>
      <c r="V22">
        <v>575.41412672155889</v>
      </c>
      <c r="W22">
        <v>11.430259705079203</v>
      </c>
      <c r="X22">
        <v>0.10824999999999463</v>
      </c>
      <c r="Y22">
        <v>0.11596375428768783</v>
      </c>
      <c r="Z22">
        <v>140.43235294117648</v>
      </c>
      <c r="AA22">
        <v>8.9334705882352949</v>
      </c>
      <c r="AB22">
        <v>2.211230727638261E-5</v>
      </c>
      <c r="AC22">
        <v>1.2347457973576319</v>
      </c>
      <c r="AD22">
        <v>3.1153653834025994E-2</v>
      </c>
      <c r="AE22">
        <v>132.96638019508876</v>
      </c>
      <c r="AF22">
        <v>124.05367647058816</v>
      </c>
      <c r="AG22">
        <v>9.0452573529411726</v>
      </c>
      <c r="AH22">
        <v>2.1670712696103245E-5</v>
      </c>
      <c r="AI22">
        <v>1.2913828883307013</v>
      </c>
      <c r="AJ22">
        <v>3.0481363861896194E-2</v>
      </c>
      <c r="AK22">
        <v>145.10244697509754</v>
      </c>
      <c r="AL22">
        <v>34542.836213755472</v>
      </c>
      <c r="AM22">
        <v>0.87640052190519013</v>
      </c>
      <c r="AN22">
        <v>631.19240157459194</v>
      </c>
      <c r="AO22">
        <v>7.5046905533640045</v>
      </c>
      <c r="AP22">
        <v>35191.926086665801</v>
      </c>
      <c r="AQ22">
        <v>0.9181081161746184</v>
      </c>
      <c r="AR22">
        <v>719.92365887302253</v>
      </c>
      <c r="AS22">
        <v>5.0376519225301353</v>
      </c>
      <c r="AT22">
        <v>132.24301470588233</v>
      </c>
      <c r="AU22">
        <v>7651.3422495417753</v>
      </c>
      <c r="AV22">
        <v>8538.6206221386128</v>
      </c>
    </row>
    <row r="23" spans="2:48" x14ac:dyDescent="0.25">
      <c r="B23">
        <v>20</v>
      </c>
      <c r="C23">
        <v>0.182</v>
      </c>
      <c r="D23">
        <v>2.5699999999999998E-3</v>
      </c>
      <c r="E23">
        <v>5.9363999999999999E-4</v>
      </c>
      <c r="F23">
        <v>0.16346304</v>
      </c>
      <c r="G23">
        <v>4.846226068376068E-2</v>
      </c>
      <c r="H23">
        <v>222.50769230769237</v>
      </c>
      <c r="I23">
        <v>8.4964769230769264</v>
      </c>
      <c r="J23">
        <v>126.07692307692311</v>
      </c>
      <c r="K23">
        <v>8.4796615384615386</v>
      </c>
      <c r="L23">
        <v>5.0217662393162388E-2</v>
      </c>
      <c r="M23">
        <v>104.37846153846156</v>
      </c>
      <c r="N23">
        <v>8.7978923076923063</v>
      </c>
      <c r="O23">
        <v>196.50769230769234</v>
      </c>
      <c r="P23">
        <v>8.8009384615384629</v>
      </c>
      <c r="Q23">
        <v>663.57454289482678</v>
      </c>
      <c r="R23">
        <v>550.31019938014833</v>
      </c>
      <c r="S23">
        <v>5.4890461415833656</v>
      </c>
      <c r="T23">
        <v>1.6815384615387785E-2</v>
      </c>
      <c r="U23">
        <v>519.81713952699567</v>
      </c>
      <c r="V23">
        <v>632.71417181179663</v>
      </c>
      <c r="W23">
        <v>5.6694250524680889</v>
      </c>
      <c r="X23">
        <v>-3.0461538461565851E-3</v>
      </c>
      <c r="Y23">
        <v>3.2861613153190111E-2</v>
      </c>
      <c r="Z23">
        <v>174.29230769230773</v>
      </c>
      <c r="AA23">
        <v>8.4880692307692325</v>
      </c>
      <c r="AB23">
        <v>2.3121240470751057E-5</v>
      </c>
      <c r="AC23">
        <v>1.1654688580852726</v>
      </c>
      <c r="AD23">
        <v>3.2840754575618733E-2</v>
      </c>
      <c r="AE23">
        <v>110.86732666947881</v>
      </c>
      <c r="AF23">
        <v>150.44307692307694</v>
      </c>
      <c r="AG23">
        <v>8.7994153846153846</v>
      </c>
      <c r="AH23">
        <v>2.2388508766829308E-5</v>
      </c>
      <c r="AI23">
        <v>1.2078749307037722</v>
      </c>
      <c r="AJ23">
        <v>3.1599193988407701E-2</v>
      </c>
      <c r="AK23">
        <v>125.57559848752368</v>
      </c>
      <c r="AL23">
        <v>9074.0779504141447</v>
      </c>
      <c r="AM23">
        <v>0.82053795892275205</v>
      </c>
      <c r="AN23">
        <v>220.37023049634578</v>
      </c>
      <c r="AO23">
        <v>7.900254572470871</v>
      </c>
      <c r="AP23">
        <v>9710.4932817537665</v>
      </c>
      <c r="AQ23">
        <v>0.85579772968941581</v>
      </c>
      <c r="AR23">
        <v>236.55502887243938</v>
      </c>
      <c r="AS23">
        <v>-1.5096704307587527</v>
      </c>
      <c r="AT23">
        <v>162.36769230769232</v>
      </c>
      <c r="AU23">
        <v>2816.0018114797758</v>
      </c>
      <c r="AV23">
        <v>2908.5401736473141</v>
      </c>
    </row>
    <row r="24" spans="2:48" x14ac:dyDescent="0.25">
      <c r="B24">
        <v>21</v>
      </c>
      <c r="C24">
        <v>0.182</v>
      </c>
      <c r="D24">
        <v>2.5699999999999998E-3</v>
      </c>
      <c r="E24">
        <v>5.9363999999999999E-4</v>
      </c>
      <c r="F24">
        <v>0.16346304</v>
      </c>
      <c r="G24">
        <v>7.4237675438596495E-2</v>
      </c>
      <c r="H24">
        <v>215.35087719298247</v>
      </c>
      <c r="I24">
        <v>8.565771929824562</v>
      </c>
      <c r="J24">
        <v>126.14561403508776</v>
      </c>
      <c r="K24">
        <v>8.529263157894734</v>
      </c>
      <c r="L24">
        <v>7.4863689083820684E-2</v>
      </c>
      <c r="M24">
        <v>102.32105263157894</v>
      </c>
      <c r="N24">
        <v>8.7117192982456153</v>
      </c>
      <c r="O24">
        <v>190.28421052631586</v>
      </c>
      <c r="P24">
        <v>8.7045263157894759</v>
      </c>
      <c r="Q24">
        <v>655.18305109711207</v>
      </c>
      <c r="R24">
        <v>550.0985922038376</v>
      </c>
      <c r="S24">
        <v>7.8012259529594452</v>
      </c>
      <c r="T24">
        <v>3.6508771929828043E-2</v>
      </c>
      <c r="U24">
        <v>517.63164848611757</v>
      </c>
      <c r="V24">
        <v>625.88099568984342</v>
      </c>
      <c r="W24">
        <v>8.1039454725862861</v>
      </c>
      <c r="X24">
        <v>7.1929824561394184E-3</v>
      </c>
      <c r="Y24">
        <v>3.8804095850089079E-2</v>
      </c>
      <c r="Z24">
        <v>170.74824561403511</v>
      </c>
      <c r="AA24">
        <v>8.547517543859648</v>
      </c>
      <c r="AB24">
        <v>2.3011441959403174E-5</v>
      </c>
      <c r="AC24">
        <v>1.1706955985133753</v>
      </c>
      <c r="AD24">
        <v>3.2657107446007444E-2</v>
      </c>
      <c r="AE24">
        <v>113.04196456359871</v>
      </c>
      <c r="AF24">
        <v>146.3026315789474</v>
      </c>
      <c r="AG24">
        <v>8.7081228070175456</v>
      </c>
      <c r="AH24">
        <v>2.2217152380581434E-5</v>
      </c>
      <c r="AI24">
        <v>1.2125732175369088</v>
      </c>
      <c r="AJ24">
        <v>3.1292970185226483E-2</v>
      </c>
      <c r="AK24">
        <v>126.10654918013394</v>
      </c>
      <c r="AL24">
        <v>13966.593655039707</v>
      </c>
      <c r="AM24">
        <v>0.82491671566009517</v>
      </c>
      <c r="AN24">
        <v>307.27536186531927</v>
      </c>
      <c r="AO24">
        <v>7.4529161588574242</v>
      </c>
      <c r="AP24">
        <v>14587.900665409652</v>
      </c>
      <c r="AQ24">
        <v>0.86089379778170927</v>
      </c>
      <c r="AR24">
        <v>333.11356697305149</v>
      </c>
      <c r="AS24">
        <v>1.6108022894064378</v>
      </c>
      <c r="AT24">
        <v>158.52543859649126</v>
      </c>
      <c r="AU24">
        <v>3904.5620653488522</v>
      </c>
      <c r="AV24">
        <v>4056.0750659852711</v>
      </c>
    </row>
    <row r="25" spans="2:48" x14ac:dyDescent="0.25">
      <c r="B25">
        <v>22</v>
      </c>
      <c r="C25">
        <v>0.182</v>
      </c>
      <c r="D25">
        <v>2.5699999999999998E-3</v>
      </c>
      <c r="E25">
        <v>5.9363999999999999E-4</v>
      </c>
      <c r="F25">
        <v>0.16346304</v>
      </c>
      <c r="G25">
        <v>9.8998338574423458E-2</v>
      </c>
      <c r="H25">
        <v>214.78679245283021</v>
      </c>
      <c r="I25">
        <v>9.0319056603773618</v>
      </c>
      <c r="J25">
        <v>127.67358490566039</v>
      </c>
      <c r="K25">
        <v>8.9704339622641527</v>
      </c>
      <c r="L25">
        <v>0.10093650943396226</v>
      </c>
      <c r="M25">
        <v>100.54339622641508</v>
      </c>
      <c r="N25">
        <v>9.0726037735849072</v>
      </c>
      <c r="O25">
        <v>188.49811320754716</v>
      </c>
      <c r="P25">
        <v>9.049452830188681</v>
      </c>
      <c r="Q25">
        <v>652.97386696159731</v>
      </c>
      <c r="R25">
        <v>549.39048653462055</v>
      </c>
      <c r="S25">
        <v>10.254582566193154</v>
      </c>
      <c r="T25">
        <v>6.1471698113209072E-2</v>
      </c>
      <c r="U25">
        <v>512.34968647529263</v>
      </c>
      <c r="V25">
        <v>622.47162489230413</v>
      </c>
      <c r="W25">
        <v>11.115324075914893</v>
      </c>
      <c r="X25">
        <v>2.3150943396226253E-2</v>
      </c>
      <c r="Y25">
        <v>8.3937254799565736E-2</v>
      </c>
      <c r="Z25">
        <v>171.23018867924532</v>
      </c>
      <c r="AA25">
        <v>9.0011698113207572</v>
      </c>
      <c r="AB25">
        <v>2.3166219529616224E-5</v>
      </c>
      <c r="AC25">
        <v>1.1827246902651716</v>
      </c>
      <c r="AD25">
        <v>3.2975179395746346E-2</v>
      </c>
      <c r="AE25">
        <v>119.47447766492927</v>
      </c>
      <c r="AF25">
        <v>144.52075471698112</v>
      </c>
      <c r="AG25">
        <v>9.0610283018867932</v>
      </c>
      <c r="AH25">
        <v>2.2292663491914973E-5</v>
      </c>
      <c r="AI25">
        <v>1.2301367110403667</v>
      </c>
      <c r="AJ25">
        <v>3.1475476228218009E-2</v>
      </c>
      <c r="AK25">
        <v>132.90847415446953</v>
      </c>
      <c r="AL25">
        <v>18500.467609284624</v>
      </c>
      <c r="AM25">
        <v>0.83090555744830008</v>
      </c>
      <c r="AN25">
        <v>366.10839074451508</v>
      </c>
      <c r="AO25">
        <v>7.4581752204402649</v>
      </c>
      <c r="AP25">
        <v>19601.815110565243</v>
      </c>
      <c r="AQ25">
        <v>0.87125047924418653</v>
      </c>
      <c r="AR25">
        <v>415.74657761842127</v>
      </c>
      <c r="AS25">
        <v>3.0058191372599454</v>
      </c>
      <c r="AT25">
        <v>157.87547169811322</v>
      </c>
      <c r="AU25">
        <v>4697.4668727970375</v>
      </c>
      <c r="AV25">
        <v>5091.7593466115222</v>
      </c>
    </row>
    <row r="26" spans="2:48" x14ac:dyDescent="0.25">
      <c r="B26">
        <v>23</v>
      </c>
      <c r="C26">
        <v>0.182</v>
      </c>
      <c r="D26">
        <v>2.5699999999999998E-3</v>
      </c>
      <c r="E26">
        <v>5.9363999999999999E-4</v>
      </c>
      <c r="F26">
        <v>0.16346304</v>
      </c>
      <c r="G26">
        <v>0.12297697649572652</v>
      </c>
      <c r="H26">
        <v>225.14615384615385</v>
      </c>
      <c r="I26">
        <v>8.2862500000000026</v>
      </c>
      <c r="J26">
        <v>130.68269230769232</v>
      </c>
      <c r="K26">
        <v>8.1759999999999984</v>
      </c>
      <c r="L26">
        <v>0.12426900641025641</v>
      </c>
      <c r="M26">
        <v>99.296153846153842</v>
      </c>
      <c r="N26">
        <v>8.5172500000000007</v>
      </c>
      <c r="O26">
        <v>195.92884615384608</v>
      </c>
      <c r="P26">
        <v>8.461211538461539</v>
      </c>
      <c r="Q26">
        <v>667.24910039184374</v>
      </c>
      <c r="R26">
        <v>557.80361426442744</v>
      </c>
      <c r="S26">
        <v>13.459274975054637</v>
      </c>
      <c r="T26">
        <v>0.11025000000000418</v>
      </c>
      <c r="U26">
        <v>514.94814836790169</v>
      </c>
      <c r="V26">
        <v>633.31038508011886</v>
      </c>
      <c r="W26">
        <v>14.708757552722803</v>
      </c>
      <c r="X26">
        <v>5.6038461538461704E-2</v>
      </c>
      <c r="Y26">
        <v>9.2834315368691994E-2</v>
      </c>
      <c r="Z26">
        <v>177.91442307692307</v>
      </c>
      <c r="AA26">
        <v>8.2311250000000005</v>
      </c>
      <c r="AB26">
        <v>2.3181277932574782E-5</v>
      </c>
      <c r="AC26">
        <v>1.1556077760294998</v>
      </c>
      <c r="AD26">
        <v>3.2906461321826744E-2</v>
      </c>
      <c r="AE26">
        <v>105.95907475518683</v>
      </c>
      <c r="AF26">
        <v>147.61249999999995</v>
      </c>
      <c r="AG26">
        <v>8.4892307692307689</v>
      </c>
      <c r="AH26">
        <v>2.2182692195394555E-5</v>
      </c>
      <c r="AI26">
        <v>1.2018427993914955</v>
      </c>
      <c r="AJ26">
        <v>3.1201087354335133E-2</v>
      </c>
      <c r="AK26">
        <v>121.88886832931587</v>
      </c>
      <c r="AL26">
        <v>22966.584013936783</v>
      </c>
      <c r="AM26">
        <v>0.8140791796234792</v>
      </c>
      <c r="AN26">
        <v>424.43759031945228</v>
      </c>
      <c r="AO26">
        <v>7.6878902829401996</v>
      </c>
      <c r="AP26">
        <v>24252.613172449204</v>
      </c>
      <c r="AQ26">
        <v>0.85446089052562046</v>
      </c>
      <c r="AR26">
        <v>489.19230419452526</v>
      </c>
      <c r="AS26">
        <v>4.4021277392986287</v>
      </c>
      <c r="AT26">
        <v>162.76346153846151</v>
      </c>
      <c r="AU26">
        <v>5434.528851897433</v>
      </c>
      <c r="AV26">
        <v>5939.0396172147348</v>
      </c>
    </row>
    <row r="27" spans="2:48" x14ac:dyDescent="0.25">
      <c r="B27">
        <v>24</v>
      </c>
      <c r="C27">
        <v>0.182</v>
      </c>
      <c r="D27">
        <v>2.5699999999999998E-3</v>
      </c>
      <c r="E27">
        <v>5.9363999999999999E-4</v>
      </c>
      <c r="F27">
        <v>0.16346304</v>
      </c>
      <c r="G27">
        <v>0.14889437996031749</v>
      </c>
      <c r="H27">
        <v>212.49642857142848</v>
      </c>
      <c r="I27">
        <v>8.6771964285714311</v>
      </c>
      <c r="J27">
        <v>129.57678571428568</v>
      </c>
      <c r="K27">
        <v>8.5280714285714261</v>
      </c>
      <c r="L27">
        <v>0.15033824900793649</v>
      </c>
      <c r="M27">
        <v>100.03214285714292</v>
      </c>
      <c r="N27">
        <v>9.0160357142857155</v>
      </c>
      <c r="O27">
        <v>184.92678571428564</v>
      </c>
      <c r="P27">
        <v>8.9338749999999987</v>
      </c>
      <c r="Q27">
        <v>651.54208425607851</v>
      </c>
      <c r="R27">
        <v>554.39804218491872</v>
      </c>
      <c r="S27">
        <v>14.464201911024333</v>
      </c>
      <c r="T27">
        <v>0.14912500000000506</v>
      </c>
      <c r="U27">
        <v>512.06596500157514</v>
      </c>
      <c r="V27">
        <v>618.75852634960995</v>
      </c>
      <c r="W27">
        <v>16.039972855235398</v>
      </c>
      <c r="X27">
        <v>8.2160714285716807E-2</v>
      </c>
      <c r="Y27">
        <v>0.10894281992911364</v>
      </c>
      <c r="Z27">
        <v>171.03660714285706</v>
      </c>
      <c r="AA27">
        <v>8.6026339285714286</v>
      </c>
      <c r="AB27">
        <v>2.3038075393558613E-5</v>
      </c>
      <c r="AC27">
        <v>1.1719039364644552</v>
      </c>
      <c r="AD27">
        <v>3.2709673886651254E-2</v>
      </c>
      <c r="AE27">
        <v>113.73384052436489</v>
      </c>
      <c r="AF27">
        <v>142.47946428571427</v>
      </c>
      <c r="AG27">
        <v>8.9749553571428571</v>
      </c>
      <c r="AH27">
        <v>2.2193844885033926E-5</v>
      </c>
      <c r="AI27">
        <v>1.2314782006054292</v>
      </c>
      <c r="AJ27">
        <v>3.1296267331718926E-2</v>
      </c>
      <c r="AK27">
        <v>132.555903885042</v>
      </c>
      <c r="AL27">
        <v>27979.637096453236</v>
      </c>
      <c r="AM27">
        <v>0.82539530463781963</v>
      </c>
      <c r="AN27">
        <v>486.90816221614705</v>
      </c>
      <c r="AO27">
        <v>7.6141529044974181</v>
      </c>
      <c r="AP27">
        <v>29325.600116412399</v>
      </c>
      <c r="AQ27">
        <v>0.87330657914713172</v>
      </c>
      <c r="AR27">
        <v>564.33876001191686</v>
      </c>
      <c r="AS27">
        <v>4.7958142097976628</v>
      </c>
      <c r="AT27">
        <v>156.75803571428565</v>
      </c>
      <c r="AU27">
        <v>6197.1234236727078</v>
      </c>
      <c r="AV27">
        <v>6872.2555248963899</v>
      </c>
    </row>
    <row r="28" spans="2:48" x14ac:dyDescent="0.25">
      <c r="B28">
        <v>25</v>
      </c>
      <c r="C28">
        <v>0.182</v>
      </c>
      <c r="D28">
        <v>2.5699999999999998E-3</v>
      </c>
      <c r="E28">
        <v>5.9363999999999999E-4</v>
      </c>
      <c r="F28">
        <v>0.16346304</v>
      </c>
      <c r="G28">
        <v>4.8617518832391723E-2</v>
      </c>
      <c r="H28">
        <v>163.08644067796604</v>
      </c>
      <c r="I28">
        <v>8.4980508474576268</v>
      </c>
      <c r="J28">
        <v>129.935593220339</v>
      </c>
      <c r="K28">
        <v>8.4786440677966102</v>
      </c>
      <c r="L28">
        <v>5.0548573446327669E-2</v>
      </c>
      <c r="M28">
        <v>131.27627118644062</v>
      </c>
      <c r="N28">
        <v>9.031745762711866</v>
      </c>
      <c r="O28">
        <v>158.50508474576276</v>
      </c>
      <c r="P28">
        <v>9.0226440677966071</v>
      </c>
      <c r="Q28">
        <v>595.01242210200917</v>
      </c>
      <c r="R28">
        <v>555.13220993717175</v>
      </c>
      <c r="S28">
        <v>1.9388769659637606</v>
      </c>
      <c r="T28">
        <v>1.9406779661016671E-2</v>
      </c>
      <c r="U28">
        <v>553.60360780101394</v>
      </c>
      <c r="V28">
        <v>587.13426192481859</v>
      </c>
      <c r="W28">
        <v>1.6949267326805493</v>
      </c>
      <c r="X28">
        <v>9.1016949152589177E-3</v>
      </c>
      <c r="Y28">
        <v>-0.12582037827343551</v>
      </c>
      <c r="Z28">
        <v>146.51101694915252</v>
      </c>
      <c r="AA28">
        <v>8.4883474576271176</v>
      </c>
      <c r="AB28">
        <v>2.2144850382540427E-5</v>
      </c>
      <c r="AC28">
        <v>1.2038733994572643</v>
      </c>
      <c r="AD28">
        <v>3.1136072381145134E-2</v>
      </c>
      <c r="AE28">
        <v>122.39359009389682</v>
      </c>
      <c r="AF28">
        <v>144.89067796610169</v>
      </c>
      <c r="AG28">
        <v>9.0271949152542366</v>
      </c>
      <c r="AH28">
        <v>2.2291317228681743E-5</v>
      </c>
      <c r="AI28">
        <v>1.2279496126361023</v>
      </c>
      <c r="AJ28">
        <v>3.1467843760880208E-2</v>
      </c>
      <c r="AK28">
        <v>132.14145955067397</v>
      </c>
      <c r="AL28">
        <v>9504.5160328129095</v>
      </c>
      <c r="AM28">
        <v>0.85622862075068662</v>
      </c>
      <c r="AN28">
        <v>1208.4372111794228</v>
      </c>
      <c r="AO28">
        <v>10.001487823017252</v>
      </c>
      <c r="AP28">
        <v>9817.0982673923845</v>
      </c>
      <c r="AQ28">
        <v>0.86985986596695108</v>
      </c>
      <c r="AR28">
        <v>1045.2534537292036</v>
      </c>
      <c r="AS28">
        <v>4.6846981156384011</v>
      </c>
      <c r="AT28">
        <v>145.70084745762711</v>
      </c>
      <c r="AU28">
        <v>14640.462441771082</v>
      </c>
      <c r="AV28">
        <v>12798.39391924942</v>
      </c>
    </row>
    <row r="29" spans="2:48" x14ac:dyDescent="0.25">
      <c r="B29">
        <v>26</v>
      </c>
      <c r="C29">
        <v>0.182</v>
      </c>
      <c r="D29">
        <v>2.5699999999999998E-3</v>
      </c>
      <c r="E29">
        <v>5.9363999999999999E-4</v>
      </c>
      <c r="F29">
        <v>0.16346304</v>
      </c>
      <c r="G29">
        <v>7.4521125992063508E-2</v>
      </c>
      <c r="H29">
        <v>170.65178571428572</v>
      </c>
      <c r="I29">
        <v>8.9484285714285701</v>
      </c>
      <c r="J29">
        <v>133.77678571428569</v>
      </c>
      <c r="K29">
        <v>8.91282142857143</v>
      </c>
      <c r="L29">
        <v>7.5520208333333311E-2</v>
      </c>
      <c r="M29">
        <v>131.54285714285712</v>
      </c>
      <c r="N29">
        <v>9.4999107142857131</v>
      </c>
      <c r="O29">
        <v>165.82142857142853</v>
      </c>
      <c r="P29">
        <v>9.4788035714285712</v>
      </c>
      <c r="Q29">
        <v>601.9387096207854</v>
      </c>
      <c r="R29">
        <v>557.43130272493295</v>
      </c>
      <c r="S29">
        <v>3.3167420768658569</v>
      </c>
      <c r="T29">
        <v>3.5607142857140062E-2</v>
      </c>
      <c r="U29">
        <v>551.22687172803319</v>
      </c>
      <c r="V29">
        <v>593.83734688603488</v>
      </c>
      <c r="W29">
        <v>3.2179519611146112</v>
      </c>
      <c r="X29">
        <v>2.1107142857141881E-2</v>
      </c>
      <c r="Y29">
        <v>-2.978528732767698E-2</v>
      </c>
      <c r="Z29">
        <v>152.21428571428572</v>
      </c>
      <c r="AA29">
        <v>8.9306249999999991</v>
      </c>
      <c r="AB29">
        <v>2.2494677377024909E-5</v>
      </c>
      <c r="AC29">
        <v>1.2092446354400677</v>
      </c>
      <c r="AD29">
        <v>3.1799524499202494E-2</v>
      </c>
      <c r="AE29">
        <v>126.83515038370055</v>
      </c>
      <c r="AF29">
        <v>148.68214285714282</v>
      </c>
      <c r="AG29">
        <v>9.4893571428571413</v>
      </c>
      <c r="AH29">
        <v>2.2592275824901442E-5</v>
      </c>
      <c r="AI29">
        <v>1.2371090754497243</v>
      </c>
      <c r="AJ29">
        <v>3.2042857748785E-2</v>
      </c>
      <c r="AK29">
        <v>137.8020142189537</v>
      </c>
      <c r="AL29">
        <v>14341.996310482016</v>
      </c>
      <c r="AM29">
        <v>0.85540800916078519</v>
      </c>
      <c r="AN29">
        <v>928.53090156643441</v>
      </c>
      <c r="AO29">
        <v>8.0938654829719052</v>
      </c>
      <c r="AP29">
        <v>14471.487194540026</v>
      </c>
      <c r="AQ29">
        <v>0.87224147350305392</v>
      </c>
      <c r="AR29">
        <v>894.03310808334345</v>
      </c>
      <c r="AS29">
        <v>5.0757088252319837</v>
      </c>
      <c r="AT29">
        <v>150.44821428571427</v>
      </c>
      <c r="AU29">
        <v>11489.043250049966</v>
      </c>
      <c r="AV29">
        <v>11146.838795727121</v>
      </c>
    </row>
    <row r="30" spans="2:48" x14ac:dyDescent="0.25">
      <c r="B30">
        <v>27</v>
      </c>
      <c r="C30">
        <v>0.182</v>
      </c>
      <c r="D30">
        <v>2.5699999999999998E-3</v>
      </c>
      <c r="E30">
        <v>5.9363999999999999E-4</v>
      </c>
      <c r="F30">
        <v>0.16346304</v>
      </c>
      <c r="G30">
        <v>9.8835975056689354E-2</v>
      </c>
      <c r="H30">
        <v>176.28163265306131</v>
      </c>
      <c r="I30">
        <v>8.7196122448979612</v>
      </c>
      <c r="J30">
        <v>136.03469387755095</v>
      </c>
      <c r="K30">
        <v>8.6545306122448977</v>
      </c>
      <c r="L30">
        <v>0.10123971088435373</v>
      </c>
      <c r="M30">
        <v>131.25510204081633</v>
      </c>
      <c r="N30">
        <v>9.2743673469387762</v>
      </c>
      <c r="O30">
        <v>169.66326530612244</v>
      </c>
      <c r="P30">
        <v>9.2337346938775529</v>
      </c>
      <c r="Q30">
        <v>609.53246534119694</v>
      </c>
      <c r="R30">
        <v>561.68463929550455</v>
      </c>
      <c r="S30">
        <v>4.7290865415688641</v>
      </c>
      <c r="T30">
        <v>6.5081632653063437E-2</v>
      </c>
      <c r="U30">
        <v>552.16896259925591</v>
      </c>
      <c r="V30">
        <v>599.52321327016705</v>
      </c>
      <c r="W30">
        <v>4.7941306470682576</v>
      </c>
      <c r="X30">
        <v>4.0632653061223323E-2</v>
      </c>
      <c r="Y30">
        <v>1.375405269657326E-2</v>
      </c>
      <c r="Z30">
        <v>156.15816326530614</v>
      </c>
      <c r="AA30">
        <v>8.6870714285714286</v>
      </c>
      <c r="AB30">
        <v>2.2543488525981476E-5</v>
      </c>
      <c r="AC30">
        <v>1.1941146250406995</v>
      </c>
      <c r="AD30">
        <v>3.1852311619304421E-2</v>
      </c>
      <c r="AE30">
        <v>121.14165931194151</v>
      </c>
      <c r="AF30">
        <v>150.4591836734694</v>
      </c>
      <c r="AG30">
        <v>9.2540510204081645</v>
      </c>
      <c r="AH30">
        <v>2.2556780841638163E-5</v>
      </c>
      <c r="AI30">
        <v>1.2243764095204579</v>
      </c>
      <c r="AJ30">
        <v>3.1949677714469722E-2</v>
      </c>
      <c r="AK30">
        <v>132.96298104760399</v>
      </c>
      <c r="AL30">
        <v>18980.335969423253</v>
      </c>
      <c r="AM30">
        <v>0.84513518736256599</v>
      </c>
      <c r="AN30">
        <v>819.18643379144123</v>
      </c>
      <c r="AO30">
        <v>8.032669506150393</v>
      </c>
      <c r="AP30">
        <v>19430.489567197001</v>
      </c>
      <c r="AQ30">
        <v>0.86442156268502357</v>
      </c>
      <c r="AR30">
        <v>827.92277415950321</v>
      </c>
      <c r="AS30">
        <v>5.2461677677040015</v>
      </c>
      <c r="AT30">
        <v>153.30867346938777</v>
      </c>
      <c r="AU30">
        <v>10152.911114175749</v>
      </c>
      <c r="AV30">
        <v>10292.554788663747</v>
      </c>
    </row>
    <row r="31" spans="2:48" x14ac:dyDescent="0.25">
      <c r="B31">
        <v>28</v>
      </c>
      <c r="C31">
        <v>0.182</v>
      </c>
      <c r="D31">
        <v>2.5699999999999998E-3</v>
      </c>
      <c r="E31">
        <v>5.9363999999999999E-4</v>
      </c>
      <c r="F31">
        <v>0.16346304</v>
      </c>
      <c r="G31">
        <v>0.12361851307189549</v>
      </c>
      <c r="H31">
        <v>169.57058823529414</v>
      </c>
      <c r="I31">
        <v>8.8153529411764708</v>
      </c>
      <c r="J31">
        <v>135.93725490196078</v>
      </c>
      <c r="K31">
        <v>8.7161372549019607</v>
      </c>
      <c r="L31">
        <v>0.12490543028322446</v>
      </c>
      <c r="M31">
        <v>129.92745098039217</v>
      </c>
      <c r="N31">
        <v>8.9493529411764694</v>
      </c>
      <c r="O31">
        <v>164.46862745098034</v>
      </c>
      <c r="P31">
        <v>8.8900196078431417</v>
      </c>
      <c r="Q31">
        <v>601.24151638894091</v>
      </c>
      <c r="R31">
        <v>561.22244591623939</v>
      </c>
      <c r="S31">
        <v>4.9470979863547591</v>
      </c>
      <c r="T31">
        <v>9.9215686274510162E-2</v>
      </c>
      <c r="U31">
        <v>552.37674259358027</v>
      </c>
      <c r="V31">
        <v>594.87019365273102</v>
      </c>
      <c r="W31">
        <v>5.3076627887623635</v>
      </c>
      <c r="X31">
        <v>5.9333333333327687E-2</v>
      </c>
      <c r="Y31">
        <v>7.2884103650690896E-2</v>
      </c>
      <c r="Z31">
        <v>152.75392156862745</v>
      </c>
      <c r="AA31">
        <v>8.7657450980392149</v>
      </c>
      <c r="AB31">
        <v>2.2454376274552232E-5</v>
      </c>
      <c r="AC31">
        <v>1.2024821830544223</v>
      </c>
      <c r="AD31">
        <v>3.1708000172194557E-2</v>
      </c>
      <c r="AE31">
        <v>123.93813476804056</v>
      </c>
      <c r="AF31">
        <v>147.19803921568626</v>
      </c>
      <c r="AG31">
        <v>8.9196862745098056</v>
      </c>
      <c r="AH31">
        <v>2.2325094626706936E-5</v>
      </c>
      <c r="AI31">
        <v>1.2187550809628196</v>
      </c>
      <c r="AJ31">
        <v>3.1508333800799114E-2</v>
      </c>
      <c r="AK31">
        <v>129.14879080594807</v>
      </c>
      <c r="AL31">
        <v>23833.755861626298</v>
      </c>
      <c r="AM31">
        <v>0.85155125694198641</v>
      </c>
      <c r="AN31">
        <v>883.02330803775715</v>
      </c>
      <c r="AO31">
        <v>8.0085945925956601</v>
      </c>
      <c r="AP31">
        <v>24221.329535715256</v>
      </c>
      <c r="AQ31">
        <v>0.86354367962753875</v>
      </c>
      <c r="AR31">
        <v>953.38516966349653</v>
      </c>
      <c r="AS31">
        <v>4.8883747946210949</v>
      </c>
      <c r="AT31">
        <v>149.97598039215686</v>
      </c>
      <c r="AU31">
        <v>10894.514865102341</v>
      </c>
      <c r="AV31">
        <v>11688.551815754454</v>
      </c>
    </row>
    <row r="32" spans="2:48" x14ac:dyDescent="0.25">
      <c r="B32">
        <v>29</v>
      </c>
      <c r="C32">
        <v>0.182</v>
      </c>
      <c r="D32">
        <v>2.5699999999999998E-3</v>
      </c>
      <c r="E32">
        <v>5.9363999999999999E-4</v>
      </c>
      <c r="F32">
        <v>0.16346304</v>
      </c>
      <c r="G32">
        <v>0.14921235875706212</v>
      </c>
      <c r="H32">
        <v>172.74915254237288</v>
      </c>
      <c r="I32">
        <v>9.3003220338983077</v>
      </c>
      <c r="J32">
        <v>138.1423728813559</v>
      </c>
      <c r="K32">
        <v>9.1649491525423716</v>
      </c>
      <c r="L32">
        <v>0.15084544256120527</v>
      </c>
      <c r="M32">
        <v>130.63220338983047</v>
      </c>
      <c r="N32">
        <v>9.4040847457627113</v>
      </c>
      <c r="O32">
        <v>167.06101694915256</v>
      </c>
      <c r="P32">
        <v>9.3205084745762772</v>
      </c>
      <c r="Q32">
        <v>602.9078944942728</v>
      </c>
      <c r="R32">
        <v>561.48848536027629</v>
      </c>
      <c r="S32">
        <v>6.1802877352074228</v>
      </c>
      <c r="T32">
        <v>0.13537288135593606</v>
      </c>
      <c r="U32">
        <v>550.61425919684291</v>
      </c>
      <c r="V32">
        <v>596.03274699131373</v>
      </c>
      <c r="W32">
        <v>6.8511718918176507</v>
      </c>
      <c r="X32">
        <v>8.357627118643407E-2</v>
      </c>
      <c r="Y32">
        <v>0.10855225280020263</v>
      </c>
      <c r="Z32">
        <v>155.4457627118644</v>
      </c>
      <c r="AA32">
        <v>9.2326355932203406</v>
      </c>
      <c r="AB32">
        <v>2.271032629879818E-5</v>
      </c>
      <c r="AC32">
        <v>1.2137385044636904</v>
      </c>
      <c r="AD32">
        <v>3.2209262504404174E-2</v>
      </c>
      <c r="AE32">
        <v>130.0856216594359</v>
      </c>
      <c r="AF32">
        <v>148.8466101694915</v>
      </c>
      <c r="AG32">
        <v>9.3622966101694942</v>
      </c>
      <c r="AH32">
        <v>2.2547310621929792E-5</v>
      </c>
      <c r="AI32">
        <v>1.2319171559991295</v>
      </c>
      <c r="AJ32">
        <v>3.1948939747454642E-2</v>
      </c>
      <c r="AK32">
        <v>135.60277471267094</v>
      </c>
      <c r="AL32">
        <v>28444.047063219878</v>
      </c>
      <c r="AM32">
        <v>0.85579101583020323</v>
      </c>
      <c r="AN32">
        <v>914.28857798257047</v>
      </c>
      <c r="AO32">
        <v>7.8720786012640254</v>
      </c>
      <c r="AP32">
        <v>28963.257975214463</v>
      </c>
      <c r="AQ32">
        <v>0.8694003305386574</v>
      </c>
      <c r="AR32">
        <v>1021.7950482565492</v>
      </c>
      <c r="AS32">
        <v>4.9570719646457784</v>
      </c>
      <c r="AT32">
        <v>152.14618644067795</v>
      </c>
      <c r="AU32">
        <v>11458.583973937362</v>
      </c>
      <c r="AV32">
        <v>12702.439078208561</v>
      </c>
    </row>
    <row r="33" spans="2:48" x14ac:dyDescent="0.25">
      <c r="B33">
        <v>30</v>
      </c>
      <c r="C33">
        <v>0.182</v>
      </c>
      <c r="D33">
        <v>2.5699999999999998E-3</v>
      </c>
      <c r="E33">
        <v>5.9363999999999999E-4</v>
      </c>
      <c r="F33">
        <v>0.16346304</v>
      </c>
      <c r="G33">
        <v>0.17169498971193412</v>
      </c>
      <c r="H33">
        <v>168.59012345679011</v>
      </c>
      <c r="I33">
        <v>9.5704074074074104</v>
      </c>
      <c r="J33">
        <v>139.63580246913588</v>
      </c>
      <c r="K33">
        <v>9.402246913580246</v>
      </c>
      <c r="L33">
        <v>0.17182681069958844</v>
      </c>
      <c r="M33">
        <v>134.05308641975304</v>
      </c>
      <c r="N33">
        <v>9.4977407407407419</v>
      </c>
      <c r="O33">
        <v>165.45925925925926</v>
      </c>
      <c r="P33">
        <v>9.390456790123455</v>
      </c>
      <c r="Q33">
        <v>596.76163180683716</v>
      </c>
      <c r="R33">
        <v>562.06594198073731</v>
      </c>
      <c r="S33">
        <v>5.9570761077406713</v>
      </c>
      <c r="T33">
        <v>0.16816049382716436</v>
      </c>
      <c r="U33">
        <v>554.45956323522773</v>
      </c>
      <c r="V33">
        <v>593.79843471915012</v>
      </c>
      <c r="W33">
        <v>6.7594728236033701</v>
      </c>
      <c r="X33">
        <v>0.10728395061728691</v>
      </c>
      <c r="Y33">
        <v>0.13469640161556073</v>
      </c>
      <c r="Z33">
        <v>154.112962962963</v>
      </c>
      <c r="AA33">
        <v>9.4863271604938291</v>
      </c>
      <c r="AB33">
        <v>2.2761429713149677E-5</v>
      </c>
      <c r="AC33">
        <v>1.2251517076087182</v>
      </c>
      <c r="AD33">
        <v>3.2328565253436005E-2</v>
      </c>
      <c r="AE33">
        <v>134.82822592798803</v>
      </c>
      <c r="AF33">
        <v>149.75617283950615</v>
      </c>
      <c r="AG33">
        <v>9.4440987654320985</v>
      </c>
      <c r="AH33">
        <v>2.2607834982877635E-5</v>
      </c>
      <c r="AI33">
        <v>1.2329478564678023</v>
      </c>
      <c r="AJ33">
        <v>3.206256295761617E-2</v>
      </c>
      <c r="AK33">
        <v>136.46190441952331</v>
      </c>
      <c r="AL33">
        <v>32656.38075767392</v>
      </c>
      <c r="AM33">
        <v>0.86258713500183215</v>
      </c>
      <c r="AN33">
        <v>1329.9142079892372</v>
      </c>
      <c r="AO33">
        <v>7.6546897632628834</v>
      </c>
      <c r="AP33">
        <v>32903.486704039162</v>
      </c>
      <c r="AQ33">
        <v>0.86937160071589015</v>
      </c>
      <c r="AR33">
        <v>1521.5684662542515</v>
      </c>
      <c r="AS33">
        <v>4.9351728826984731</v>
      </c>
      <c r="AT33">
        <v>151.93456790123457</v>
      </c>
      <c r="AU33">
        <v>16729.267803288607</v>
      </c>
      <c r="AV33">
        <v>18982.639978054634</v>
      </c>
    </row>
    <row r="34" spans="2:48" x14ac:dyDescent="0.25">
      <c r="B34">
        <v>31</v>
      </c>
      <c r="C34">
        <v>0.182</v>
      </c>
      <c r="D34">
        <v>2.5699999999999998E-3</v>
      </c>
      <c r="E34">
        <v>5.9363999999999999E-4</v>
      </c>
      <c r="F34">
        <v>0.16346304</v>
      </c>
      <c r="G34">
        <v>4.8555176767676768E-2</v>
      </c>
      <c r="H34">
        <v>192.41969696969699</v>
      </c>
      <c r="I34">
        <v>8.5644393939393986</v>
      </c>
      <c r="J34">
        <v>136.72727272727272</v>
      </c>
      <c r="K34">
        <v>8.544787878787881</v>
      </c>
      <c r="L34">
        <v>5.0557129629629619E-2</v>
      </c>
      <c r="M34">
        <v>130.09393939393939</v>
      </c>
      <c r="N34">
        <v>9.0433181818181776</v>
      </c>
      <c r="O34">
        <v>180.01212121212126</v>
      </c>
      <c r="P34">
        <v>9.0375303030303034</v>
      </c>
      <c r="Q34">
        <v>628.88359830561046</v>
      </c>
      <c r="R34">
        <v>563.14326833505754</v>
      </c>
      <c r="S34">
        <v>3.1920333424855958</v>
      </c>
      <c r="T34">
        <v>1.9651515151517529E-2</v>
      </c>
      <c r="U34">
        <v>552.03787763929779</v>
      </c>
      <c r="V34">
        <v>612.58839119447282</v>
      </c>
      <c r="W34">
        <v>3.0612601629496292</v>
      </c>
      <c r="X34">
        <v>5.7878787878742344E-3</v>
      </c>
      <c r="Y34">
        <v>-4.0968613264589261E-2</v>
      </c>
      <c r="Z34">
        <v>164.57348484848484</v>
      </c>
      <c r="AA34">
        <v>8.5546136363636407</v>
      </c>
      <c r="AB34">
        <v>2.2794195363524758E-5</v>
      </c>
      <c r="AC34">
        <v>1.1780678720964173</v>
      </c>
      <c r="AD34">
        <v>3.2275910690894007E-2</v>
      </c>
      <c r="AE34">
        <v>115.55644355625041</v>
      </c>
      <c r="AF34">
        <v>155.05303030303031</v>
      </c>
      <c r="AG34">
        <v>9.0404242424242405</v>
      </c>
      <c r="AH34">
        <v>2.2628334945900176E-5</v>
      </c>
      <c r="AI34">
        <v>1.207879014343838</v>
      </c>
      <c r="AJ34">
        <v>3.2043968839811685E-2</v>
      </c>
      <c r="AK34">
        <v>127.22118575403383</v>
      </c>
      <c r="AL34">
        <v>9221.9176613234795</v>
      </c>
      <c r="AM34">
        <v>0.83198610521727867</v>
      </c>
      <c r="AN34">
        <v>326.64406959502287</v>
      </c>
      <c r="AO34">
        <v>9.5864358967950221</v>
      </c>
      <c r="AP34">
        <v>9672.5231393847716</v>
      </c>
      <c r="AQ34">
        <v>0.85296209865047268</v>
      </c>
      <c r="AR34">
        <v>315.52937911639958</v>
      </c>
      <c r="AS34">
        <v>2.8671610769614504</v>
      </c>
      <c r="AT34">
        <v>159.81325757575758</v>
      </c>
      <c r="AU34">
        <v>4102.231446676702</v>
      </c>
      <c r="AV34">
        <v>3934.1687130159676</v>
      </c>
    </row>
    <row r="35" spans="2:48" x14ac:dyDescent="0.25">
      <c r="B35">
        <v>32</v>
      </c>
      <c r="C35">
        <v>0.182</v>
      </c>
      <c r="D35">
        <v>2.5699999999999998E-3</v>
      </c>
      <c r="E35">
        <v>5.9363999999999999E-4</v>
      </c>
      <c r="F35">
        <v>0.16346304</v>
      </c>
      <c r="G35">
        <v>7.4561086956521735E-2</v>
      </c>
      <c r="H35">
        <v>200.89999999999998</v>
      </c>
      <c r="I35">
        <v>9.074565217391303</v>
      </c>
      <c r="J35">
        <v>141.90144927536232</v>
      </c>
      <c r="K35">
        <v>9.0373043478260886</v>
      </c>
      <c r="L35">
        <v>7.5538099838969405E-2</v>
      </c>
      <c r="M35">
        <v>130.83768115942027</v>
      </c>
      <c r="N35">
        <v>9.5655797101449256</v>
      </c>
      <c r="O35">
        <v>187.89565217391299</v>
      </c>
      <c r="P35">
        <v>9.547826086956519</v>
      </c>
      <c r="Q35">
        <v>636.79362276311372</v>
      </c>
      <c r="R35">
        <v>566.8499463794285</v>
      </c>
      <c r="S35">
        <v>5.2150765369027692</v>
      </c>
      <c r="T35">
        <v>3.726086956521435E-2</v>
      </c>
      <c r="U35">
        <v>549.93395412043458</v>
      </c>
      <c r="V35">
        <v>619.82489396708684</v>
      </c>
      <c r="W35">
        <v>5.2794287919758238</v>
      </c>
      <c r="X35">
        <v>1.7753623188406564E-2</v>
      </c>
      <c r="Y35">
        <v>1.2339656880908101E-2</v>
      </c>
      <c r="Z35">
        <v>171.40072463768115</v>
      </c>
      <c r="AA35">
        <v>9.0559347826086949</v>
      </c>
      <c r="AB35">
        <v>2.3189243578566921E-5</v>
      </c>
      <c r="AC35">
        <v>1.184042729454768</v>
      </c>
      <c r="AD35">
        <v>3.3020756788961866E-2</v>
      </c>
      <c r="AE35">
        <v>120.20701680490909</v>
      </c>
      <c r="AF35">
        <v>159.36666666666662</v>
      </c>
      <c r="AG35">
        <v>9.5567028985507214</v>
      </c>
      <c r="AH35">
        <v>2.295561261012386E-5</v>
      </c>
      <c r="AI35">
        <v>1.217370826083898</v>
      </c>
      <c r="AJ35">
        <v>3.2669480007525842E-2</v>
      </c>
      <c r="AK35">
        <v>133.26122940332243</v>
      </c>
      <c r="AL35">
        <v>13919.883966179834</v>
      </c>
      <c r="AM35">
        <v>0.83150896377808436</v>
      </c>
      <c r="AN35">
        <v>412.67210415082809</v>
      </c>
      <c r="AO35">
        <v>8.0185600871921103</v>
      </c>
      <c r="AP35">
        <v>14245.809605221157</v>
      </c>
      <c r="AQ35">
        <v>0.85540060876422952</v>
      </c>
      <c r="AR35">
        <v>422.25632429898559</v>
      </c>
      <c r="AS35">
        <v>4.1266415384361688</v>
      </c>
      <c r="AT35">
        <v>165.38369565217388</v>
      </c>
      <c r="AU35">
        <v>5302.235480448885</v>
      </c>
      <c r="AV35">
        <v>5367.6632469794004</v>
      </c>
    </row>
    <row r="36" spans="2:48" x14ac:dyDescent="0.25">
      <c r="B36">
        <v>33</v>
      </c>
      <c r="C36">
        <v>0.182</v>
      </c>
      <c r="D36">
        <v>2.5699999999999998E-3</v>
      </c>
      <c r="E36">
        <v>5.9363999999999999E-4</v>
      </c>
      <c r="F36">
        <v>0.16346304</v>
      </c>
      <c r="G36">
        <v>9.9603588280060842E-2</v>
      </c>
      <c r="H36">
        <v>209.41232876712328</v>
      </c>
      <c r="I36">
        <v>9.6771232876712361</v>
      </c>
      <c r="J36">
        <v>145.8534246575343</v>
      </c>
      <c r="K36">
        <v>9.6143972602739698</v>
      </c>
      <c r="L36">
        <v>0.10180482496194826</v>
      </c>
      <c r="M36">
        <v>130.16301369863015</v>
      </c>
      <c r="N36">
        <v>9.8816712328767142</v>
      </c>
      <c r="O36">
        <v>193.97945205479448</v>
      </c>
      <c r="P36">
        <v>9.8511643835616436</v>
      </c>
      <c r="Q36">
        <v>644.55762457527237</v>
      </c>
      <c r="R36">
        <v>568.73000668174791</v>
      </c>
      <c r="S36">
        <v>7.5527028329243846</v>
      </c>
      <c r="T36">
        <v>6.2726027397266293E-2</v>
      </c>
      <c r="U36">
        <v>547.19590951286273</v>
      </c>
      <c r="V36">
        <v>625.83948709444996</v>
      </c>
      <c r="W36">
        <v>8.0062956500748861</v>
      </c>
      <c r="X36">
        <v>3.0506849315070639E-2</v>
      </c>
      <c r="Y36">
        <v>6.0057018948655186E-2</v>
      </c>
      <c r="Z36">
        <v>177.63287671232879</v>
      </c>
      <c r="AA36">
        <v>9.6457602739726021</v>
      </c>
      <c r="AB36">
        <v>2.3588996551482426E-5</v>
      </c>
      <c r="AC36">
        <v>1.1923720936721649</v>
      </c>
      <c r="AD36">
        <v>3.3740497433837807E-2</v>
      </c>
      <c r="AE36">
        <v>126.16478377483931</v>
      </c>
      <c r="AF36">
        <v>162.07123287671232</v>
      </c>
      <c r="AG36">
        <v>9.8664178082191789</v>
      </c>
      <c r="AH36">
        <v>2.3155825322921487E-5</v>
      </c>
      <c r="AI36">
        <v>1.2224457094207477</v>
      </c>
      <c r="AJ36">
        <v>3.3047062954043194E-2</v>
      </c>
      <c r="AK36">
        <v>136.74022227291147</v>
      </c>
      <c r="AL36">
        <v>18279.970243836062</v>
      </c>
      <c r="AM36">
        <v>0.83362319304482446</v>
      </c>
      <c r="AN36">
        <v>452.31291933481629</v>
      </c>
      <c r="AO36">
        <v>7.9391499753361083</v>
      </c>
      <c r="AP36">
        <v>19033.474021526221</v>
      </c>
      <c r="AQ36">
        <v>0.85655839835044834</v>
      </c>
      <c r="AR36">
        <v>489.53847642731807</v>
      </c>
      <c r="AS36">
        <v>4.0058525473659534</v>
      </c>
      <c r="AT36">
        <v>169.85205479452054</v>
      </c>
      <c r="AU36">
        <v>5938.2345891471041</v>
      </c>
      <c r="AV36">
        <v>6294.8672563890941</v>
      </c>
    </row>
    <row r="37" spans="2:48" x14ac:dyDescent="0.25">
      <c r="B37">
        <v>34</v>
      </c>
      <c r="C37">
        <v>0.182</v>
      </c>
      <c r="D37">
        <v>2.5699999999999998E-3</v>
      </c>
      <c r="E37">
        <v>5.9363999999999999E-4</v>
      </c>
      <c r="F37">
        <v>0.16346304</v>
      </c>
      <c r="G37">
        <v>0.12939849826388891</v>
      </c>
      <c r="H37">
        <v>221.13750000000005</v>
      </c>
      <c r="I37">
        <v>9.2749999999999968</v>
      </c>
      <c r="J37">
        <v>147.37656249999995</v>
      </c>
      <c r="K37">
        <v>9.162593750000001</v>
      </c>
      <c r="L37">
        <v>0.13150782552083337</v>
      </c>
      <c r="M37">
        <v>124.41406249999996</v>
      </c>
      <c r="N37">
        <v>9.8859687500000017</v>
      </c>
      <c r="O37">
        <v>200.64687499999997</v>
      </c>
      <c r="P37">
        <v>9.827031250000001</v>
      </c>
      <c r="Q37">
        <v>659.48666130297875</v>
      </c>
      <c r="R37">
        <v>572.93953290859861</v>
      </c>
      <c r="S37">
        <v>11.199068443284769</v>
      </c>
      <c r="T37">
        <v>0.11240624999999582</v>
      </c>
      <c r="U37">
        <v>539.5553896371058</v>
      </c>
      <c r="V37">
        <v>633.77652123583869</v>
      </c>
      <c r="W37">
        <v>12.390816134661643</v>
      </c>
      <c r="X37">
        <v>5.8937500000000753E-2</v>
      </c>
      <c r="Y37">
        <v>0.10641489490060881</v>
      </c>
      <c r="Z37">
        <v>184.25703125000001</v>
      </c>
      <c r="AA37">
        <v>9.2187968749999989</v>
      </c>
      <c r="AB37">
        <v>2.3686434914283657E-5</v>
      </c>
      <c r="AC37">
        <v>1.1744238155234992</v>
      </c>
      <c r="AD37">
        <v>3.3917838394601295E-2</v>
      </c>
      <c r="AE37">
        <v>117.47093266503731</v>
      </c>
      <c r="AF37">
        <v>162.53046874999995</v>
      </c>
      <c r="AG37">
        <v>9.8565000000000005</v>
      </c>
      <c r="AH37">
        <v>2.3166679351215922E-5</v>
      </c>
      <c r="AI37">
        <v>1.2212833136051813</v>
      </c>
      <c r="AJ37">
        <v>3.3064621588352203E-2</v>
      </c>
      <c r="AK37">
        <v>136.35127729492993</v>
      </c>
      <c r="AL37">
        <v>23650.455190081735</v>
      </c>
      <c r="AM37">
        <v>0.82015584084538296</v>
      </c>
      <c r="AN37">
        <v>477.8661417990424</v>
      </c>
      <c r="AO37">
        <v>7.8487491294119316</v>
      </c>
      <c r="AP37">
        <v>24575.240465161594</v>
      </c>
      <c r="AQ37">
        <v>0.85569038942966835</v>
      </c>
      <c r="AR37">
        <v>542.36153873527223</v>
      </c>
      <c r="AS37">
        <v>4.6247234836049964</v>
      </c>
      <c r="AT37">
        <v>173.39374999999998</v>
      </c>
      <c r="AU37">
        <v>6306.6873820200572</v>
      </c>
      <c r="AV37">
        <v>6977.8128569487171</v>
      </c>
    </row>
    <row r="38" spans="2:48" x14ac:dyDescent="0.25">
      <c r="B38">
        <v>35</v>
      </c>
      <c r="C38">
        <v>0.182</v>
      </c>
      <c r="D38">
        <v>2.5699999999999998E-3</v>
      </c>
      <c r="E38">
        <v>5.9363999999999999E-4</v>
      </c>
      <c r="F38">
        <v>0.16346304</v>
      </c>
      <c r="G38">
        <v>0.14937667257683215</v>
      </c>
      <c r="H38">
        <v>214.89361702127664</v>
      </c>
      <c r="I38">
        <v>9.6807659574468072</v>
      </c>
      <c r="J38">
        <v>145.24468085106386</v>
      </c>
      <c r="K38">
        <v>9.5397446808510686</v>
      </c>
      <c r="L38">
        <v>0.15152653664302607</v>
      </c>
      <c r="M38">
        <v>122.25106382978724</v>
      </c>
      <c r="N38">
        <v>9.8690212765957455</v>
      </c>
      <c r="O38">
        <v>194.84680851063828</v>
      </c>
      <c r="P38">
        <v>9.794893617021275</v>
      </c>
      <c r="Q38">
        <v>650.92464740776632</v>
      </c>
      <c r="R38">
        <v>568.35778897532066</v>
      </c>
      <c r="S38">
        <v>12.333562577761088</v>
      </c>
      <c r="T38">
        <v>0.1410212765957386</v>
      </c>
      <c r="U38">
        <v>536.75850509627116</v>
      </c>
      <c r="V38">
        <v>627.07317955898748</v>
      </c>
      <c r="W38">
        <v>13.685069829377754</v>
      </c>
      <c r="X38">
        <v>7.4127659574470428E-2</v>
      </c>
      <c r="Y38">
        <v>0.10957963225107388</v>
      </c>
      <c r="Z38">
        <v>180.06914893617025</v>
      </c>
      <c r="AA38">
        <v>9.610255319148937</v>
      </c>
      <c r="AB38">
        <v>2.3660179396347435E-5</v>
      </c>
      <c r="AC38">
        <v>1.1885469817969549</v>
      </c>
      <c r="AD38">
        <v>3.3877046013245399E-2</v>
      </c>
      <c r="AE38">
        <v>124.63127533998504</v>
      </c>
      <c r="AF38">
        <v>158.54893617021276</v>
      </c>
      <c r="AG38">
        <v>9.8319574468085094</v>
      </c>
      <c r="AH38">
        <v>2.3032289297305705E-5</v>
      </c>
      <c r="AI38">
        <v>1.2280859881468791</v>
      </c>
      <c r="AJ38">
        <v>3.283199698938305E-2</v>
      </c>
      <c r="AK38">
        <v>138.02965980254496</v>
      </c>
      <c r="AL38">
        <v>27332.207859244962</v>
      </c>
      <c r="AM38">
        <v>0.83009701611256992</v>
      </c>
      <c r="AN38">
        <v>531.96124580341541</v>
      </c>
      <c r="AO38">
        <v>7.8394241508255229</v>
      </c>
      <c r="AP38">
        <v>28481.41467630972</v>
      </c>
      <c r="AQ38">
        <v>0.8615263875089062</v>
      </c>
      <c r="AR38">
        <v>609.04124598033331</v>
      </c>
      <c r="AS38">
        <v>4.4352015052193279</v>
      </c>
      <c r="AT38">
        <v>169.30904255319149</v>
      </c>
      <c r="AU38">
        <v>7012.1694946870239</v>
      </c>
      <c r="AV38">
        <v>7780.5604491970462</v>
      </c>
    </row>
    <row r="39" spans="2:48" x14ac:dyDescent="0.25">
      <c r="B39">
        <v>36</v>
      </c>
      <c r="C39">
        <v>0.182</v>
      </c>
      <c r="D39">
        <v>2.5699999999999998E-3</v>
      </c>
      <c r="E39">
        <v>5.9363999999999999E-4</v>
      </c>
      <c r="F39">
        <v>0.16346304</v>
      </c>
      <c r="G39">
        <v>0.17663495478036181</v>
      </c>
      <c r="H39">
        <v>165.81511627906974</v>
      </c>
      <c r="I39">
        <v>9.4425232558139545</v>
      </c>
      <c r="J39">
        <v>134.23139534883722</v>
      </c>
      <c r="K39">
        <v>9.2650348837209311</v>
      </c>
      <c r="L39">
        <v>0.17805390503875979</v>
      </c>
      <c r="M39">
        <v>126.08255813953488</v>
      </c>
      <c r="N39">
        <v>10.074593023255817</v>
      </c>
      <c r="O39">
        <v>159.95348837209301</v>
      </c>
      <c r="P39">
        <v>9.9803953488372112</v>
      </c>
      <c r="Q39">
        <v>593.99249982596075</v>
      </c>
      <c r="R39">
        <v>556.00807612055678</v>
      </c>
      <c r="S39">
        <v>6.7093769635621339</v>
      </c>
      <c r="T39">
        <v>0.17748837209302337</v>
      </c>
      <c r="U39">
        <v>540.62259747965186</v>
      </c>
      <c r="V39">
        <v>584.39990615936915</v>
      </c>
      <c r="W39">
        <v>7.7947207625108579</v>
      </c>
      <c r="X39">
        <v>9.4197674418605715E-2</v>
      </c>
      <c r="Y39">
        <v>0.16176521379602057</v>
      </c>
      <c r="Z39">
        <v>150.02325581395348</v>
      </c>
      <c r="AA39">
        <v>9.3537790697674428</v>
      </c>
      <c r="AB39">
        <v>2.2581106500844235E-5</v>
      </c>
      <c r="AC39">
        <v>1.2289925353254314</v>
      </c>
      <c r="AD39">
        <v>3.2004770377226342E-2</v>
      </c>
      <c r="AE39">
        <v>134.82941110781726</v>
      </c>
      <c r="AF39">
        <v>143.01802325581394</v>
      </c>
      <c r="AG39">
        <v>10.027494186046514</v>
      </c>
      <c r="AH39">
        <v>2.2653332981821246E-5</v>
      </c>
      <c r="AI39">
        <v>1.2737903610396852</v>
      </c>
      <c r="AJ39">
        <v>3.2228415492737951E-2</v>
      </c>
      <c r="AK39">
        <v>150.37826737611616</v>
      </c>
      <c r="AL39">
        <v>33864.245144562294</v>
      </c>
      <c r="AM39">
        <v>0.86712108856977321</v>
      </c>
      <c r="AN39">
        <v>940.99749577639852</v>
      </c>
      <c r="AO39">
        <v>7.6337737583261251</v>
      </c>
      <c r="AP39">
        <v>34027.446602778116</v>
      </c>
      <c r="AQ39">
        <v>0.89534644370488348</v>
      </c>
      <c r="AR39">
        <v>1085.6319042576831</v>
      </c>
      <c r="AS39">
        <v>4.4469300237704381</v>
      </c>
      <c r="AT39">
        <v>146.52063953488371</v>
      </c>
      <c r="AU39">
        <v>11718.446995279632</v>
      </c>
      <c r="AV39">
        <v>13614.084078828375</v>
      </c>
    </row>
    <row r="40" spans="2:48" x14ac:dyDescent="0.25">
      <c r="B40">
        <v>37</v>
      </c>
      <c r="C40">
        <v>0.182</v>
      </c>
      <c r="D40">
        <v>2.5699999999999998E-3</v>
      </c>
      <c r="E40">
        <v>5.9363999999999999E-4</v>
      </c>
      <c r="F40">
        <v>0.16346304</v>
      </c>
      <c r="G40">
        <v>4.859173611111111E-2</v>
      </c>
      <c r="H40">
        <v>220.73749999999998</v>
      </c>
      <c r="I40">
        <v>8.4251041666666691</v>
      </c>
      <c r="J40">
        <v>145.62916666666666</v>
      </c>
      <c r="K40">
        <v>8.4054791666666677</v>
      </c>
      <c r="L40">
        <v>5.0912569444444424E-2</v>
      </c>
      <c r="M40">
        <v>134.82916666666662</v>
      </c>
      <c r="N40">
        <v>9.185770833333331</v>
      </c>
      <c r="O40">
        <v>203.96875</v>
      </c>
      <c r="P40">
        <v>9.1752708333333324</v>
      </c>
      <c r="Q40">
        <v>661.79021483455642</v>
      </c>
      <c r="R40">
        <v>574.69450208588114</v>
      </c>
      <c r="S40">
        <v>4.2321318902927647</v>
      </c>
      <c r="T40">
        <v>1.9625000000001336E-2</v>
      </c>
      <c r="U40">
        <v>557.21161183737433</v>
      </c>
      <c r="V40">
        <v>639.988037437196</v>
      </c>
      <c r="W40">
        <v>4.2143605167138078</v>
      </c>
      <c r="X40">
        <v>1.0499999999998622E-2</v>
      </c>
      <c r="Y40">
        <v>-4.1991540055070203E-3</v>
      </c>
      <c r="Z40">
        <v>183.18333333333334</v>
      </c>
      <c r="AA40">
        <v>8.4152916666666684</v>
      </c>
      <c r="AB40">
        <v>2.3423533530904782E-5</v>
      </c>
      <c r="AC40">
        <v>1.1559861200955561</v>
      </c>
      <c r="AD40">
        <v>3.3378927817709625E-2</v>
      </c>
      <c r="AE40">
        <v>106.74585598999035</v>
      </c>
      <c r="AF40">
        <v>169.39895833333333</v>
      </c>
      <c r="AG40">
        <v>9.1805208333333326</v>
      </c>
      <c r="AH40">
        <v>2.3159972453366286E-5</v>
      </c>
      <c r="AI40">
        <v>1.1901080120804526</v>
      </c>
      <c r="AJ40">
        <v>3.298317888436416E-2</v>
      </c>
      <c r="AK40">
        <v>122.88180341170747</v>
      </c>
      <c r="AL40">
        <v>8980.902308144241</v>
      </c>
      <c r="AM40">
        <v>0.81120878996456491</v>
      </c>
      <c r="AN40">
        <v>289.22996121259064</v>
      </c>
      <c r="AO40">
        <v>8.8302683384265137</v>
      </c>
      <c r="AP40">
        <v>9516.9315106088889</v>
      </c>
      <c r="AQ40">
        <v>0.83566441163680882</v>
      </c>
      <c r="AR40">
        <v>291.47119560352206</v>
      </c>
      <c r="AS40">
        <v>4.954101365396486</v>
      </c>
      <c r="AT40">
        <v>176.29114583333333</v>
      </c>
      <c r="AU40">
        <v>3756.4926062389181</v>
      </c>
      <c r="AV40">
        <v>3740.7185152647721</v>
      </c>
    </row>
    <row r="41" spans="2:48" x14ac:dyDescent="0.25">
      <c r="B41">
        <v>38</v>
      </c>
      <c r="C41">
        <v>0.182</v>
      </c>
      <c r="D41">
        <v>2.5699999999999998E-3</v>
      </c>
      <c r="E41">
        <v>5.9363999999999999E-4</v>
      </c>
      <c r="F41">
        <v>0.16346304</v>
      </c>
      <c r="G41">
        <v>7.4549454545454558E-2</v>
      </c>
      <c r="H41">
        <v>228.90909090909091</v>
      </c>
      <c r="I41">
        <v>8.9209818181818186</v>
      </c>
      <c r="J41">
        <v>151.26363636363632</v>
      </c>
      <c r="K41">
        <v>8.8800363636363642</v>
      </c>
      <c r="L41">
        <v>7.5931707070707094E-2</v>
      </c>
      <c r="M41">
        <v>135.58909090909086</v>
      </c>
      <c r="N41">
        <v>9.7347999999999981</v>
      </c>
      <c r="O41">
        <v>211.3454545454544</v>
      </c>
      <c r="P41">
        <v>9.7130181818181835</v>
      </c>
      <c r="Q41">
        <v>669.53679740119787</v>
      </c>
      <c r="R41">
        <v>579.09541134176902</v>
      </c>
      <c r="S41">
        <v>6.7423559990652988</v>
      </c>
      <c r="T41">
        <v>4.0945454545454396E-2</v>
      </c>
      <c r="U41">
        <v>555.08590372225694</v>
      </c>
      <c r="V41">
        <v>646.68698849768418</v>
      </c>
      <c r="W41">
        <v>6.9554267365267481</v>
      </c>
      <c r="X41">
        <v>2.1781818181814572E-2</v>
      </c>
      <c r="Y41">
        <v>3.1601822492165588E-2</v>
      </c>
      <c r="Z41">
        <v>190.08636363636361</v>
      </c>
      <c r="AA41">
        <v>8.9005090909090914</v>
      </c>
      <c r="AB41">
        <v>2.3803885626925683E-5</v>
      </c>
      <c r="AC41">
        <v>1.1620749275304074</v>
      </c>
      <c r="AD41">
        <v>3.4131689369665118E-2</v>
      </c>
      <c r="AE41">
        <v>111.02130497396791</v>
      </c>
      <c r="AF41">
        <v>173.46727272727264</v>
      </c>
      <c r="AG41">
        <v>9.7239090909090908</v>
      </c>
      <c r="AH41">
        <v>2.3475201819414894E-5</v>
      </c>
      <c r="AI41">
        <v>1.1999148148371082</v>
      </c>
      <c r="AJ41">
        <v>3.3577415127243548E-2</v>
      </c>
      <c r="AK41">
        <v>129.12337543733946</v>
      </c>
      <c r="AL41">
        <v>13558.341929243068</v>
      </c>
      <c r="AM41">
        <v>0.81044622096662355</v>
      </c>
      <c r="AN41">
        <v>373.75772642337233</v>
      </c>
      <c r="AO41">
        <v>8.1406883308910114</v>
      </c>
      <c r="AP41">
        <v>14003.087286023543</v>
      </c>
      <c r="AQ41">
        <v>0.83890443435451445</v>
      </c>
      <c r="AR41">
        <v>391.93387782076007</v>
      </c>
      <c r="AS41">
        <v>4.8550165601079796</v>
      </c>
      <c r="AT41">
        <v>181.77681818181813</v>
      </c>
      <c r="AU41">
        <v>4963.8064660680238</v>
      </c>
      <c r="AV41">
        <v>5120.6717968941693</v>
      </c>
    </row>
    <row r="42" spans="2:48" x14ac:dyDescent="0.25">
      <c r="B42">
        <v>39</v>
      </c>
      <c r="C42">
        <v>0.182</v>
      </c>
      <c r="D42">
        <v>2.5699999999999998E-3</v>
      </c>
      <c r="E42">
        <v>5.9363999999999999E-4</v>
      </c>
      <c r="F42">
        <v>0.16346304</v>
      </c>
      <c r="G42">
        <v>9.9087560386473442E-2</v>
      </c>
      <c r="H42">
        <v>226.0565217391304</v>
      </c>
      <c r="I42">
        <v>9.3242826086956523</v>
      </c>
      <c r="J42">
        <v>150.50652173913045</v>
      </c>
      <c r="K42">
        <v>9.2565434782608698</v>
      </c>
      <c r="L42">
        <v>0.10186187801932367</v>
      </c>
      <c r="M42">
        <v>131.08913043478256</v>
      </c>
      <c r="N42">
        <v>9.227369565217387</v>
      </c>
      <c r="O42">
        <v>207.90652173913028</v>
      </c>
      <c r="P42">
        <v>9.1841304347826096</v>
      </c>
      <c r="Q42">
        <v>664.99642668144065</v>
      </c>
      <c r="R42">
        <v>576.30254914855777</v>
      </c>
      <c r="S42">
        <v>8.788459945950013</v>
      </c>
      <c r="T42">
        <v>6.7739130434782524E-2</v>
      </c>
      <c r="U42">
        <v>552.23040304595588</v>
      </c>
      <c r="V42">
        <v>644.51590282195264</v>
      </c>
      <c r="W42">
        <v>9.4003743211349029</v>
      </c>
      <c r="X42">
        <v>4.3239130434777451E-2</v>
      </c>
      <c r="Y42">
        <v>6.962703123735331E-2</v>
      </c>
      <c r="Z42">
        <v>188.28152173913043</v>
      </c>
      <c r="AA42">
        <v>9.2904130434782601</v>
      </c>
      <c r="AB42">
        <v>2.3848242592363765E-5</v>
      </c>
      <c r="AC42">
        <v>1.1724643323985449</v>
      </c>
      <c r="AD42">
        <v>3.4231535693325023E-2</v>
      </c>
      <c r="AE42">
        <v>116.95673030021936</v>
      </c>
      <c r="AF42">
        <v>169.49782608695642</v>
      </c>
      <c r="AG42">
        <v>9.2057499999999983</v>
      </c>
      <c r="AH42">
        <v>2.3171499532385307E-5</v>
      </c>
      <c r="AI42">
        <v>1.1906990883953235</v>
      </c>
      <c r="AJ42">
        <v>3.300576688318043E-2</v>
      </c>
      <c r="AK42">
        <v>123.21359955582211</v>
      </c>
      <c r="AL42">
        <v>17987.579315558745</v>
      </c>
      <c r="AM42">
        <v>0.81682615937638525</v>
      </c>
      <c r="AN42">
        <v>429.78266999154926</v>
      </c>
      <c r="AO42">
        <v>8.0309072062032349</v>
      </c>
      <c r="AP42">
        <v>19031.25840122272</v>
      </c>
      <c r="AQ42">
        <v>0.8359231120917755</v>
      </c>
      <c r="AR42">
        <v>476.7797748485861</v>
      </c>
      <c r="AS42">
        <v>5.110345731461261</v>
      </c>
      <c r="AT42">
        <v>178.88967391304342</v>
      </c>
      <c r="AU42">
        <v>5724.5606257541822</v>
      </c>
      <c r="AV42">
        <v>6123.1447872636909</v>
      </c>
    </row>
    <row r="43" spans="2:48" x14ac:dyDescent="0.25">
      <c r="B43">
        <v>40</v>
      </c>
      <c r="C43">
        <v>0.182</v>
      </c>
      <c r="D43">
        <v>2.5699999999999998E-3</v>
      </c>
      <c r="E43">
        <v>5.9363999999999999E-4</v>
      </c>
      <c r="F43">
        <v>0.16346304</v>
      </c>
      <c r="G43">
        <v>0.12387733539094649</v>
      </c>
      <c r="H43">
        <v>230.60555555555558</v>
      </c>
      <c r="I43">
        <v>9.078555555555555</v>
      </c>
      <c r="J43">
        <v>153.0185185185185</v>
      </c>
      <c r="K43">
        <v>8.969370370370374</v>
      </c>
      <c r="L43">
        <v>0.12538209362139918</v>
      </c>
      <c r="M43">
        <v>128.90925925925922</v>
      </c>
      <c r="N43">
        <v>8.7131296296296306</v>
      </c>
      <c r="O43">
        <v>211.29259259259251</v>
      </c>
      <c r="P43">
        <v>8.6420555555555545</v>
      </c>
      <c r="Q43">
        <v>670.99097531931454</v>
      </c>
      <c r="R43">
        <v>580.77772142372601</v>
      </c>
      <c r="S43">
        <v>11.175377509532431</v>
      </c>
      <c r="T43">
        <v>0.10918518518518106</v>
      </c>
      <c r="U43">
        <v>552.47869585458068</v>
      </c>
      <c r="V43">
        <v>650.28325562277769</v>
      </c>
      <c r="W43">
        <v>12.26294046945581</v>
      </c>
      <c r="X43">
        <v>7.1074074074076066E-2</v>
      </c>
      <c r="Y43">
        <v>9.7317782687493387E-2</v>
      </c>
      <c r="Z43">
        <v>191.81203703703704</v>
      </c>
      <c r="AA43">
        <v>9.0239629629629654</v>
      </c>
      <c r="AB43">
        <v>2.3899118574467681E-5</v>
      </c>
      <c r="AC43">
        <v>1.163557299168843</v>
      </c>
      <c r="AD43">
        <v>3.4320078453499513E-2</v>
      </c>
      <c r="AE43">
        <v>112.09014183194881</v>
      </c>
      <c r="AF43">
        <v>170.10092592592588</v>
      </c>
      <c r="AG43">
        <v>8.6775925925925925</v>
      </c>
      <c r="AH43">
        <v>2.3027320974196964E-5</v>
      </c>
      <c r="AI43">
        <v>1.1750221649297299</v>
      </c>
      <c r="AJ43">
        <v>3.2699005739322995E-2</v>
      </c>
      <c r="AK43">
        <v>115.18836221495989</v>
      </c>
      <c r="AL43">
        <v>22439.849404641711</v>
      </c>
      <c r="AM43">
        <v>0.81025437918799537</v>
      </c>
      <c r="AN43">
        <v>471.60177215489693</v>
      </c>
      <c r="AO43">
        <v>7.9375316021956213</v>
      </c>
      <c r="AP43">
        <v>23572.305975645646</v>
      </c>
      <c r="AQ43">
        <v>0.82747508469634889</v>
      </c>
      <c r="AR43">
        <v>543.15223393158578</v>
      </c>
      <c r="AS43">
        <v>5.1830670018422209</v>
      </c>
      <c r="AT43">
        <v>180.95648148148146</v>
      </c>
      <c r="AU43">
        <v>6297.8248323601038</v>
      </c>
      <c r="AV43">
        <v>6910.7151807996233</v>
      </c>
    </row>
    <row r="44" spans="2:48" x14ac:dyDescent="0.25">
      <c r="B44">
        <v>41</v>
      </c>
      <c r="C44">
        <v>0.182</v>
      </c>
      <c r="D44">
        <v>2.5699999999999998E-3</v>
      </c>
      <c r="E44">
        <v>5.9363999999999999E-4</v>
      </c>
      <c r="F44">
        <v>0.16346304</v>
      </c>
      <c r="G44">
        <v>0.14922191414141417</v>
      </c>
      <c r="H44">
        <v>213.82181818181817</v>
      </c>
      <c r="I44">
        <v>9.4917090909090884</v>
      </c>
      <c r="J44">
        <v>152.89454545454541</v>
      </c>
      <c r="K44">
        <v>9.3448363636363663</v>
      </c>
      <c r="L44">
        <v>0.15202578282828288</v>
      </c>
      <c r="M44">
        <v>133.92909090909092</v>
      </c>
      <c r="N44">
        <v>9.0136727272727288</v>
      </c>
      <c r="O44">
        <v>199.76727272727274</v>
      </c>
      <c r="P44">
        <v>8.9197090909090928</v>
      </c>
      <c r="Q44">
        <v>650.31440432421539</v>
      </c>
      <c r="R44">
        <v>578.78729874722978</v>
      </c>
      <c r="S44">
        <v>10.673411607192813</v>
      </c>
      <c r="T44">
        <v>0.14687272727272216</v>
      </c>
      <c r="U44">
        <v>557.05099379534408</v>
      </c>
      <c r="V44">
        <v>636.0449076938354</v>
      </c>
      <c r="W44">
        <v>12.009111599088117</v>
      </c>
      <c r="X44">
        <v>9.3963636363636027E-2</v>
      </c>
      <c r="Y44">
        <v>0.12514274170736331</v>
      </c>
      <c r="Z44">
        <v>183.35818181818178</v>
      </c>
      <c r="AA44">
        <v>9.4182727272727274</v>
      </c>
      <c r="AB44">
        <v>2.3714091287298586E-5</v>
      </c>
      <c r="AC44">
        <v>1.1801677352691669</v>
      </c>
      <c r="AD44">
        <v>3.3976766434694404E-2</v>
      </c>
      <c r="AE44">
        <v>120.59612643649109</v>
      </c>
      <c r="AF44">
        <v>166.84818181818184</v>
      </c>
      <c r="AG44">
        <v>8.9666909090909108</v>
      </c>
      <c r="AH44">
        <v>2.30035725926938E-5</v>
      </c>
      <c r="AI44">
        <v>1.1872950429203897</v>
      </c>
      <c r="AJ44">
        <v>3.2688447403268137E-2</v>
      </c>
      <c r="AK44">
        <v>120.78208413552271</v>
      </c>
      <c r="AL44">
        <v>27241.81793973079</v>
      </c>
      <c r="AM44">
        <v>0.82369831932916748</v>
      </c>
      <c r="AN44">
        <v>598.29818772438716</v>
      </c>
      <c r="AO44">
        <v>7.9167576138818827</v>
      </c>
      <c r="AP44">
        <v>28610.926754360764</v>
      </c>
      <c r="AQ44">
        <v>0.83552538827628975</v>
      </c>
      <c r="AR44">
        <v>699.70191335918457</v>
      </c>
      <c r="AS44">
        <v>4.8872649270840629</v>
      </c>
      <c r="AT44">
        <v>175.10318181818181</v>
      </c>
      <c r="AU44">
        <v>7909.8201488764398</v>
      </c>
      <c r="AV44">
        <v>8899.6767287189832</v>
      </c>
    </row>
    <row r="45" spans="2:48" x14ac:dyDescent="0.25">
      <c r="B45">
        <v>42</v>
      </c>
      <c r="C45">
        <v>0.182</v>
      </c>
      <c r="D45">
        <v>2.5699999999999998E-3</v>
      </c>
      <c r="E45">
        <v>5.9363999999999999E-4</v>
      </c>
      <c r="F45">
        <v>0.16346304</v>
      </c>
      <c r="G45">
        <v>4.8480335917312656E-2</v>
      </c>
      <c r="H45">
        <v>196.80930232558143</v>
      </c>
      <c r="I45">
        <v>8.3663488372093013</v>
      </c>
      <c r="J45">
        <v>157.40697674418607</v>
      </c>
      <c r="K45">
        <v>8.3496744186046516</v>
      </c>
      <c r="L45">
        <v>5.0670335917312646E-2</v>
      </c>
      <c r="M45">
        <v>160.5395348837209</v>
      </c>
      <c r="N45">
        <v>9.0871162790697664</v>
      </c>
      <c r="O45">
        <v>192.93720930232556</v>
      </c>
      <c r="P45">
        <v>9.0865116279069778</v>
      </c>
      <c r="Q45">
        <v>634.67317181942144</v>
      </c>
      <c r="R45">
        <v>589.00048024079183</v>
      </c>
      <c r="S45">
        <v>2.2142274299797804</v>
      </c>
      <c r="T45">
        <v>1.6674418604649688E-2</v>
      </c>
      <c r="U45">
        <v>589.2756936848624</v>
      </c>
      <c r="V45">
        <v>627.50270328855561</v>
      </c>
      <c r="W45">
        <v>1.9369754177334713</v>
      </c>
      <c r="X45">
        <v>6.0465116278862752E-4</v>
      </c>
      <c r="Y45">
        <v>-0.12521388204862086</v>
      </c>
      <c r="Z45">
        <v>177.10813953488375</v>
      </c>
      <c r="AA45">
        <v>8.3580116279069756</v>
      </c>
      <c r="AB45">
        <v>2.3186562767055854E-5</v>
      </c>
      <c r="AC45">
        <v>1.1595048199732847</v>
      </c>
      <c r="AD45">
        <v>3.2923852859354862E-2</v>
      </c>
      <c r="AE45">
        <v>108.01875002450836</v>
      </c>
      <c r="AF45">
        <v>176.73837209302323</v>
      </c>
      <c r="AG45">
        <v>9.0868139534883721</v>
      </c>
      <c r="AH45">
        <v>2.3384314020942033E-5</v>
      </c>
      <c r="AI45">
        <v>1.1787209456090046</v>
      </c>
      <c r="AJ45">
        <v>3.3342067563250512E-2</v>
      </c>
      <c r="AK45">
        <v>118.50747974792485</v>
      </c>
      <c r="AL45">
        <v>9051.8888965582337</v>
      </c>
      <c r="AM45">
        <v>0.81657913494700185</v>
      </c>
      <c r="AN45">
        <v>5719.0837086116808</v>
      </c>
      <c r="AO45">
        <v>7.6270510029243725</v>
      </c>
      <c r="AP45">
        <v>9380.7835649577628</v>
      </c>
      <c r="AQ45">
        <v>0.8266908068281632</v>
      </c>
      <c r="AR45">
        <v>4940.22194699801</v>
      </c>
      <c r="AS45">
        <v>0.27776730911823716</v>
      </c>
      <c r="AT45">
        <v>176.92325581395349</v>
      </c>
      <c r="AU45">
        <v>73266.253117768298</v>
      </c>
      <c r="AV45">
        <v>64092.301141735654</v>
      </c>
    </row>
    <row r="46" spans="2:48" x14ac:dyDescent="0.25">
      <c r="B46">
        <v>43</v>
      </c>
      <c r="C46">
        <v>0.182</v>
      </c>
      <c r="D46">
        <v>2.5699999999999998E-3</v>
      </c>
      <c r="E46">
        <v>5.9363999999999999E-4</v>
      </c>
      <c r="F46">
        <v>0.16346304</v>
      </c>
      <c r="G46">
        <v>7.4462888888888898E-2</v>
      </c>
      <c r="H46">
        <v>203.15399999999997</v>
      </c>
      <c r="I46">
        <v>8.878619999999998</v>
      </c>
      <c r="J46">
        <v>160.33000000000001</v>
      </c>
      <c r="K46">
        <v>8.8414799999999971</v>
      </c>
      <c r="L46">
        <v>7.5631372222222229E-2</v>
      </c>
      <c r="M46">
        <v>158.71</v>
      </c>
      <c r="N46">
        <v>9.4959800000000012</v>
      </c>
      <c r="O46">
        <v>198.54400000000001</v>
      </c>
      <c r="P46">
        <v>9.4801000000000002</v>
      </c>
      <c r="Q46">
        <v>640.10377392278599</v>
      </c>
      <c r="R46">
        <v>590.16584439941619</v>
      </c>
      <c r="S46">
        <v>3.7185224974398503</v>
      </c>
      <c r="T46">
        <v>3.7140000000000839E-2</v>
      </c>
      <c r="U46">
        <v>585.15271779038346</v>
      </c>
      <c r="V46">
        <v>632.57603142395158</v>
      </c>
      <c r="W46">
        <v>3.5866902854315761</v>
      </c>
      <c r="X46">
        <v>1.5880000000001004E-2</v>
      </c>
      <c r="Y46">
        <v>-3.5452847763873641E-2</v>
      </c>
      <c r="Z46">
        <v>181.74199999999999</v>
      </c>
      <c r="AA46">
        <v>8.8600499999999975</v>
      </c>
      <c r="AB46">
        <v>2.3494268218634063E-5</v>
      </c>
      <c r="AC46">
        <v>1.1679882369179271</v>
      </c>
      <c r="AD46">
        <v>3.3535872325153329E-2</v>
      </c>
      <c r="AE46">
        <v>113.40980895694202</v>
      </c>
      <c r="AF46">
        <v>178.62700000000001</v>
      </c>
      <c r="AG46">
        <v>9.4880400000000016</v>
      </c>
      <c r="AH46">
        <v>2.3572844824010852E-5</v>
      </c>
      <c r="AI46">
        <v>1.1870636897819316</v>
      </c>
      <c r="AJ46">
        <v>3.3706608759659508E-2</v>
      </c>
      <c r="AK46">
        <v>123.48498803791118</v>
      </c>
      <c r="AL46">
        <v>13721.068285023706</v>
      </c>
      <c r="AM46">
        <v>0.81825898692300747</v>
      </c>
      <c r="AN46">
        <v>1119.2994809223574</v>
      </c>
      <c r="AO46">
        <v>7.5605049067548746</v>
      </c>
      <c r="AP46">
        <v>13889.926566586026</v>
      </c>
      <c r="AQ46">
        <v>0.83017749886891623</v>
      </c>
      <c r="AR46">
        <v>1074.1484669474421</v>
      </c>
      <c r="AS46">
        <v>3.4119192621231487</v>
      </c>
      <c r="AT46">
        <v>180.18450000000001</v>
      </c>
      <c r="AU46">
        <v>14605.713807713062</v>
      </c>
      <c r="AV46">
        <v>14087.899659605246</v>
      </c>
    </row>
    <row r="47" spans="2:48" x14ac:dyDescent="0.25">
      <c r="B47">
        <v>44</v>
      </c>
      <c r="C47">
        <v>0.182</v>
      </c>
      <c r="D47">
        <v>2.5699999999999998E-3</v>
      </c>
      <c r="E47">
        <v>5.9363999999999999E-4</v>
      </c>
      <c r="F47">
        <v>0.16346304</v>
      </c>
      <c r="G47">
        <v>9.8555217391304351E-2</v>
      </c>
      <c r="H47">
        <v>194.80869565217392</v>
      </c>
      <c r="I47">
        <v>8.4353913043478261</v>
      </c>
      <c r="J47">
        <v>160.51304347826087</v>
      </c>
      <c r="K47">
        <v>8.3650869565217381</v>
      </c>
      <c r="L47">
        <v>0.10111146135265699</v>
      </c>
      <c r="M47">
        <v>159.52173913043481</v>
      </c>
      <c r="N47">
        <v>8.6791739130434795</v>
      </c>
      <c r="O47">
        <v>193.66086956521741</v>
      </c>
      <c r="P47">
        <v>8.6376956521739139</v>
      </c>
      <c r="Q47">
        <v>632.12008849304493</v>
      </c>
      <c r="R47">
        <v>592.59152441780645</v>
      </c>
      <c r="S47">
        <v>3.8957462256012314</v>
      </c>
      <c r="T47">
        <v>7.0304347826088076E-2</v>
      </c>
      <c r="U47">
        <v>589.95912598354744</v>
      </c>
      <c r="V47">
        <v>630.03781457344792</v>
      </c>
      <c r="W47">
        <v>4.0524147724228969</v>
      </c>
      <c r="X47">
        <v>4.1478260869565631E-2</v>
      </c>
      <c r="Y47">
        <v>4.0215285531717826E-2</v>
      </c>
      <c r="Z47">
        <v>177.66086956521741</v>
      </c>
      <c r="AA47">
        <v>8.4002391304347821</v>
      </c>
      <c r="AB47">
        <v>2.3218343873393075E-5</v>
      </c>
      <c r="AC47">
        <v>1.1601006461501846</v>
      </c>
      <c r="AD47">
        <v>3.2986702332055147E-2</v>
      </c>
      <c r="AE47">
        <v>108.42103648000104</v>
      </c>
      <c r="AF47">
        <v>176.59130434782611</v>
      </c>
      <c r="AG47">
        <v>8.6584347826086976</v>
      </c>
      <c r="AH47">
        <v>2.3252689372499478E-5</v>
      </c>
      <c r="AI47">
        <v>1.1677061870724901</v>
      </c>
      <c r="AJ47">
        <v>3.3076285127541946E-2</v>
      </c>
      <c r="AK47">
        <v>112.45484239821329</v>
      </c>
      <c r="AL47">
        <v>18376.311674190063</v>
      </c>
      <c r="AM47">
        <v>0.81655982034571373</v>
      </c>
      <c r="AN47">
        <v>3472.0664921303523</v>
      </c>
      <c r="AO47">
        <v>7.8104227618982431</v>
      </c>
      <c r="AP47">
        <v>18825.09446394394</v>
      </c>
      <c r="AQ47">
        <v>0.82089960047336763</v>
      </c>
      <c r="AR47">
        <v>3601.9148291709844</v>
      </c>
      <c r="AS47">
        <v>4.540837593273646</v>
      </c>
      <c r="AT47">
        <v>177.12608695652176</v>
      </c>
      <c r="AU47">
        <v>44564.989826072699</v>
      </c>
      <c r="AV47">
        <v>46357.183616646311</v>
      </c>
    </row>
    <row r="48" spans="2:48" x14ac:dyDescent="0.25">
      <c r="B48">
        <v>45</v>
      </c>
      <c r="C48">
        <v>0.182</v>
      </c>
      <c r="D48">
        <v>2.5699999999999998E-3</v>
      </c>
      <c r="E48">
        <v>5.9363999999999999E-4</v>
      </c>
      <c r="F48">
        <v>0.16346304</v>
      </c>
      <c r="G48">
        <v>0.1241530620155039</v>
      </c>
      <c r="H48">
        <v>199.9325581395349</v>
      </c>
      <c r="I48">
        <v>9.3095116279069785</v>
      </c>
      <c r="J48">
        <v>168.13255813953486</v>
      </c>
      <c r="K48">
        <v>9.2060930232558142</v>
      </c>
      <c r="L48">
        <v>0.12538403100775197</v>
      </c>
      <c r="M48">
        <v>166.87674418604644</v>
      </c>
      <c r="N48">
        <v>8.8919767441860458</v>
      </c>
      <c r="O48">
        <v>199.88372093023256</v>
      </c>
      <c r="P48">
        <v>8.8208372093023275</v>
      </c>
      <c r="Q48">
        <v>634.81798625538261</v>
      </c>
      <c r="R48">
        <v>597.82015803978595</v>
      </c>
      <c r="S48">
        <v>4.5933936608899311</v>
      </c>
      <c r="T48">
        <v>0.10341860465116426</v>
      </c>
      <c r="U48">
        <v>597.71898256294583</v>
      </c>
      <c r="V48">
        <v>636.53947776482835</v>
      </c>
      <c r="W48">
        <v>4.8674701741291253</v>
      </c>
      <c r="X48">
        <v>7.1139534883718269E-2</v>
      </c>
      <c r="Y48">
        <v>5.9667542882900708E-2</v>
      </c>
      <c r="Z48">
        <v>184.0325581395349</v>
      </c>
      <c r="AA48">
        <v>9.2578023255813964</v>
      </c>
      <c r="AB48">
        <v>2.3689977219113707E-5</v>
      </c>
      <c r="AC48">
        <v>1.1755828533354702</v>
      </c>
      <c r="AD48">
        <v>3.3925871524529333E-2</v>
      </c>
      <c r="AE48">
        <v>118.09795066225385</v>
      </c>
      <c r="AF48">
        <v>183.38023255813948</v>
      </c>
      <c r="AG48">
        <v>8.8564069767441858</v>
      </c>
      <c r="AH48">
        <v>2.3551660106921718E-5</v>
      </c>
      <c r="AI48">
        <v>1.1664476278962823</v>
      </c>
      <c r="AJ48">
        <v>3.3645642049206566E-2</v>
      </c>
      <c r="AK48">
        <v>112.76745208785847</v>
      </c>
      <c r="AL48">
        <v>22688.341943735064</v>
      </c>
      <c r="AM48">
        <v>0.82089360606586059</v>
      </c>
      <c r="AN48">
        <v>6526.5217724922941</v>
      </c>
      <c r="AO48">
        <v>7.8861350279139195</v>
      </c>
      <c r="AP48">
        <v>23047.86332329037</v>
      </c>
      <c r="AQ48">
        <v>0.81650330894446943</v>
      </c>
      <c r="AR48">
        <v>6973.5451382406118</v>
      </c>
      <c r="AS48">
        <v>5.0786510892553371</v>
      </c>
      <c r="AT48">
        <v>183.70639534883719</v>
      </c>
      <c r="AU48">
        <v>86154.840138372398</v>
      </c>
      <c r="AV48">
        <v>91295.48775689819</v>
      </c>
    </row>
    <row r="49" spans="2:48" x14ac:dyDescent="0.25">
      <c r="B49">
        <v>46</v>
      </c>
      <c r="C49">
        <v>0.182</v>
      </c>
      <c r="D49">
        <v>2.5699999999999998E-3</v>
      </c>
      <c r="E49">
        <v>5.9363999999999999E-4</v>
      </c>
      <c r="F49">
        <v>0.16346304</v>
      </c>
      <c r="G49">
        <v>0.14918280960648142</v>
      </c>
      <c r="H49">
        <v>200.62812499999993</v>
      </c>
      <c r="I49">
        <v>9.5456666666666639</v>
      </c>
      <c r="J49">
        <v>171.02187499999991</v>
      </c>
      <c r="K49">
        <v>9.3990833333333317</v>
      </c>
      <c r="L49">
        <v>0.15183592881944438</v>
      </c>
      <c r="M49">
        <v>167.77708333333331</v>
      </c>
      <c r="N49">
        <v>9.5213749999999973</v>
      </c>
      <c r="O49">
        <v>201.02708333333339</v>
      </c>
      <c r="P49">
        <v>9.4281666666666659</v>
      </c>
      <c r="Q49">
        <v>634.77242830503371</v>
      </c>
      <c r="R49">
        <v>600.42407395987368</v>
      </c>
      <c r="S49">
        <v>5.1241840065699682</v>
      </c>
      <c r="T49">
        <v>0.14658333333333218</v>
      </c>
      <c r="U49">
        <v>596.00055921681758</v>
      </c>
      <c r="V49">
        <v>635.66289115346297</v>
      </c>
      <c r="W49">
        <v>6.0221670087456642</v>
      </c>
      <c r="X49">
        <v>9.3208333333331339E-2</v>
      </c>
      <c r="Y49">
        <v>0.17524409760155918</v>
      </c>
      <c r="Z49">
        <v>185.82499999999993</v>
      </c>
      <c r="AA49">
        <v>9.4723749999999978</v>
      </c>
      <c r="AB49">
        <v>2.3815571140694426E-5</v>
      </c>
      <c r="AC49">
        <v>1.1790237355278399</v>
      </c>
      <c r="AD49">
        <v>3.4173639859540368E-2</v>
      </c>
      <c r="AE49">
        <v>120.38844381021845</v>
      </c>
      <c r="AF49">
        <v>184.40208333333334</v>
      </c>
      <c r="AG49">
        <v>9.4747708333333307</v>
      </c>
      <c r="AH49">
        <v>2.3767091225013334E-5</v>
      </c>
      <c r="AI49">
        <v>1.1804913640336352</v>
      </c>
      <c r="AJ49">
        <v>3.4080245477737262E-2</v>
      </c>
      <c r="AK49">
        <v>120.97577702597617</v>
      </c>
      <c r="AL49">
        <v>27118.630134185318</v>
      </c>
      <c r="AM49">
        <v>0.82166031378105064</v>
      </c>
      <c r="AN49">
        <v>3313.5807578668646</v>
      </c>
      <c r="AO49">
        <v>7.8916873949497548</v>
      </c>
      <c r="AP49">
        <v>27657.217450574655</v>
      </c>
      <c r="AQ49">
        <v>0.82325832886549533</v>
      </c>
      <c r="AR49">
        <v>3904.9381750028774</v>
      </c>
      <c r="AS49">
        <v>4.8679051273830911</v>
      </c>
      <c r="AT49">
        <v>185.11354166666663</v>
      </c>
      <c r="AU49">
        <v>44061.134422118703</v>
      </c>
      <c r="AV49">
        <v>51782.588163223896</v>
      </c>
    </row>
    <row r="50" spans="2:48" x14ac:dyDescent="0.25">
      <c r="B50">
        <v>47</v>
      </c>
      <c r="C50">
        <v>0.182</v>
      </c>
      <c r="D50">
        <v>2.5699999999999998E-3</v>
      </c>
      <c r="E50">
        <v>5.9363999999999999E-4</v>
      </c>
      <c r="F50">
        <v>0.16346304</v>
      </c>
      <c r="G50">
        <v>4.8453129340277783E-2</v>
      </c>
      <c r="H50">
        <v>217.57187500000003</v>
      </c>
      <c r="I50">
        <v>8.5460937499999989</v>
      </c>
      <c r="J50">
        <v>165.05312499999999</v>
      </c>
      <c r="K50">
        <v>8.5273593749999996</v>
      </c>
      <c r="L50">
        <v>5.0676757812499994E-2</v>
      </c>
      <c r="M50">
        <v>164.82187499999998</v>
      </c>
      <c r="N50">
        <v>9.1586874999999992</v>
      </c>
      <c r="O50">
        <v>209.84375000000003</v>
      </c>
      <c r="P50">
        <v>9.1598124999999975</v>
      </c>
      <c r="Q50">
        <v>657.78455949746058</v>
      </c>
      <c r="R50">
        <v>597.19554019898305</v>
      </c>
      <c r="S50">
        <v>2.9357275886697183</v>
      </c>
      <c r="T50">
        <v>1.8734374999999304E-2</v>
      </c>
      <c r="U50">
        <v>594.07818350833963</v>
      </c>
      <c r="V50">
        <v>646.83964940446924</v>
      </c>
      <c r="W50">
        <v>2.6737800290506382</v>
      </c>
      <c r="X50">
        <v>-1.1249999999982663E-3</v>
      </c>
      <c r="Y50">
        <v>-8.9227474861786407E-2</v>
      </c>
      <c r="Z50">
        <v>191.3125</v>
      </c>
      <c r="AA50">
        <v>8.5367265625000002</v>
      </c>
      <c r="AB50">
        <v>2.3752269227641373E-5</v>
      </c>
      <c r="AC50">
        <v>1.153098139082944</v>
      </c>
      <c r="AD50">
        <v>3.4015095969546931E-2</v>
      </c>
      <c r="AE50">
        <v>105.73484077277097</v>
      </c>
      <c r="AF50">
        <v>187.33281249999999</v>
      </c>
      <c r="AG50">
        <v>9.1592499999999983</v>
      </c>
      <c r="AH50">
        <v>2.3777510435008327E-5</v>
      </c>
      <c r="AI50">
        <v>1.1702319480467573</v>
      </c>
      <c r="AJ50">
        <v>3.4091013218807704E-2</v>
      </c>
      <c r="AK50">
        <v>115.50989206585837</v>
      </c>
      <c r="AL50">
        <v>8831.3417429030924</v>
      </c>
      <c r="AM50">
        <v>0.80519242015106829</v>
      </c>
      <c r="AN50">
        <v>681.92816827295985</v>
      </c>
      <c r="AO50">
        <v>8.3975327501124895</v>
      </c>
      <c r="AP50">
        <v>9226.8276387517744</v>
      </c>
      <c r="AQ50">
        <v>0.81620344275103507</v>
      </c>
      <c r="AR50">
        <v>619.69835403409354</v>
      </c>
      <c r="AS50">
        <v>-0.50360739714191893</v>
      </c>
      <c r="AT50">
        <v>189.32265624999999</v>
      </c>
      <c r="AU50">
        <v>9025.6233806000309</v>
      </c>
      <c r="AV50">
        <v>8220.2897972955889</v>
      </c>
    </row>
    <row r="51" spans="2:48" x14ac:dyDescent="0.25">
      <c r="B51">
        <v>48</v>
      </c>
      <c r="C51">
        <v>0.182</v>
      </c>
      <c r="D51">
        <v>2.5699999999999998E-3</v>
      </c>
      <c r="E51">
        <v>5.9363999999999999E-4</v>
      </c>
      <c r="F51">
        <v>0.16346304</v>
      </c>
      <c r="G51">
        <v>7.3812488888888902E-2</v>
      </c>
      <c r="H51">
        <v>230.21999999999991</v>
      </c>
      <c r="I51">
        <v>7.9255066666666654</v>
      </c>
      <c r="J51">
        <v>169.63466666666665</v>
      </c>
      <c r="K51">
        <v>7.8808533333333326</v>
      </c>
      <c r="L51">
        <v>7.5366933333333316E-2</v>
      </c>
      <c r="M51">
        <v>162.71333333333337</v>
      </c>
      <c r="N51">
        <v>9.2041866666666685</v>
      </c>
      <c r="O51">
        <v>220.27333333333337</v>
      </c>
      <c r="P51">
        <v>9.1979466666666703</v>
      </c>
      <c r="Q51">
        <v>674.12803916160431</v>
      </c>
      <c r="R51">
        <v>605.3909817366233</v>
      </c>
      <c r="S51">
        <v>5.0736532874363292</v>
      </c>
      <c r="T51">
        <v>4.4653333333332768E-2</v>
      </c>
      <c r="U51">
        <v>591.34513678100518</v>
      </c>
      <c r="V51">
        <v>658.7413188620402</v>
      </c>
      <c r="W51">
        <v>5.0794435618225595</v>
      </c>
      <c r="X51">
        <v>6.2399999999982469E-3</v>
      </c>
      <c r="Y51">
        <v>1.1412436085391515E-3</v>
      </c>
      <c r="Z51">
        <v>199.92733333333328</v>
      </c>
      <c r="AA51">
        <v>7.903179999999999</v>
      </c>
      <c r="AB51">
        <v>2.3918647707045744E-5</v>
      </c>
      <c r="AC51">
        <v>1.135383128933249</v>
      </c>
      <c r="AD51">
        <v>3.4296345463774545E-2</v>
      </c>
      <c r="AE51">
        <v>94.921156421968917</v>
      </c>
      <c r="AF51">
        <v>191.49333333333337</v>
      </c>
      <c r="AG51">
        <v>9.2010666666666694</v>
      </c>
      <c r="AH51">
        <v>2.3936333825785241E-5</v>
      </c>
      <c r="AI51">
        <v>1.167755895757792</v>
      </c>
      <c r="AJ51">
        <v>3.4398406050108653E-2</v>
      </c>
      <c r="AK51">
        <v>114.58290536161417</v>
      </c>
      <c r="AL51">
        <v>13359.899595718258</v>
      </c>
      <c r="AM51">
        <v>0.79182865422679016</v>
      </c>
      <c r="AN51">
        <v>551.54746361283992</v>
      </c>
      <c r="AO51">
        <v>7.7427502232136423</v>
      </c>
      <c r="AP51">
        <v>13631.171381547238</v>
      </c>
      <c r="AQ51">
        <v>0.8125898306790611</v>
      </c>
      <c r="AR51">
        <v>550.53859645140165</v>
      </c>
      <c r="AS51">
        <v>1.2527972026709631</v>
      </c>
      <c r="AT51">
        <v>195.71033333333332</v>
      </c>
      <c r="AU51">
        <v>7360.3355454220155</v>
      </c>
      <c r="AV51">
        <v>7368.7354813199318</v>
      </c>
    </row>
    <row r="52" spans="2:48" x14ac:dyDescent="0.25">
      <c r="B52">
        <v>49</v>
      </c>
      <c r="C52">
        <v>0.182</v>
      </c>
      <c r="D52">
        <v>2.5699999999999998E-3</v>
      </c>
      <c r="E52">
        <v>5.9363999999999999E-4</v>
      </c>
      <c r="F52">
        <v>0.16346304</v>
      </c>
      <c r="G52">
        <v>9.8468294871794843E-2</v>
      </c>
      <c r="H52">
        <v>238.87846153846155</v>
      </c>
      <c r="I52">
        <v>8.4871846153846136</v>
      </c>
      <c r="J52">
        <v>171.10769230769242</v>
      </c>
      <c r="K52">
        <v>8.4100615384615409</v>
      </c>
      <c r="L52">
        <v>0.10098074358974359</v>
      </c>
      <c r="M52">
        <v>155.83692307692311</v>
      </c>
      <c r="N52">
        <v>8.5370769230769223</v>
      </c>
      <c r="O52">
        <v>226.10923076923081</v>
      </c>
      <c r="P52">
        <v>8.5039076923076937</v>
      </c>
      <c r="Q52">
        <v>682.22416254713971</v>
      </c>
      <c r="R52">
        <v>604.80515468311251</v>
      </c>
      <c r="S52">
        <v>7.6233176950368353</v>
      </c>
      <c r="T52">
        <v>7.7123076923072631E-2</v>
      </c>
      <c r="U52">
        <v>586.24850266524732</v>
      </c>
      <c r="V52">
        <v>667.65209360185008</v>
      </c>
      <c r="W52">
        <v>8.2201951436534593</v>
      </c>
      <c r="X52">
        <v>3.3169230769228619E-2</v>
      </c>
      <c r="Y52">
        <v>7.8296284176274239E-2</v>
      </c>
      <c r="Z52">
        <v>204.99307692307698</v>
      </c>
      <c r="AA52">
        <v>8.4486230769230772</v>
      </c>
      <c r="AB52">
        <v>2.4233478844611745E-5</v>
      </c>
      <c r="AC52">
        <v>1.1440485433349374</v>
      </c>
      <c r="AD52">
        <v>3.4937373377262618E-2</v>
      </c>
      <c r="AE52">
        <v>100.46168784873352</v>
      </c>
      <c r="AF52">
        <v>190.97307692307697</v>
      </c>
      <c r="AG52">
        <v>8.520492307692308</v>
      </c>
      <c r="AH52">
        <v>2.3735684200595556E-5</v>
      </c>
      <c r="AI52">
        <v>1.1529569905681787</v>
      </c>
      <c r="AJ52">
        <v>3.3982396341298723E-2</v>
      </c>
      <c r="AK52">
        <v>105.6265655319684</v>
      </c>
      <c r="AL52">
        <v>17591.003723824211</v>
      </c>
      <c r="AM52">
        <v>0.79354208665724024</v>
      </c>
      <c r="AN52">
        <v>489.38347638622122</v>
      </c>
      <c r="AO52">
        <v>7.9529825070746858</v>
      </c>
      <c r="AP52">
        <v>18418.182679079149</v>
      </c>
      <c r="AQ52">
        <v>0.80530586336953558</v>
      </c>
      <c r="AR52">
        <v>542.5298783028403</v>
      </c>
      <c r="AS52">
        <v>3.4195540590957885</v>
      </c>
      <c r="AT52">
        <v>197.98307692307696</v>
      </c>
      <c r="AU52">
        <v>6652.8300541510489</v>
      </c>
      <c r="AV52">
        <v>7173.7219266473476</v>
      </c>
    </row>
    <row r="53" spans="2:48" x14ac:dyDescent="0.25">
      <c r="B53">
        <v>50</v>
      </c>
      <c r="C53">
        <v>0.182</v>
      </c>
      <c r="D53">
        <v>2.5699999999999998E-3</v>
      </c>
      <c r="E53">
        <v>5.9363999999999999E-4</v>
      </c>
      <c r="F53">
        <v>0.16346304</v>
      </c>
      <c r="G53">
        <v>0.12366313200815496</v>
      </c>
      <c r="H53">
        <v>240.78715596330267</v>
      </c>
      <c r="I53">
        <v>9.0173669724770633</v>
      </c>
      <c r="J53">
        <v>174.33944954128441</v>
      </c>
      <c r="K53">
        <v>8.9020825688073355</v>
      </c>
      <c r="L53">
        <v>0.12568127420998981</v>
      </c>
      <c r="M53">
        <v>158.37798165137613</v>
      </c>
      <c r="N53">
        <v>9.1405045871559665</v>
      </c>
      <c r="O53">
        <v>228.21926605504589</v>
      </c>
      <c r="P53">
        <v>9.0816880733944938</v>
      </c>
      <c r="Q53">
        <v>682.832478192297</v>
      </c>
      <c r="R53">
        <v>606.48579606200553</v>
      </c>
      <c r="S53">
        <v>9.4412698306628791</v>
      </c>
      <c r="T53">
        <v>0.11528440366972781</v>
      </c>
      <c r="U53">
        <v>586.42602602749628</v>
      </c>
      <c r="V53">
        <v>668.24458411934165</v>
      </c>
      <c r="W53">
        <v>10.2830606350072</v>
      </c>
      <c r="X53">
        <v>5.8816513761472677E-2</v>
      </c>
      <c r="Y53">
        <v>8.9160761152106346E-2</v>
      </c>
      <c r="Z53">
        <v>207.56330275229354</v>
      </c>
      <c r="AA53">
        <v>8.9597247706422003</v>
      </c>
      <c r="AB53">
        <v>2.4450083115928207E-5</v>
      </c>
      <c r="AC53">
        <v>1.1526913878448333</v>
      </c>
      <c r="AD53">
        <v>3.5382472715567645E-2</v>
      </c>
      <c r="AE53">
        <v>106.17236265443151</v>
      </c>
      <c r="AF53">
        <v>193.29862385321101</v>
      </c>
      <c r="AG53">
        <v>9.111096330275231</v>
      </c>
      <c r="AH53">
        <v>2.3975798723441993E-5</v>
      </c>
      <c r="AI53">
        <v>1.1643846442921388</v>
      </c>
      <c r="AJ53">
        <v>3.4471257040986546E-2</v>
      </c>
      <c r="AK53">
        <v>112.74484437995619</v>
      </c>
      <c r="AL53">
        <v>21896.256341700286</v>
      </c>
      <c r="AM53">
        <v>0.79653563125396343</v>
      </c>
      <c r="AN53">
        <v>588.19831624391816</v>
      </c>
      <c r="AO53">
        <v>7.9659871185554421</v>
      </c>
      <c r="AP53">
        <v>22693.812272699684</v>
      </c>
      <c r="AQ53">
        <v>0.80986463113374041</v>
      </c>
      <c r="AR53">
        <v>657.57731618581329</v>
      </c>
      <c r="AS53">
        <v>4.1782350126744445</v>
      </c>
      <c r="AT53">
        <v>200.43096330275228</v>
      </c>
      <c r="AU53">
        <v>8098.0197960479636</v>
      </c>
      <c r="AV53">
        <v>8820.0454048884258</v>
      </c>
    </row>
    <row r="54" spans="2:48" x14ac:dyDescent="0.25">
      <c r="B54">
        <v>51</v>
      </c>
      <c r="C54">
        <v>0.182</v>
      </c>
      <c r="D54">
        <v>2.5699999999999998E-3</v>
      </c>
      <c r="E54">
        <v>5.9363999999999999E-4</v>
      </c>
      <c r="F54">
        <v>0.16346304</v>
      </c>
      <c r="G54">
        <v>0.14907571568627445</v>
      </c>
      <c r="H54">
        <v>212.1658823529412</v>
      </c>
      <c r="I54">
        <v>9.3138705882352966</v>
      </c>
      <c r="J54">
        <v>170.51411764705875</v>
      </c>
      <c r="K54">
        <v>9.1590235294117672</v>
      </c>
      <c r="L54">
        <v>0.15188456209150325</v>
      </c>
      <c r="M54">
        <v>162.4670588235295</v>
      </c>
      <c r="N54">
        <v>9.6107764705882399</v>
      </c>
      <c r="O54">
        <v>207.64117647058825</v>
      </c>
      <c r="P54">
        <v>9.52262352941176</v>
      </c>
      <c r="Q54">
        <v>648.99765324992063</v>
      </c>
      <c r="R54">
        <v>600.86103169749254</v>
      </c>
      <c r="S54">
        <v>7.176001308647562</v>
      </c>
      <c r="T54">
        <v>0.15484705882352934</v>
      </c>
      <c r="U54">
        <v>589.18387684263405</v>
      </c>
      <c r="V54">
        <v>643.03021795057771</v>
      </c>
      <c r="W54">
        <v>8.1784279394097332</v>
      </c>
      <c r="X54">
        <v>8.8152941176479871E-2</v>
      </c>
      <c r="Y54">
        <v>0.13969153399598463</v>
      </c>
      <c r="Z54">
        <v>191.33999999999997</v>
      </c>
      <c r="AA54">
        <v>9.2364470588235328</v>
      </c>
      <c r="AB54">
        <v>2.3940737915995972E-5</v>
      </c>
      <c r="AC54">
        <v>1.1686715785430122</v>
      </c>
      <c r="AD54">
        <v>3.4408109809284541E-2</v>
      </c>
      <c r="AE54">
        <v>115.11439594516881</v>
      </c>
      <c r="AF54">
        <v>185.05411764705889</v>
      </c>
      <c r="AG54">
        <v>9.5667000000000009</v>
      </c>
      <c r="AH54">
        <v>2.3817157442269111E-5</v>
      </c>
      <c r="AI54">
        <v>1.1820608953807674</v>
      </c>
      <c r="AJ54">
        <v>3.4178862572359019E-2</v>
      </c>
      <c r="AK54">
        <v>121.99938357551622</v>
      </c>
      <c r="AL54">
        <v>26957.482847453291</v>
      </c>
      <c r="AM54">
        <v>0.81314725298341883</v>
      </c>
      <c r="AN54">
        <v>1043.2754618760409</v>
      </c>
      <c r="AO54">
        <v>7.982829204866154</v>
      </c>
      <c r="AP54">
        <v>27607.919041405559</v>
      </c>
      <c r="AQ54">
        <v>0.82370589109075198</v>
      </c>
      <c r="AR54">
        <v>1196.9872505894464</v>
      </c>
      <c r="AS54">
        <v>4.6398636713219927</v>
      </c>
      <c r="AT54">
        <v>188.19705882352943</v>
      </c>
      <c r="AU54">
        <v>13967.757452748197</v>
      </c>
      <c r="AV54">
        <v>15918.93491780644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实验数据处理</vt:lpstr>
      <vt:lpstr>无公式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汪楷</dc:creator>
  <cp:lastModifiedBy>楷 汪</cp:lastModifiedBy>
  <dcterms:created xsi:type="dcterms:W3CDTF">2015-06-05T18:19:34Z</dcterms:created>
  <dcterms:modified xsi:type="dcterms:W3CDTF">2026-06-26T02:14:43Z</dcterms:modified>
</cp:coreProperties>
</file>