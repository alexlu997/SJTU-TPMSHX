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599" firstSheet="0" activeTab="0" autoFilterDateGrouping="1"/>
  </bookViews>
  <sheets>
    <sheet xmlns:r="http://schemas.openxmlformats.org/officeDocument/2006/relationships" name="实验数据处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00_ "/>
    <numFmt numFmtId="165" formatCode="0.00000_ "/>
    <numFmt numFmtId="166" formatCode="0.000000_ "/>
    <numFmt numFmtId="167" formatCode="0.00000_);[Red]\(0.00000\)"/>
    <numFmt numFmtId="168" formatCode="0.000000_);[Red]\(0.000000\)"/>
    <numFmt numFmtId="169" formatCode="0.000_);[Red]\(0.000\)"/>
    <numFmt numFmtId="170" formatCode="0.0000_);[Red]\(0.0000\)"/>
    <numFmt numFmtId="171" formatCode="0.0000_ ;[Red]\-0.0000\ "/>
    <numFmt numFmtId="172" formatCode="0.00_ "/>
  </numFmts>
  <fonts count="1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等线"/>
      <family val="2"/>
      <b val="1"/>
      <color theme="1"/>
      <sz val="11"/>
      <scheme val="minor"/>
    </font>
    <font>
      <name val="Times New Roman"/>
      <family val="1"/>
      <b val="1"/>
      <sz val="12"/>
    </font>
    <font>
      <name val="等线"/>
      <family val="2"/>
      <b val="1"/>
      <color theme="1"/>
      <sz val="12"/>
      <scheme val="minor"/>
    </font>
    <font>
      <name val="Times New Roman"/>
      <family val="1"/>
      <b val="1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charset val="134"/>
      <family val="3"/>
      <b val="1"/>
      <color theme="1"/>
      <sz val="12"/>
    </font>
    <font>
      <name val="Times New Roman"/>
      <family val="3"/>
      <b val="1"/>
      <color theme="1"/>
      <sz val="12"/>
    </font>
    <font>
      <name val="Times New Roman"/>
      <charset val="134"/>
      <family val="3"/>
      <b val="1"/>
      <sz val="12"/>
    </font>
  </fonts>
  <fills count="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110">
    <xf numFmtId="0" fontId="0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center" vertical="center" wrapText="1"/>
    </xf>
    <xf numFmtId="168" fontId="7" fillId="3" borderId="1" applyAlignment="1" pivotButton="0" quotePrefix="0" xfId="0">
      <alignment horizontal="center" vertical="center" wrapText="1"/>
    </xf>
    <xf numFmtId="169" fontId="7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9" fontId="7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70" fontId="7" fillId="2" borderId="1" applyAlignment="1" pivotButton="0" quotePrefix="0" xfId="0">
      <alignment horizontal="center" vertical="center" wrapText="1"/>
    </xf>
    <xf numFmtId="170" fontId="5" fillId="5" borderId="1" applyAlignment="1" pivotButton="0" quotePrefix="0" xfId="1">
      <alignment horizontal="center" vertical="center"/>
    </xf>
    <xf numFmtId="170" fontId="7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1">
      <alignment horizontal="center" vertical="center"/>
    </xf>
    <xf numFmtId="170" fontId="7" fillId="0" borderId="1" applyAlignment="1" pivotButton="0" quotePrefix="0" xfId="0">
      <alignment horizontal="center" vertical="center"/>
    </xf>
    <xf numFmtId="170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/>
    </xf>
    <xf numFmtId="170" fontId="7" fillId="3" borderId="1" applyAlignment="1" pivotButton="0" quotePrefix="0" xfId="0">
      <alignment horizontal="center" vertical="center" wrapText="1"/>
    </xf>
    <xf numFmtId="169" fontId="7" fillId="2" borderId="1" applyAlignment="1" pivotButton="0" quotePrefix="0" xfId="0">
      <alignment horizontal="center" vertical="center" wrapText="1"/>
    </xf>
    <xf numFmtId="169" fontId="5" fillId="5" borderId="1" applyAlignment="1" pivotButton="0" quotePrefix="0" xfId="1">
      <alignment horizontal="center" vertical="center"/>
    </xf>
    <xf numFmtId="169" fontId="7" fillId="0" borderId="1" applyAlignment="1" pivotButton="0" quotePrefix="0" xfId="0">
      <alignment horizontal="center" vertical="center" wrapText="1"/>
    </xf>
    <xf numFmtId="169" fontId="5" fillId="0" borderId="1" applyAlignment="1" pivotButton="0" quotePrefix="0" xfId="1">
      <alignment horizontal="center" vertical="center"/>
    </xf>
    <xf numFmtId="169" fontId="6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71" fontId="7" fillId="3" borderId="1" applyAlignment="1" pivotButton="0" quotePrefix="0" xfId="0">
      <alignment horizontal="center" vertical="center" wrapText="1"/>
    </xf>
    <xf numFmtId="171" fontId="7" fillId="0" borderId="1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171" fontId="7" fillId="2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 wrapText="1"/>
    </xf>
    <xf numFmtId="172" fontId="7" fillId="2" borderId="1" applyAlignment="1" pivotButton="0" quotePrefix="0" xfId="0">
      <alignment horizontal="center" vertical="center"/>
    </xf>
    <xf numFmtId="172" fontId="7" fillId="0" borderId="1" applyAlignment="1" pivotButton="0" quotePrefix="0" xfId="0">
      <alignment horizontal="center" vertical="center"/>
    </xf>
    <xf numFmtId="172" fontId="4" fillId="0" borderId="0" applyAlignment="1" pivotButton="0" quotePrefix="0" xfId="0">
      <alignment horizontal="center" vertical="center"/>
    </xf>
    <xf numFmtId="172" fontId="7" fillId="3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72" fontId="4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7" fillId="4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70" fontId="7" fillId="2" borderId="1" applyAlignment="1" pivotButton="0" quotePrefix="0" xfId="0">
      <alignment horizontal="center" vertical="center" wrapText="1"/>
    </xf>
    <xf numFmtId="169" fontId="7" fillId="2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center" vertical="center" wrapText="1"/>
    </xf>
    <xf numFmtId="169" fontId="7" fillId="3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71" fontId="7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71" fontId="7" fillId="3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center" vertical="center" wrapText="1"/>
    </xf>
    <xf numFmtId="168" fontId="7" fillId="3" borderId="1" applyAlignment="1" pivotButton="0" quotePrefix="0" xfId="0">
      <alignment horizontal="center" vertical="center" wrapText="1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72" fontId="7" fillId="3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 wrapText="1"/>
    </xf>
    <xf numFmtId="164" fontId="11" fillId="2" borderId="1" applyAlignment="1" pivotButton="0" quotePrefix="0" xfId="0">
      <alignment horizontal="center" vertical="center" wrapText="1"/>
    </xf>
    <xf numFmtId="170" fontId="5" fillId="5" borderId="1" applyAlignment="1" pivotButton="0" quotePrefix="0" xfId="1">
      <alignment horizontal="center" vertical="center"/>
    </xf>
    <xf numFmtId="169" fontId="5" fillId="5" borderId="1" applyAlignment="1" pivotButton="0" quotePrefix="0" xfId="1">
      <alignment horizontal="center" vertical="center"/>
    </xf>
    <xf numFmtId="164" fontId="7" fillId="0" borderId="1" applyAlignment="1" pivotButton="0" quotePrefix="0" xfId="0">
      <alignment horizontal="center" vertical="center"/>
    </xf>
    <xf numFmtId="171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9" fontId="7" fillId="0" borderId="1" applyAlignment="1" pivotButton="0" quotePrefix="0" xfId="0">
      <alignment horizontal="center" vertical="center"/>
    </xf>
    <xf numFmtId="172" fontId="7" fillId="0" borderId="1" applyAlignment="1" pivotButton="0" quotePrefix="0" xfId="0">
      <alignment horizontal="center" vertical="center"/>
    </xf>
    <xf numFmtId="170" fontId="7" fillId="0" borderId="1" applyAlignment="1" pivotButton="0" quotePrefix="0" xfId="0">
      <alignment horizontal="center" vertical="center" wrapText="1"/>
    </xf>
    <xf numFmtId="169" fontId="7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1">
      <alignment horizontal="center" vertical="center"/>
    </xf>
    <xf numFmtId="169" fontId="5" fillId="0" borderId="1" applyAlignment="1" pivotButton="0" quotePrefix="0" xfId="1">
      <alignment horizontal="center" vertical="center"/>
    </xf>
    <xf numFmtId="170" fontId="7" fillId="0" borderId="1" applyAlignment="1" pivotButton="0" quotePrefix="0" xfId="0">
      <alignment horizontal="center" vertical="center"/>
    </xf>
    <xf numFmtId="170" fontId="6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C3:AW58"/>
  <sheetViews>
    <sheetView tabSelected="1" topLeftCell="B1" zoomScale="70" zoomScaleNormal="70" workbookViewId="0">
      <pane xSplit="2" ySplit="4" topLeftCell="D5" activePane="bottomRight" state="frozen"/>
      <selection activeCell="B1" sqref="B1"/>
      <selection pane="topRight" activeCell="I1" sqref="I1"/>
      <selection pane="bottomLeft" activeCell="B5" sqref="B5"/>
      <selection pane="bottomRight" activeCell="D1" sqref="D1:I1048576"/>
    </sheetView>
  </sheetViews>
  <sheetFormatPr baseColWidth="8" defaultRowHeight="13.8"/>
  <cols>
    <col width="8.88671875" customWidth="1" style="15" min="1" max="2"/>
    <col width="9" bestFit="1" customWidth="1" style="15" min="3" max="3"/>
    <col width="11.77734375" customWidth="1" style="15" min="4" max="4"/>
    <col width="11.33203125" customWidth="1" style="15" min="5" max="5"/>
    <col width="25.21875" customWidth="1" style="15" min="6" max="6"/>
    <col width="13.6640625" customWidth="1" style="15" min="7" max="7"/>
    <col width="12.77734375" customWidth="1" style="61" min="8" max="8"/>
    <col width="11.6640625" customWidth="1" style="62" min="9" max="9"/>
    <col width="10.5546875" customWidth="1" style="62" min="10" max="10"/>
    <col width="12.6640625" customWidth="1" style="62" min="11" max="11"/>
    <col width="10.5546875" customWidth="1" style="62" min="12" max="12"/>
    <col width="10.88671875" customWidth="1" style="61" min="13" max="13"/>
    <col width="11.77734375" customWidth="1" style="62" min="14" max="14"/>
    <col width="10.44140625" customWidth="1" style="62" min="15" max="15"/>
    <col width="12.44140625" customWidth="1" style="62" min="16" max="16"/>
    <col width="10.33203125" customWidth="1" style="62" min="17" max="17"/>
    <col width="11.77734375" customWidth="1" style="63" min="18" max="18"/>
    <col width="10.77734375" customWidth="1" style="63" min="19" max="19"/>
    <col width="10" customWidth="1" style="63" min="20" max="20"/>
    <col width="8.6640625" customWidth="1" style="64" min="21" max="21"/>
    <col width="10.77734375" customWidth="1" style="63" min="22" max="22"/>
    <col width="12" customWidth="1" style="63" min="23" max="23"/>
    <col width="9.77734375" customWidth="1" style="63" min="24" max="24"/>
    <col width="9.77734375" customWidth="1" style="64" min="25" max="25"/>
    <col width="9.33203125" customWidth="1" style="15" min="26" max="26"/>
    <col width="13.33203125" customWidth="1" style="63" min="27" max="27"/>
    <col width="13" customWidth="1" style="63" min="28" max="28"/>
    <col width="14.109375" customWidth="1" style="15" min="29" max="29"/>
    <col width="12.44140625" customWidth="1" style="65" min="30" max="30"/>
    <col width="15.44140625" customWidth="1" style="66" min="31" max="31"/>
    <col width="11.33203125" customWidth="1" style="63" min="32" max="32"/>
    <col width="13.33203125" customWidth="1" style="63" min="33" max="33"/>
    <col width="13.77734375" customWidth="1" style="63" min="34" max="34"/>
    <col width="11.33203125" customWidth="1" style="15" min="35" max="35"/>
    <col width="13" customWidth="1" style="67" min="36" max="36"/>
    <col width="15.77734375" customWidth="1" style="68" min="37" max="37"/>
    <col width="12.33203125" bestFit="1" customWidth="1" style="62" min="38" max="38"/>
    <col width="10.77734375" customWidth="1" style="69" min="39" max="39"/>
    <col width="8.88671875" customWidth="1" style="63" min="40" max="40"/>
    <col width="10.44140625" customWidth="1" style="63" min="41" max="41"/>
    <col width="8.6640625" customWidth="1" style="63" min="42" max="42"/>
    <col width="11.109375" bestFit="1" customWidth="1" style="69" min="43" max="43"/>
    <col width="11.109375" bestFit="1" customWidth="1" style="63" min="44" max="44"/>
    <col width="10.44140625" customWidth="1" style="63" min="45" max="45"/>
    <col width="8" customWidth="1" style="63" min="46" max="46"/>
    <col width="11" customWidth="1" style="63" min="47" max="47"/>
    <col width="15.77734375" customWidth="1" style="63" min="48" max="48"/>
    <col width="15.5546875" customWidth="1" style="63" min="49" max="49"/>
    <col width="8.88671875" customWidth="1" style="15" min="50" max="16384"/>
  </cols>
  <sheetData>
    <row r="1" ht="26.4" customHeight="1"/>
    <row r="3" ht="15.6" customHeight="1">
      <c r="C3" s="13" t="n"/>
      <c r="D3" s="60" t="n"/>
      <c r="E3" s="60" t="inlineStr">
        <is>
          <t>通用几何参数</t>
        </is>
      </c>
      <c r="F3" s="70" t="n"/>
      <c r="G3" s="71" t="n"/>
      <c r="H3" s="58" t="inlineStr">
        <is>
          <t>高温侧测试数据</t>
        </is>
      </c>
      <c r="I3" s="70" t="n"/>
      <c r="J3" s="70" t="n"/>
      <c r="K3" s="70" t="n"/>
      <c r="L3" s="71" t="n"/>
      <c r="M3" s="59" t="inlineStr">
        <is>
          <t>低温侧测试数据</t>
        </is>
      </c>
      <c r="N3" s="70" t="n"/>
      <c r="O3" s="70" t="n"/>
      <c r="P3" s="70" t="n"/>
      <c r="Q3" s="71" t="n"/>
      <c r="R3" s="58" t="inlineStr">
        <is>
          <t>高温侧初步数据处理</t>
        </is>
      </c>
      <c r="S3" s="70" t="n"/>
      <c r="T3" s="70" t="n"/>
      <c r="U3" s="71" t="n"/>
      <c r="V3" s="59" t="inlineStr">
        <is>
          <t>低温侧初步数据处理</t>
        </is>
      </c>
      <c r="W3" s="70" t="n"/>
      <c r="X3" s="70" t="n"/>
      <c r="Y3" s="71" t="n"/>
      <c r="Z3" s="1" t="n"/>
      <c r="AA3" s="58" t="inlineStr">
        <is>
          <t>高温物性数据</t>
        </is>
      </c>
      <c r="AB3" s="70" t="n"/>
      <c r="AC3" s="70" t="n"/>
      <c r="AD3" s="70" t="n"/>
      <c r="AE3" s="70" t="n"/>
      <c r="AF3" s="71" t="n"/>
      <c r="AG3" s="59" t="inlineStr">
        <is>
          <t>低温物性数据</t>
        </is>
      </c>
      <c r="AH3" s="70" t="n"/>
      <c r="AI3" s="70" t="n"/>
      <c r="AJ3" s="70" t="n"/>
      <c r="AK3" s="70" t="n"/>
      <c r="AL3" s="71" t="n"/>
      <c r="AM3" s="58" t="inlineStr">
        <is>
          <t>高温拟合数据</t>
        </is>
      </c>
      <c r="AN3" s="70" t="n"/>
      <c r="AO3" s="70" t="n"/>
      <c r="AP3" s="71" t="n"/>
      <c r="AQ3" s="59" t="inlineStr">
        <is>
          <t>低温拟合数据</t>
        </is>
      </c>
      <c r="AR3" s="70" t="n"/>
      <c r="AS3" s="70" t="n"/>
      <c r="AT3" s="71" t="n"/>
      <c r="AU3" s="72" t="n"/>
      <c r="AV3" s="73" t="n"/>
      <c r="AW3" s="74" t="n"/>
    </row>
    <row r="4" ht="31.8" customHeight="1">
      <c r="C4" s="13" t="n"/>
      <c r="D4" s="2" t="inlineStr">
        <is>
          <t>流道长度
m</t>
        </is>
      </c>
      <c r="E4" s="2" t="inlineStr">
        <is>
          <t>特征长度
m</t>
        </is>
      </c>
      <c r="F4" s="3" t="inlineStr">
        <is>
          <t>总核心区截面流通面积
m^2</t>
        </is>
      </c>
      <c r="G4" s="2" t="inlineStr">
        <is>
          <t>总换热面积
m^2</t>
        </is>
      </c>
      <c r="H4" s="75" t="inlineStr">
        <is>
          <t>质量流量 
kg/s</t>
        </is>
      </c>
      <c r="I4" s="76" t="inlineStr">
        <is>
          <t>入口温度
℃</t>
        </is>
      </c>
      <c r="J4" s="76" t="inlineStr">
        <is>
          <t>入口压力
MPa</t>
        </is>
      </c>
      <c r="K4" s="76" t="inlineStr">
        <is>
          <t>出口温度
℃</t>
        </is>
      </c>
      <c r="L4" s="76" t="inlineStr">
        <is>
          <t>出口压力
MPa</t>
        </is>
      </c>
      <c r="M4" s="77" t="inlineStr">
        <is>
          <t>质量流量
kg/s</t>
        </is>
      </c>
      <c r="N4" s="78" t="inlineStr">
        <is>
          <t>入口温度
℃</t>
        </is>
      </c>
      <c r="O4" s="78" t="inlineStr">
        <is>
          <t>入口压力
MPa</t>
        </is>
      </c>
      <c r="P4" s="78" t="inlineStr">
        <is>
          <t>出口温度
℃</t>
        </is>
      </c>
      <c r="Q4" s="78" t="inlineStr">
        <is>
          <t>出口压力
MPa</t>
        </is>
      </c>
      <c r="R4" s="79" t="inlineStr">
        <is>
          <t>入口焓值
kJ/kg</t>
        </is>
      </c>
      <c r="S4" s="79" t="inlineStr">
        <is>
          <t>出口焓值
kJ/kg</t>
        </is>
      </c>
      <c r="T4" s="79" t="inlineStr">
        <is>
          <t>换热量
kW</t>
        </is>
      </c>
      <c r="U4" s="80" t="inlineStr">
        <is>
          <t>压差
Mpa</t>
        </is>
      </c>
      <c r="V4" s="81" t="inlineStr">
        <is>
          <t>入口焓值
kJ/kg</t>
        </is>
      </c>
      <c r="W4" s="82" t="inlineStr">
        <is>
          <t>出口焓值
kJ/kg</t>
        </is>
      </c>
      <c r="X4" s="81" t="inlineStr">
        <is>
          <t>换热量
kW</t>
        </is>
      </c>
      <c r="Y4" s="83" t="inlineStr">
        <is>
          <t>压差
Mpa</t>
        </is>
      </c>
      <c r="Z4" s="1" t="inlineStr">
        <is>
          <t>热平衡</t>
        </is>
      </c>
      <c r="AA4" s="79" t="inlineStr">
        <is>
          <t>进出口均温
℃</t>
        </is>
      </c>
      <c r="AB4" s="79" t="inlineStr">
        <is>
          <t>进出口均压
MPa</t>
        </is>
      </c>
      <c r="AC4" s="4" t="inlineStr">
        <is>
          <t>动力粘度
Pa-s</t>
        </is>
      </c>
      <c r="AD4" s="84" t="inlineStr">
        <is>
          <t>定压比热
kJ/kg-K</t>
        </is>
      </c>
      <c r="AE4" s="85" t="inlineStr">
        <is>
          <t>流体导热系数
W/(m-K)</t>
        </is>
      </c>
      <c r="AF4" s="79" t="inlineStr">
        <is>
          <t>流体密度kg/m^3</t>
        </is>
      </c>
      <c r="AG4" s="81" t="inlineStr">
        <is>
          <t>进出口均温
℃</t>
        </is>
      </c>
      <c r="AH4" s="81" t="inlineStr">
        <is>
          <t>进出口均压
MPa</t>
        </is>
      </c>
      <c r="AI4" s="5" t="inlineStr">
        <is>
          <t>动力粘度
Pa-s</t>
        </is>
      </c>
      <c r="AJ4" s="86" t="inlineStr">
        <is>
          <t>定压比热
kJ/kg-K</t>
        </is>
      </c>
      <c r="AK4" s="87" t="inlineStr">
        <is>
          <t>流体导热系数
W/(m-K)</t>
        </is>
      </c>
      <c r="AL4" s="78" t="inlineStr">
        <is>
          <t>流体密度kg/m^3</t>
        </is>
      </c>
      <c r="AM4" s="88" t="inlineStr">
        <is>
          <t>Re</t>
        </is>
      </c>
      <c r="AN4" s="89" t="inlineStr">
        <is>
          <t>Pr</t>
        </is>
      </c>
      <c r="AO4" s="89" t="inlineStr">
        <is>
          <t>Nu</t>
        </is>
      </c>
      <c r="AP4" s="89" t="inlineStr">
        <is>
          <t>f</t>
        </is>
      </c>
      <c r="AQ4" s="90" t="inlineStr">
        <is>
          <t>Re</t>
        </is>
      </c>
      <c r="AR4" s="74" t="inlineStr">
        <is>
          <t>Pr</t>
        </is>
      </c>
      <c r="AS4" s="74" t="inlineStr">
        <is>
          <t>Nu</t>
        </is>
      </c>
      <c r="AT4" s="74" t="inlineStr">
        <is>
          <t>f</t>
        </is>
      </c>
      <c r="AU4" s="91" t="inlineStr">
        <is>
          <t>壁面温度
℃</t>
        </is>
      </c>
      <c r="AV4" s="92" t="inlineStr">
        <is>
          <t>对流换热系数
w/(m^2.K)</t>
        </is>
      </c>
      <c r="AW4" s="82" t="inlineStr">
        <is>
          <t>对流换热系数
w/(m^2.K)</t>
        </is>
      </c>
    </row>
    <row r="5" ht="15.6" customHeight="1">
      <c r="C5" s="13" t="n">
        <v>1</v>
      </c>
      <c r="D5" s="60">
        <f>182/1000</f>
        <v/>
      </c>
      <c r="E5" s="60" t="n">
        <v>0.00257</v>
      </c>
      <c r="F5" s="60" t="n">
        <v>0.00059364</v>
      </c>
      <c r="G5" s="60" t="n">
        <v>0.16346304</v>
      </c>
      <c r="H5" s="93" t="n">
        <v>0.04844513333333336</v>
      </c>
      <c r="I5" s="94" t="n">
        <v>130.4013333333333</v>
      </c>
      <c r="J5" s="94" t="n">
        <v>8.899306666666664</v>
      </c>
      <c r="K5" s="94" t="n">
        <v>102.06</v>
      </c>
      <c r="L5" s="94" t="n">
        <v>8.883786666666666</v>
      </c>
      <c r="M5" s="93" t="n">
        <v>0.05052895185185185</v>
      </c>
      <c r="N5" s="94" t="n">
        <v>101.1506666666667</v>
      </c>
      <c r="O5" s="94" t="n">
        <v>8.870613333333333</v>
      </c>
      <c r="P5" s="94" t="n">
        <v>126.9666666666666</v>
      </c>
      <c r="Q5" s="94" t="n">
        <v>8.868973333333333</v>
      </c>
      <c r="R5" s="95" t="n">
        <v>553.2676345263068</v>
      </c>
      <c r="S5" s="95" t="n">
        <v>515.9551782143922</v>
      </c>
      <c r="T5" s="95">
        <f>(R5-S5)*H5</f>
        <v/>
      </c>
      <c r="U5" s="96">
        <f>J5-L5</f>
        <v/>
      </c>
      <c r="V5" s="95" t="n">
        <v>514.78347030697</v>
      </c>
      <c r="W5" s="95" t="n">
        <v>549.0977681725868</v>
      </c>
      <c r="X5" s="95">
        <f>(W5-V5)*M5</f>
        <v/>
      </c>
      <c r="Y5" s="96">
        <f>O5-Q5</f>
        <v/>
      </c>
      <c r="Z5" s="17">
        <f>(X5-T5)/T5</f>
        <v/>
      </c>
      <c r="AA5" s="95">
        <f>(I5+K5)/2</f>
        <v/>
      </c>
      <c r="AB5" s="95">
        <f>(J5+L5)/2</f>
        <v/>
      </c>
      <c r="AC5" s="60" t="n">
        <v>2.161879841822781e-05</v>
      </c>
      <c r="AD5" s="97" t="n">
        <v>1.315654472193671</v>
      </c>
      <c r="AE5" s="98" t="n">
        <v>0.03033227738823963</v>
      </c>
      <c r="AF5" s="95" t="n">
        <v>147.7039942174092</v>
      </c>
      <c r="AG5" s="95">
        <f>(N5+P5)/2</f>
        <v/>
      </c>
      <c r="AH5" s="95">
        <f>(O5+Q5)/2</f>
        <v/>
      </c>
      <c r="AI5" s="60" t="n">
        <v>2.154379465613653e-05</v>
      </c>
      <c r="AJ5" s="99" t="n">
        <v>1.324665396192882</v>
      </c>
      <c r="AK5" s="100" t="n">
        <v>0.03024755488662536</v>
      </c>
      <c r="AL5" s="101" t="n">
        <v>148.9113124358378</v>
      </c>
      <c r="AM5" s="102">
        <f>(H5*E5)/(AC5*F5)</f>
        <v/>
      </c>
      <c r="AN5" s="95">
        <f>AC5*AD5*1000/AE5</f>
        <v/>
      </c>
      <c r="AO5" s="95">
        <f>AV5*E5/AE5</f>
        <v/>
      </c>
      <c r="AP5" s="95">
        <f>(2*U5*1000000*AF5*F5*F5*E5)/(H5*H5*D5)</f>
        <v/>
      </c>
      <c r="AQ5" s="102">
        <f>(M5*E5)/(AI5*F5)</f>
        <v/>
      </c>
      <c r="AR5" s="95">
        <f>AI5*AJ5*1000/AK5</f>
        <v/>
      </c>
      <c r="AS5" s="95">
        <f>AW5*E5/AK5</f>
        <v/>
      </c>
      <c r="AT5" s="95">
        <f>(2*Y5*1000000*AL5*F5*F5*E5)/(M5*M5*D5)</f>
        <v/>
      </c>
      <c r="AU5" s="95">
        <f>(AA5+AG5)/2</f>
        <v/>
      </c>
      <c r="AV5" s="95">
        <f>T5*1000/(G5*(AA5-AU5))</f>
        <v/>
      </c>
      <c r="AW5" s="95">
        <f>X5*1000/(G5*(AU5-AG5))</f>
        <v/>
      </c>
    </row>
    <row r="6" ht="15.6" customHeight="1">
      <c r="C6" s="13" t="n">
        <v>2</v>
      </c>
      <c r="D6" s="60">
        <f>182/1000</f>
        <v/>
      </c>
      <c r="E6" s="60" t="n">
        <v>0.00257</v>
      </c>
      <c r="F6" s="60" t="n">
        <v>0.00059364</v>
      </c>
      <c r="G6" s="60" t="n">
        <v>0.16346304</v>
      </c>
      <c r="H6" s="103" t="n">
        <v>0.07392908905228761</v>
      </c>
      <c r="I6" s="104" t="n">
        <v>140.7044117647058</v>
      </c>
      <c r="J6" s="104" t="n">
        <v>9.276397058823532</v>
      </c>
      <c r="K6" s="104" t="n">
        <v>105.8617647058824</v>
      </c>
      <c r="L6" s="104" t="n">
        <v>9.249397058823533</v>
      </c>
      <c r="M6" s="103" t="n">
        <v>0.07537820669934639</v>
      </c>
      <c r="N6" s="104" t="n">
        <v>100.8838235294118</v>
      </c>
      <c r="O6" s="104" t="n">
        <v>9.151205882352942</v>
      </c>
      <c r="P6" s="104" t="n">
        <v>135.2632352941176</v>
      </c>
      <c r="Q6" s="104" t="n">
        <v>9.140426470588235</v>
      </c>
      <c r="R6" s="95" t="n">
        <v>564.0847441289937</v>
      </c>
      <c r="S6" s="95" t="n">
        <v>518.5166067050997</v>
      </c>
      <c r="T6" s="95">
        <f>(R6-S6)*H6</f>
        <v/>
      </c>
      <c r="U6" s="96">
        <f>J6-L6</f>
        <v/>
      </c>
      <c r="V6" s="95" t="n">
        <v>512.2193144443261</v>
      </c>
      <c r="W6" s="95" t="n">
        <v>558.0133267807183</v>
      </c>
      <c r="X6" s="95">
        <f>(W6-V6)*M6</f>
        <v/>
      </c>
      <c r="Y6" s="96">
        <f>O6-Q6</f>
        <v/>
      </c>
      <c r="Z6" s="17">
        <f>(X6-T6)/T6</f>
        <v/>
      </c>
      <c r="AA6" s="95">
        <f>(I6+K6)/2</f>
        <v/>
      </c>
      <c r="AB6" s="95">
        <f>(J6+L6)/2</f>
        <v/>
      </c>
      <c r="AC6" s="60" t="n">
        <v>2.200891814288515e-05</v>
      </c>
      <c r="AD6" s="97" t="n">
        <v>1.306753613224676</v>
      </c>
      <c r="AE6" s="98" t="n">
        <v>0.03095534866441665</v>
      </c>
      <c r="AF6" s="95" t="n">
        <v>149.8657516018605</v>
      </c>
      <c r="AG6" s="95">
        <f>(N6+P6)/2</f>
        <v/>
      </c>
      <c r="AH6" s="95">
        <f>(O6+Q6)/2</f>
        <v/>
      </c>
      <c r="AI6" s="60" t="n">
        <v>2.179932251360874e-05</v>
      </c>
      <c r="AJ6" s="99" t="n">
        <v>1.323042550941433</v>
      </c>
      <c r="AK6" s="100" t="n">
        <v>0.03067460610729647</v>
      </c>
      <c r="AL6" s="101" t="n">
        <v>151.4500969603107</v>
      </c>
      <c r="AM6" s="102">
        <f>(H6*E6)/(AC6*F6)</f>
        <v/>
      </c>
      <c r="AN6" s="95">
        <f>AC6*AD6*1000/AE6</f>
        <v/>
      </c>
      <c r="AO6" s="95">
        <f>AV6*E6/AE6</f>
        <v/>
      </c>
      <c r="AP6" s="95">
        <f>(2*U6*1000000*AF6*F6*F6*E6)/(H6*H6*D6)</f>
        <v/>
      </c>
      <c r="AQ6" s="102">
        <f>(M6*E6)/(AI6*F6)</f>
        <v/>
      </c>
      <c r="AR6" s="95">
        <f>AI6*AJ6*1000/AK6</f>
        <v/>
      </c>
      <c r="AS6" s="95">
        <f>AW6*E6/AK6</f>
        <v/>
      </c>
      <c r="AT6" s="95">
        <f>(2*Y6*1000000*AL6*F6*F6*E6)/(M6*M6*D6)</f>
        <v/>
      </c>
      <c r="AU6" s="95">
        <f>(AA6+AG6)/2</f>
        <v/>
      </c>
      <c r="AV6" s="95">
        <f>T6*1000/(G6*(AA6-AU6))</f>
        <v/>
      </c>
      <c r="AW6" s="95">
        <f>X6*1000/(G6*(AU6-AG6))</f>
        <v/>
      </c>
    </row>
    <row r="7" ht="15.6" customHeight="1">
      <c r="C7" s="13" t="n">
        <v>3</v>
      </c>
      <c r="D7" s="60">
        <f>182/1000</f>
        <v/>
      </c>
      <c r="E7" s="60" t="n">
        <v>0.00257</v>
      </c>
      <c r="F7" s="60" t="n">
        <v>0.00059364</v>
      </c>
      <c r="G7" s="60" t="n">
        <v>0.16346304</v>
      </c>
      <c r="H7" s="103" t="n">
        <v>0.09877763285024153</v>
      </c>
      <c r="I7" s="104" t="n">
        <v>130.1282608695652</v>
      </c>
      <c r="J7" s="104" t="n">
        <v>9.449934782608693</v>
      </c>
      <c r="K7" s="104" t="n">
        <v>103.6152173913043</v>
      </c>
      <c r="L7" s="104" t="n">
        <v>9.40286956521739</v>
      </c>
      <c r="M7" s="103" t="n">
        <v>0.1015022222222222</v>
      </c>
      <c r="N7" s="104" t="n">
        <v>99.81521739130434</v>
      </c>
      <c r="O7" s="104" t="n">
        <v>9.373021739130433</v>
      </c>
      <c r="P7" s="104" t="n">
        <v>127.8717391304348</v>
      </c>
      <c r="Q7" s="104" t="n">
        <v>9.345391304347826</v>
      </c>
      <c r="R7" s="95" t="n">
        <v>549.6962752140539</v>
      </c>
      <c r="S7" s="95" t="n">
        <v>514.1788519282727</v>
      </c>
      <c r="T7" s="95">
        <f>(R7-S7)*H7</f>
        <v/>
      </c>
      <c r="U7" s="96">
        <f>J7-L7</f>
        <v/>
      </c>
      <c r="V7" s="95" t="n">
        <v>508.918929415064</v>
      </c>
      <c r="W7" s="95" t="n">
        <v>547.4027528506789</v>
      </c>
      <c r="X7" s="95">
        <f>(W7-V7)*M7</f>
        <v/>
      </c>
      <c r="Y7" s="96">
        <f>O7-Q7</f>
        <v/>
      </c>
      <c r="Z7" s="17">
        <f>(X7-T7)/T7</f>
        <v/>
      </c>
      <c r="AA7" s="95">
        <f>(I7+K7)/2</f>
        <v/>
      </c>
      <c r="AB7" s="95">
        <f>(J7+L7)/2</f>
        <v/>
      </c>
      <c r="AC7" s="60" t="n">
        <v>2.191032136802177e-05</v>
      </c>
      <c r="AD7" s="97" t="n">
        <v>1.347025387251753</v>
      </c>
      <c r="AE7" s="98" t="n">
        <v>0.03097556283441077</v>
      </c>
      <c r="AF7" s="95" t="n">
        <v>158.146928750453</v>
      </c>
      <c r="AG7" s="95">
        <f>(N7+P7)/2</f>
        <v/>
      </c>
      <c r="AH7" s="95">
        <f>(O7+Q7)/2</f>
        <v/>
      </c>
      <c r="AI7" s="60" t="n">
        <v>2.179408278909153e-05</v>
      </c>
      <c r="AJ7" s="99" t="n">
        <v>1.359055107868868</v>
      </c>
      <c r="AK7" s="100" t="n">
        <v>0.03083503649489932</v>
      </c>
      <c r="AL7" s="101" t="n">
        <v>159.3033305459574</v>
      </c>
      <c r="AM7" s="102">
        <f>(H7*E7)/(AC7*F7)</f>
        <v/>
      </c>
      <c r="AN7" s="95">
        <f>AC7*AD7*1000/AE7</f>
        <v/>
      </c>
      <c r="AO7" s="95">
        <f>AV7*E7/AE7</f>
        <v/>
      </c>
      <c r="AP7" s="95">
        <f>(2*U7*1000000*AF7*F7*F7*E7)/(H7*H7*D7)</f>
        <v/>
      </c>
      <c r="AQ7" s="102">
        <f>(M7*E7)/(AI7*F7)</f>
        <v/>
      </c>
      <c r="AR7" s="95">
        <f>AI7*AJ7*1000/AK7</f>
        <v/>
      </c>
      <c r="AS7" s="95">
        <f>AW7*E7/AK7</f>
        <v/>
      </c>
      <c r="AT7" s="95">
        <f>(2*Y7*1000000*AL7*F7*F7*E7)/(M7*M7*D7)</f>
        <v/>
      </c>
      <c r="AU7" s="95">
        <f>(AA7+AG7)/2</f>
        <v/>
      </c>
      <c r="AV7" s="95">
        <f>T7*1000/(G7*(AA7-AU7))</f>
        <v/>
      </c>
      <c r="AW7" s="95">
        <f>X7*1000/(G7*(AU7-AG7))</f>
        <v/>
      </c>
    </row>
    <row r="8" ht="15.6" customHeight="1">
      <c r="C8" s="13" t="n">
        <v>4</v>
      </c>
      <c r="D8" s="60">
        <f>182/1000</f>
        <v/>
      </c>
      <c r="E8" s="60" t="n">
        <v>0.00257</v>
      </c>
      <c r="F8" s="60" t="n">
        <v>0.00059364</v>
      </c>
      <c r="G8" s="60" t="n">
        <v>0.16346304</v>
      </c>
      <c r="H8" s="103" t="n">
        <v>0.1242792816091954</v>
      </c>
      <c r="I8" s="104" t="n">
        <v>131.0051724137931</v>
      </c>
      <c r="J8" s="104" t="n">
        <v>9.80660344827586</v>
      </c>
      <c r="K8" s="104" t="n">
        <v>106.1120689655172</v>
      </c>
      <c r="L8" s="104" t="n">
        <v>9.736810344827591</v>
      </c>
      <c r="M8" s="103" t="n">
        <v>0.1255955172413794</v>
      </c>
      <c r="N8" s="104" t="n">
        <v>100.85</v>
      </c>
      <c r="O8" s="104" t="n">
        <v>9.606620689655172</v>
      </c>
      <c r="P8" s="104" t="n">
        <v>128.6189655172414</v>
      </c>
      <c r="Q8" s="104" t="n">
        <v>9.570862068965518</v>
      </c>
      <c r="R8" s="95" t="n">
        <v>548.7396488114598</v>
      </c>
      <c r="S8" s="95" t="n">
        <v>515.2347370226288</v>
      </c>
      <c r="T8" s="95">
        <f>(R8-S8)*H8</f>
        <v/>
      </c>
      <c r="U8" s="96">
        <f>J8-L8</f>
        <v/>
      </c>
      <c r="V8" s="95" t="n">
        <v>508.5745971165448</v>
      </c>
      <c r="W8" s="95" t="n">
        <v>547.0239605793313</v>
      </c>
      <c r="X8" s="95">
        <f>(W8-V8)*M8</f>
        <v/>
      </c>
      <c r="Y8" s="96">
        <f>O8-Q8</f>
        <v/>
      </c>
      <c r="Z8" s="17">
        <f>(X8-T8)/T8</f>
        <v/>
      </c>
      <c r="AA8" s="95">
        <f>(I8+K8)/2</f>
        <v/>
      </c>
      <c r="AB8" s="95">
        <f>(J8+L8)/2</f>
        <v/>
      </c>
      <c r="AC8" s="60" t="n">
        <v>2.21392410950219e-05</v>
      </c>
      <c r="AD8" s="97" t="n">
        <v>1.360480902816632</v>
      </c>
      <c r="AE8" s="98" t="n">
        <v>0.03142542617159768</v>
      </c>
      <c r="AF8" s="95" t="n">
        <v>163.8551753425887</v>
      </c>
      <c r="AG8" s="95">
        <f>(N8+P8)/2</f>
        <v/>
      </c>
      <c r="AH8" s="95">
        <f>(O8+Q8)/2</f>
        <v/>
      </c>
      <c r="AI8" s="60" t="n">
        <v>2.194291256139805e-05</v>
      </c>
      <c r="AJ8" s="99" t="n">
        <v>1.369860569681106</v>
      </c>
      <c r="AK8" s="100" t="n">
        <v>0.03113716226436196</v>
      </c>
      <c r="AL8" s="101" t="n">
        <v>163.3846591305102</v>
      </c>
      <c r="AM8" s="102">
        <f>(H8*E8)/(AC8*F8)</f>
        <v/>
      </c>
      <c r="AN8" s="95">
        <f>AC8*AD8*1000/AE8</f>
        <v/>
      </c>
      <c r="AO8" s="95">
        <f>AV8*E8/AE8</f>
        <v/>
      </c>
      <c r="AP8" s="95">
        <f>(2*U8*1000000*AF8*F8*F8*E8)/(H8*H8*D8)</f>
        <v/>
      </c>
      <c r="AQ8" s="102">
        <f>(M8*E8)/(AI8*F8)</f>
        <v/>
      </c>
      <c r="AR8" s="95">
        <f>AI8*AJ8*1000/AK8</f>
        <v/>
      </c>
      <c r="AS8" s="95">
        <f>AW8*E8/AK8</f>
        <v/>
      </c>
      <c r="AT8" s="95">
        <f>(2*Y8*1000000*AL8*F8*F8*E8)/(M8*M8*D8)</f>
        <v/>
      </c>
      <c r="AU8" s="95">
        <f>(AA8+AG8)/2</f>
        <v/>
      </c>
      <c r="AV8" s="95">
        <f>T8*1000/(G8*(AA8-AU8))</f>
        <v/>
      </c>
      <c r="AW8" s="95">
        <f>X8*1000/(G8*(AU8-AG8))</f>
        <v/>
      </c>
    </row>
    <row r="9" ht="15.6" customHeight="1">
      <c r="C9" s="13" t="n">
        <v>5</v>
      </c>
      <c r="D9" s="60">
        <f>182/1000</f>
        <v/>
      </c>
      <c r="E9" s="60" t="n">
        <v>0.00257</v>
      </c>
      <c r="F9" s="60" t="n">
        <v>0.00059364</v>
      </c>
      <c r="G9" s="60" t="n">
        <v>0.16346304</v>
      </c>
      <c r="H9" s="103" t="n">
        <v>0.1492699183006536</v>
      </c>
      <c r="I9" s="104" t="n">
        <v>133.8670588235294</v>
      </c>
      <c r="J9" s="104" t="n">
        <v>8.751764705882353</v>
      </c>
      <c r="K9" s="104" t="n">
        <v>104.7482352941176</v>
      </c>
      <c r="L9" s="104" t="n">
        <v>8.624329411764705</v>
      </c>
      <c r="M9" s="103" t="n">
        <v>0.1473784705882353</v>
      </c>
      <c r="N9" s="104" t="n">
        <v>98.98588235294119</v>
      </c>
      <c r="O9" s="104" t="n">
        <v>9.894423529411762</v>
      </c>
      <c r="P9" s="104" t="n">
        <v>128.3</v>
      </c>
      <c r="Q9" s="104" t="n">
        <v>9.821211764705879</v>
      </c>
      <c r="R9" s="95" t="n">
        <v>558.4549982313625</v>
      </c>
      <c r="S9" s="95" t="n">
        <v>521.6098496668587</v>
      </c>
      <c r="T9" s="95">
        <f>(R9-S9)*H9</f>
        <v/>
      </c>
      <c r="U9" s="96">
        <f>J9-L9</f>
        <v/>
      </c>
      <c r="V9" s="95" t="n">
        <v>503.4582175692133</v>
      </c>
      <c r="W9" s="95" t="n">
        <v>545.1075378001184</v>
      </c>
      <c r="X9" s="95">
        <f>(W9-V9)*M9</f>
        <v/>
      </c>
      <c r="Y9" s="96">
        <f>O9-Q9</f>
        <v/>
      </c>
      <c r="Z9" s="17">
        <f>(X9-T9)/T9</f>
        <v/>
      </c>
      <c r="AA9" s="95">
        <f>(I9+K9)/2</f>
        <v/>
      </c>
      <c r="AB9" s="95">
        <f>(J9+L9)/2</f>
        <v/>
      </c>
      <c r="AC9" s="60" t="n">
        <v>2.161569167921268e-05</v>
      </c>
      <c r="AD9" s="97" t="n">
        <v>1.289816251006819</v>
      </c>
      <c r="AE9" s="98" t="n">
        <v>0.03020366925591178</v>
      </c>
      <c r="AF9" s="95" t="n">
        <v>141.4386373893495</v>
      </c>
      <c r="AG9" s="95">
        <f>(N9+P9)/2</f>
        <v/>
      </c>
      <c r="AH9" s="95">
        <f>(O9+Q9)/2</f>
        <v/>
      </c>
      <c r="AI9" s="60" t="n">
        <v>2.20703381819934e-05</v>
      </c>
      <c r="AJ9" s="99" t="n">
        <v>1.395692876861311</v>
      </c>
      <c r="AK9" s="100" t="n">
        <v>0.03147168086127497</v>
      </c>
      <c r="AL9" s="101" t="n">
        <v>170.1646908165325</v>
      </c>
      <c r="AM9" s="102">
        <f>(H9*E9)/(AC9*F9)</f>
        <v/>
      </c>
      <c r="AN9" s="95">
        <f>AC9*AD9*1000/AE9</f>
        <v/>
      </c>
      <c r="AO9" s="95">
        <f>AV9*E9/AE9</f>
        <v/>
      </c>
      <c r="AP9" s="95">
        <f>(2*U9*1000000*AF9*F9*F9*E9)/(H9*H9*D9)</f>
        <v/>
      </c>
      <c r="AQ9" s="102">
        <f>(M9*E9)/(AI9*F9)</f>
        <v/>
      </c>
      <c r="AR9" s="95">
        <f>AI9*AJ9*1000/AK9</f>
        <v/>
      </c>
      <c r="AS9" s="95">
        <f>AW9*E9/AK9</f>
        <v/>
      </c>
      <c r="AT9" s="95">
        <f>(2*Y9*1000000*AL9*F9*F9*E9)/(M9*M9*D9)</f>
        <v/>
      </c>
      <c r="AU9" s="95">
        <f>(AA9+AG9)/2</f>
        <v/>
      </c>
      <c r="AV9" s="95">
        <f>T9*1000/(G9*(AA9-AU9))</f>
        <v/>
      </c>
      <c r="AW9" s="95">
        <f>X9*1000/(G9*(AU9-AG9))</f>
        <v/>
      </c>
    </row>
    <row r="10" ht="15.6" customHeight="1">
      <c r="C10" s="13" t="n">
        <v>6</v>
      </c>
      <c r="D10" s="60">
        <f>182/1000</f>
        <v/>
      </c>
      <c r="E10" s="60" t="n">
        <v>0.00257</v>
      </c>
      <c r="F10" s="60" t="n">
        <v>0.00059364</v>
      </c>
      <c r="G10" s="60" t="n">
        <v>0.16346304</v>
      </c>
      <c r="H10" s="103" t="n">
        <v>0.1770048690476191</v>
      </c>
      <c r="I10" s="104" t="n">
        <v>144.4685714285715</v>
      </c>
      <c r="J10" s="104" t="n">
        <v>9.161571428571431</v>
      </c>
      <c r="K10" s="104" t="n">
        <v>107.2300000000001</v>
      </c>
      <c r="L10" s="104" t="n">
        <v>8.995657142857141</v>
      </c>
      <c r="M10" s="103" t="n">
        <v>0.1776123015873016</v>
      </c>
      <c r="N10" s="104" t="n">
        <v>96.0157142857143</v>
      </c>
      <c r="O10" s="104" t="n">
        <v>10.07422857142857</v>
      </c>
      <c r="P10" s="104" t="n">
        <v>134.4057142857142</v>
      </c>
      <c r="Q10" s="104" t="n">
        <v>9.974471428571427</v>
      </c>
      <c r="R10" s="95" t="n">
        <v>569.3653721248603</v>
      </c>
      <c r="S10" s="95" t="n">
        <v>522.2772441851665</v>
      </c>
      <c r="T10" s="95">
        <f>(R10-S10)*H10</f>
        <v/>
      </c>
      <c r="U10" s="96">
        <f>J10-L10</f>
        <v/>
      </c>
      <c r="V10" s="95" t="n">
        <v>497.3500431562141</v>
      </c>
      <c r="W10" s="95" t="n">
        <v>552.1984317113642</v>
      </c>
      <c r="X10" s="95">
        <f>(W10-V10)*M10</f>
        <v/>
      </c>
      <c r="Y10" s="96">
        <f>O10-Q10</f>
        <v/>
      </c>
      <c r="Z10" s="17">
        <f>(X10-T10)/T10</f>
        <v/>
      </c>
      <c r="AA10" s="95">
        <f>(I10+K10)/2</f>
        <v/>
      </c>
      <c r="AB10" s="95">
        <f>(J10+L10)/2</f>
        <v/>
      </c>
      <c r="AC10" s="60" t="n">
        <v>2.200018074797912e-05</v>
      </c>
      <c r="AD10" s="97" t="n">
        <v>1.286331928346118</v>
      </c>
      <c r="AE10" s="98" t="n">
        <v>0.03084515969375647</v>
      </c>
      <c r="AF10" s="95" t="n">
        <v>144.507940657541</v>
      </c>
      <c r="AG10" s="95">
        <f>(N10+P10)/2</f>
        <v/>
      </c>
      <c r="AH10" s="95">
        <f>(O10+Q10)/2</f>
        <v/>
      </c>
      <c r="AI10" s="60" t="n">
        <v>2.220279879972062e-05</v>
      </c>
      <c r="AJ10" s="99" t="n">
        <v>1.397517790357537</v>
      </c>
      <c r="AK10" s="100" t="n">
        <v>0.03170275792300546</v>
      </c>
      <c r="AL10" s="101" t="n">
        <v>172.2575882141593</v>
      </c>
      <c r="AM10" s="102">
        <f>(H10*E10)/(AC10*F10)</f>
        <v/>
      </c>
      <c r="AN10" s="95">
        <f>AC10*AD10*1000/AE10</f>
        <v/>
      </c>
      <c r="AO10" s="95">
        <f>AV10*E10/AE10</f>
        <v/>
      </c>
      <c r="AP10" s="95">
        <f>(2*U10*1000000*AF10*F10*F10*E10)/(H10*H10*D10)</f>
        <v/>
      </c>
      <c r="AQ10" s="102">
        <f>(M10*E10)/(AI10*F10)</f>
        <v/>
      </c>
      <c r="AR10" s="95">
        <f>AI10*AJ10*1000/AK10</f>
        <v/>
      </c>
      <c r="AS10" s="95">
        <f>AW10*E10/AK10</f>
        <v/>
      </c>
      <c r="AT10" s="95">
        <f>(2*Y10*1000000*AL10*F10*F10*E10)/(M10*M10*D10)</f>
        <v/>
      </c>
      <c r="AU10" s="95">
        <f>(AA10+AG10)/2</f>
        <v/>
      </c>
      <c r="AV10" s="95">
        <f>T10*1000/(G10*(AA10-AU10))</f>
        <v/>
      </c>
      <c r="AW10" s="95">
        <f>X10*1000/(G10*(AU10-AG10))</f>
        <v/>
      </c>
    </row>
    <row r="11" ht="15" customHeight="1">
      <c r="C11" s="13" t="n">
        <v>7</v>
      </c>
      <c r="D11" s="60">
        <f>182/1000</f>
        <v/>
      </c>
      <c r="E11" s="60" t="n">
        <v>0.00257</v>
      </c>
      <c r="F11" s="60" t="n">
        <v>0.00059364</v>
      </c>
      <c r="G11" s="60" t="n">
        <v>0.16346304</v>
      </c>
      <c r="H11" s="103" t="n">
        <v>0.2024392091503267</v>
      </c>
      <c r="I11" s="104" t="n">
        <v>125.5388235294118</v>
      </c>
      <c r="J11" s="104" t="n">
        <v>9.213305882352943</v>
      </c>
      <c r="K11" s="104" t="n">
        <v>100.9764705882353</v>
      </c>
      <c r="L11" s="104" t="n">
        <v>9.012552941176471</v>
      </c>
      <c r="M11" s="103" t="n">
        <v>0.2000433888888889</v>
      </c>
      <c r="N11" s="104" t="n">
        <v>93.36588235294118</v>
      </c>
      <c r="O11" s="104" t="n">
        <v>8.954129411764709</v>
      </c>
      <c r="P11" s="104" t="n">
        <v>120.0117647058823</v>
      </c>
      <c r="Q11" s="104" t="n">
        <v>8.817517647058825</v>
      </c>
      <c r="R11" s="95" t="n">
        <v>545.1829859456006</v>
      </c>
      <c r="S11" s="95" t="n">
        <v>513.4350238993978</v>
      </c>
      <c r="T11" s="95">
        <f>(R11-S11)*H11</f>
        <v/>
      </c>
      <c r="U11" s="96">
        <f>J11-L11</f>
        <v/>
      </c>
      <c r="V11" s="95" t="n">
        <v>502.9042163538513</v>
      </c>
      <c r="W11" s="95" t="n">
        <v>540.4958489075578</v>
      </c>
      <c r="X11" s="95">
        <f>(W11-V11)*M11</f>
        <v/>
      </c>
      <c r="Y11" s="96">
        <f>O11-Q11</f>
        <v/>
      </c>
      <c r="Z11" s="17">
        <f>(X11-T11)/T11</f>
        <v/>
      </c>
      <c r="AA11" s="95">
        <f>(I11+K11)/2</f>
        <v/>
      </c>
      <c r="AB11" s="95">
        <f>(J11+L11)/2</f>
        <v/>
      </c>
      <c r="AC11" s="60" t="n">
        <v>2.16464694980256e-05</v>
      </c>
      <c r="AD11" s="97" t="n">
        <v>1.345254237932908</v>
      </c>
      <c r="AE11" s="98" t="n">
        <v>0.03051986839985695</v>
      </c>
      <c r="AF11" s="95" t="n">
        <v>154.607410576773</v>
      </c>
      <c r="AG11" s="95">
        <f>(N11+P11)/2</f>
        <v/>
      </c>
      <c r="AH11" s="95">
        <f>(O11+Q11)/2</f>
        <v/>
      </c>
      <c r="AI11" s="60" t="n">
        <v>2.134498809664499e-05</v>
      </c>
      <c r="AJ11" s="99" t="n">
        <v>1.366648812340232</v>
      </c>
      <c r="AK11" s="100" t="n">
        <v>0.03011098379604587</v>
      </c>
      <c r="AL11" s="101" t="n">
        <v>155.2923227108487</v>
      </c>
      <c r="AM11" s="102">
        <f>(H11*E11)/(AC11*F11)</f>
        <v/>
      </c>
      <c r="AN11" s="95">
        <f>AC11*AD11*1000/AE11</f>
        <v/>
      </c>
      <c r="AO11" s="95">
        <f>AV11*E11/AE11</f>
        <v/>
      </c>
      <c r="AP11" s="95">
        <f>(2*U11*1000000*AF11*F11*F11*E11)/(H11*H11*D11)</f>
        <v/>
      </c>
      <c r="AQ11" s="102">
        <f>(M11*E11)/(AI11*F11)</f>
        <v/>
      </c>
      <c r="AR11" s="95">
        <f>AI11*AJ11*1000/AK11</f>
        <v/>
      </c>
      <c r="AS11" s="95">
        <f>AW11*E11/AK11</f>
        <v/>
      </c>
      <c r="AT11" s="95">
        <f>(2*Y11*1000000*AL11*F11*F11*E11)/(M11*M11*D11)</f>
        <v/>
      </c>
      <c r="AU11" s="95">
        <f>(AA11+AG11)/2</f>
        <v/>
      </c>
      <c r="AV11" s="95">
        <f>T11*1000/(G11*(AA11-AU11))</f>
        <v/>
      </c>
      <c r="AW11" s="95">
        <f>X11*1000/(G11*(AU11-AG11))</f>
        <v/>
      </c>
    </row>
    <row r="12" ht="15.6" customHeight="1">
      <c r="C12" s="13" t="n">
        <v>8</v>
      </c>
      <c r="D12" s="60">
        <f>182/1000</f>
        <v/>
      </c>
      <c r="E12" s="60" t="n">
        <v>0.00257</v>
      </c>
      <c r="F12" s="60" t="n">
        <v>0.00059364</v>
      </c>
      <c r="G12" s="60" t="n">
        <v>0.16346304</v>
      </c>
      <c r="H12" s="105" t="n">
        <v>0.04853640476190476</v>
      </c>
      <c r="I12" s="106" t="n">
        <v>149.9471428571429</v>
      </c>
      <c r="J12" s="106" t="n">
        <v>8.452285714285715</v>
      </c>
      <c r="K12" s="106" t="n">
        <v>106.1385714285714</v>
      </c>
      <c r="L12" s="106" t="n">
        <v>8.437757142857143</v>
      </c>
      <c r="M12" s="105" t="n">
        <v>0.05094610714285713</v>
      </c>
      <c r="N12" s="106" t="n">
        <v>102.0685714285714</v>
      </c>
      <c r="O12" s="106" t="n">
        <v>9.848600000000005</v>
      </c>
      <c r="P12" s="106" t="n">
        <v>140.3571428571429</v>
      </c>
      <c r="Q12" s="106" t="n">
        <v>9.843</v>
      </c>
      <c r="R12" s="95" t="n">
        <v>579.6363717855152</v>
      </c>
      <c r="S12" s="95" t="n">
        <v>524.8459576513942</v>
      </c>
      <c r="T12" s="95">
        <f>(R12-S12)*H12</f>
        <v/>
      </c>
      <c r="U12" s="96">
        <f>J12-L12</f>
        <v/>
      </c>
      <c r="V12" s="95" t="n">
        <v>508.4613246685517</v>
      </c>
      <c r="W12" s="95" t="n">
        <v>560.5872406457717</v>
      </c>
      <c r="X12" s="95">
        <f>(W12-V12)*M12</f>
        <v/>
      </c>
      <c r="Y12" s="96">
        <f>O12-Q12</f>
        <v/>
      </c>
      <c r="Z12" s="17">
        <f>(X12-T12)/T12</f>
        <v/>
      </c>
      <c r="AA12" s="95">
        <f>(I12+K12)/2</f>
        <v/>
      </c>
      <c r="AB12" s="95">
        <f>(J12+L12)/2</f>
        <v/>
      </c>
      <c r="AC12" s="60" t="n">
        <v>2.179597808032451e-05</v>
      </c>
      <c r="AD12" s="97" t="n">
        <v>1.2462445093173</v>
      </c>
      <c r="AE12" s="98" t="n">
        <v>0.03030504347203072</v>
      </c>
      <c r="AF12" s="95" t="n">
        <v>131.3255997017089</v>
      </c>
      <c r="AG12" s="95">
        <f>(N12+P12)/2</f>
        <v/>
      </c>
      <c r="AH12" s="95">
        <f>(O12+Q12)/2</f>
        <v/>
      </c>
      <c r="AI12" s="60" t="n">
        <v>2.224650604224613e-05</v>
      </c>
      <c r="AJ12" s="99" t="n">
        <v>1.351061781850594</v>
      </c>
      <c r="AK12" s="100" t="n">
        <v>0.03156356360657782</v>
      </c>
      <c r="AL12" s="101" t="n">
        <v>163.0979861549663</v>
      </c>
      <c r="AM12" s="102">
        <f>(H12*E12)/(AC12*F12)</f>
        <v/>
      </c>
      <c r="AN12" s="95">
        <f>AC12*AD12*1000/AE12</f>
        <v/>
      </c>
      <c r="AO12" s="95">
        <f>AV12*E12/AE12</f>
        <v/>
      </c>
      <c r="AP12" s="95">
        <f>(2*U12*1000000*AF12*F12*F12*E12)/(H12*H12*D12)</f>
        <v/>
      </c>
      <c r="AQ12" s="102">
        <f>(M12*E12)/(AI12*F12)</f>
        <v/>
      </c>
      <c r="AR12" s="95">
        <f>AI12*AJ12*1000/AK12</f>
        <v/>
      </c>
      <c r="AS12" s="95">
        <f>AW12*E12/AK12</f>
        <v/>
      </c>
      <c r="AT12" s="95">
        <f>(2*Y12*1000000*AL12*F12*F12*E12)/(M12*M12*D12)</f>
        <v/>
      </c>
      <c r="AU12" s="95">
        <f>(AA12+AG12)/2</f>
        <v/>
      </c>
      <c r="AV12" s="95">
        <f>T12*1000/(G12*(AA12-AU12))</f>
        <v/>
      </c>
      <c r="AW12" s="95">
        <f>X12*1000/(G12*(AU12-AG12))</f>
        <v/>
      </c>
    </row>
    <row r="13" ht="15.6" customHeight="1">
      <c r="C13" s="13" t="n">
        <v>9</v>
      </c>
      <c r="D13" s="60">
        <f>182/1000</f>
        <v/>
      </c>
      <c r="E13" s="60" t="n">
        <v>0.00257</v>
      </c>
      <c r="F13" s="60" t="n">
        <v>0.00059364</v>
      </c>
      <c r="G13" s="60" t="n">
        <v>0.16346304</v>
      </c>
      <c r="H13" s="107" t="n">
        <v>0.07446447390572387</v>
      </c>
      <c r="I13" s="101" t="n">
        <v>162.2106060606061</v>
      </c>
      <c r="J13" s="101" t="n">
        <v>8.598287878787877</v>
      </c>
      <c r="K13" s="101" t="n">
        <v>113.0333333333333</v>
      </c>
      <c r="L13" s="101" t="n">
        <v>8.564848484848484</v>
      </c>
      <c r="M13" s="107" t="n">
        <v>0.07601385521885524</v>
      </c>
      <c r="N13" s="101" t="n">
        <v>105.1666666666667</v>
      </c>
      <c r="O13" s="101" t="n">
        <v>10.26248484848485</v>
      </c>
      <c r="P13" s="101" t="n">
        <v>150.7606060606061</v>
      </c>
      <c r="Q13" s="101" t="n">
        <v>10.24822727272728</v>
      </c>
      <c r="R13" s="95" t="n">
        <v>593.5209067482956</v>
      </c>
      <c r="S13" s="95" t="n">
        <v>533.0714757518537</v>
      </c>
      <c r="T13" s="95">
        <f>(R13-S13)*H13</f>
        <v/>
      </c>
      <c r="U13" s="96">
        <f>J13-L13</f>
        <v/>
      </c>
      <c r="V13" s="95" t="n">
        <v>509.8580289626357</v>
      </c>
      <c r="W13" s="95" t="n">
        <v>571.6593068127071</v>
      </c>
      <c r="X13" s="95">
        <f>(W13-V13)*M13</f>
        <v/>
      </c>
      <c r="Y13" s="96">
        <f>O13-Q13</f>
        <v/>
      </c>
      <c r="Z13" s="17">
        <f>(X13-T13)/T13</f>
        <v/>
      </c>
      <c r="AA13" s="95">
        <f>(I13+K13)/2</f>
        <v/>
      </c>
      <c r="AB13" s="95">
        <f>(J13+L13)/2</f>
        <v/>
      </c>
      <c r="AC13" s="60" t="n">
        <v>2.217913770250952e-05</v>
      </c>
      <c r="AD13" s="97" t="n">
        <v>1.226726397495515</v>
      </c>
      <c r="AE13" s="98" t="n">
        <v>0.03087560798481946</v>
      </c>
      <c r="AF13" s="95" t="n">
        <v>128.4251403512777</v>
      </c>
      <c r="AG13" s="95">
        <f>(N13+P13)/2</f>
        <v/>
      </c>
      <c r="AH13" s="95">
        <f>(O13+Q13)/2</f>
        <v/>
      </c>
      <c r="AI13" s="60" t="n">
        <v>2.263393220738822e-05</v>
      </c>
      <c r="AJ13" s="99" t="n">
        <v>1.34181057564536</v>
      </c>
      <c r="AK13" s="100" t="n">
        <v>0.03217739445630408</v>
      </c>
      <c r="AL13" s="101" t="n">
        <v>165.6125968758639</v>
      </c>
      <c r="AM13" s="102">
        <f>(H13*E13)/(AC13*F13)</f>
        <v/>
      </c>
      <c r="AN13" s="95">
        <f>AC13*AD13*1000/AE13</f>
        <v/>
      </c>
      <c r="AO13" s="95">
        <f>AV13*E13/AE13</f>
        <v/>
      </c>
      <c r="AP13" s="95">
        <f>(2*U13*1000000*AF13*F13*F13*E13)/(H13*H13*D13)</f>
        <v/>
      </c>
      <c r="AQ13" s="102">
        <f>(M13*E13)/(AI13*F13)</f>
        <v/>
      </c>
      <c r="AR13" s="95">
        <f>AI13*AJ13*1000/AK13</f>
        <v/>
      </c>
      <c r="AS13" s="95">
        <f>AW13*E13/AK13</f>
        <v/>
      </c>
      <c r="AT13" s="95">
        <f>(2*Y13*1000000*AL13*F13*F13*E13)/(M13*M13*D13)</f>
        <v/>
      </c>
      <c r="AU13" s="95">
        <f>(AA13+AG13)/2</f>
        <v/>
      </c>
      <c r="AV13" s="95">
        <f>T13*1000/(G13*(AA13-AU13))</f>
        <v/>
      </c>
      <c r="AW13" s="95">
        <f>X13*1000/(G13*(AU13-AG13))</f>
        <v/>
      </c>
    </row>
    <row r="14" ht="15.6" customHeight="1">
      <c r="C14" s="13" t="n">
        <v>10</v>
      </c>
      <c r="D14" s="60">
        <f>182/1000</f>
        <v/>
      </c>
      <c r="E14" s="60" t="n">
        <v>0.00257</v>
      </c>
      <c r="F14" s="60" t="n">
        <v>0.00059364</v>
      </c>
      <c r="G14" s="60" t="n">
        <v>0.16346304</v>
      </c>
      <c r="H14" s="107" t="n">
        <v>0.09926740196078435</v>
      </c>
      <c r="I14" s="101" t="n">
        <v>166.2333333333333</v>
      </c>
      <c r="J14" s="101" t="n">
        <v>9.054823529411767</v>
      </c>
      <c r="K14" s="101" t="n">
        <v>115.8450980392157</v>
      </c>
      <c r="L14" s="101" t="n">
        <v>8.997156862745099</v>
      </c>
      <c r="M14" s="107" t="n">
        <v>0.1024791612200436</v>
      </c>
      <c r="N14" s="101" t="n">
        <v>105.4803921568627</v>
      </c>
      <c r="O14" s="101" t="n">
        <v>10.5888431372549</v>
      </c>
      <c r="P14" s="101" t="n">
        <v>154.3352941176471</v>
      </c>
      <c r="Q14" s="101" t="n">
        <v>10.56109803921569</v>
      </c>
      <c r="R14" s="95" t="n">
        <v>596.2287859989527</v>
      </c>
      <c r="S14" s="95" t="n">
        <v>533.8715093807657</v>
      </c>
      <c r="T14" s="95">
        <f>(R14-S14)*H14</f>
        <v/>
      </c>
      <c r="U14" s="96">
        <f>J14-L14</f>
        <v/>
      </c>
      <c r="V14" s="95" t="n">
        <v>507.8207547294473</v>
      </c>
      <c r="W14" s="95" t="n">
        <v>574.6240039237753</v>
      </c>
      <c r="X14" s="95">
        <f>(W14-V14)*M14</f>
        <v/>
      </c>
      <c r="Y14" s="96">
        <f>O14-Q14</f>
        <v/>
      </c>
      <c r="Z14" s="17">
        <f>(X14-T14)/T14</f>
        <v/>
      </c>
      <c r="AA14" s="95">
        <f>(I14+K14)/2</f>
        <v/>
      </c>
      <c r="AB14" s="95">
        <f>(J14+L14)/2</f>
        <v/>
      </c>
      <c r="AC14" s="60" t="n">
        <v>2.246951066173633e-05</v>
      </c>
      <c r="AD14" s="97" t="n">
        <v>1.237100390706968</v>
      </c>
      <c r="AE14" s="98" t="n">
        <v>0.03142653237721389</v>
      </c>
      <c r="AF14" s="95" t="n">
        <v>134.2193630628096</v>
      </c>
      <c r="AG14" s="95">
        <f>(N14+P14)/2</f>
        <v/>
      </c>
      <c r="AH14" s="95">
        <f>(O14+Q14)/2</f>
        <v/>
      </c>
      <c r="AI14" s="60" t="n">
        <v>2.284928195275686e-05</v>
      </c>
      <c r="AJ14" s="99" t="n">
        <v>1.350175582217116</v>
      </c>
      <c r="AK14" s="100" t="n">
        <v>0.03257848149923745</v>
      </c>
      <c r="AL14" s="101" t="n">
        <v>170.2199733738214</v>
      </c>
      <c r="AM14" s="102">
        <f>(H14*E14)/(AC14*F14)</f>
        <v/>
      </c>
      <c r="AN14" s="95">
        <f>AC14*AD14*1000/AE14</f>
        <v/>
      </c>
      <c r="AO14" s="95">
        <f>AV14*E14/AE14</f>
        <v/>
      </c>
      <c r="AP14" s="95">
        <f>(2*U14*1000000*AF14*F14*F14*E14)/(H14*H14*D14)</f>
        <v/>
      </c>
      <c r="AQ14" s="102">
        <f>(M14*E14)/(AI14*F14)</f>
        <v/>
      </c>
      <c r="AR14" s="95">
        <f>AI14*AJ14*1000/AK14</f>
        <v/>
      </c>
      <c r="AS14" s="95">
        <f>AW14*E14/AK14</f>
        <v/>
      </c>
      <c r="AT14" s="95">
        <f>(2*Y14*1000000*AL14*F14*F14*E14)/(M14*M14*D14)</f>
        <v/>
      </c>
      <c r="AU14" s="95">
        <f>(AA14+AG14)/2</f>
        <v/>
      </c>
      <c r="AV14" s="95">
        <f>T14*1000/(G14*(AA14-AU14))</f>
        <v/>
      </c>
      <c r="AW14" s="95">
        <f>X14*1000/(G14*(AU14-AG14))</f>
        <v/>
      </c>
    </row>
    <row r="15" ht="15.6" customHeight="1">
      <c r="C15" s="13" t="n">
        <v>11</v>
      </c>
      <c r="D15" s="60">
        <f>182/1000</f>
        <v/>
      </c>
      <c r="E15" s="60" t="n">
        <v>0.00257</v>
      </c>
      <c r="F15" s="60" t="n">
        <v>0.00059364</v>
      </c>
      <c r="G15" s="60" t="n">
        <v>0.16346304</v>
      </c>
      <c r="H15" s="107" t="n">
        <v>0.1233276937134503</v>
      </c>
      <c r="I15" s="101" t="n">
        <v>161.4302631578947</v>
      </c>
      <c r="J15" s="101" t="n">
        <v>8.549644736842104</v>
      </c>
      <c r="K15" s="101" t="n">
        <v>118.446052631579</v>
      </c>
      <c r="L15" s="101" t="n">
        <v>8.454276315789473</v>
      </c>
      <c r="M15" s="107" t="n">
        <v>0.1250071454678363</v>
      </c>
      <c r="N15" s="101" t="n">
        <v>107.5815789473684</v>
      </c>
      <c r="O15" s="101" t="n">
        <v>9.091828947368418</v>
      </c>
      <c r="P15" s="101" t="n">
        <v>152.2552631578947</v>
      </c>
      <c r="Q15" s="101" t="n">
        <v>9.038513157894741</v>
      </c>
      <c r="R15" s="95" t="n">
        <v>592.8217567955253</v>
      </c>
      <c r="S15" s="95" t="n">
        <v>540.8046230732339</v>
      </c>
      <c r="T15" s="95">
        <f>(R15-S15)*H15</f>
        <v/>
      </c>
      <c r="U15" s="96">
        <f>J15-L15</f>
        <v/>
      </c>
      <c r="V15" s="95" t="n">
        <v>522.0621259939737</v>
      </c>
      <c r="W15" s="95" t="n">
        <v>579.5141425218561</v>
      </c>
      <c r="X15" s="95">
        <f>(W15-V15)*M15</f>
        <v/>
      </c>
      <c r="Y15" s="96">
        <f>O15-Q15</f>
        <v/>
      </c>
      <c r="Z15" s="17">
        <f>(X15-T15)/T15</f>
        <v/>
      </c>
      <c r="AA15" s="95">
        <f>(I15+K15)/2</f>
        <v/>
      </c>
      <c r="AB15" s="95">
        <f>(J15+L15)/2</f>
        <v/>
      </c>
      <c r="AC15" s="60" t="n">
        <v>2.222940578200277e-05</v>
      </c>
      <c r="AD15" s="97" t="n">
        <v>1.217976957087596</v>
      </c>
      <c r="AE15" s="98" t="n">
        <v>0.03092221355392875</v>
      </c>
      <c r="AF15" s="95" t="n">
        <v>125.8535005297509</v>
      </c>
      <c r="AG15" s="95">
        <f>(N15+P15)/2</f>
        <v/>
      </c>
      <c r="AH15" s="95">
        <f>(O15+Q15)/2</f>
        <v/>
      </c>
      <c r="AI15" s="60" t="n">
        <v>2.212197872022131e-05</v>
      </c>
      <c r="AJ15" s="99" t="n">
        <v>1.271193653046204</v>
      </c>
      <c r="AK15" s="100" t="n">
        <v>0.03098353159060099</v>
      </c>
      <c r="AL15" s="101" t="n">
        <v>141.5661504524969</v>
      </c>
      <c r="AM15" s="102">
        <f>(H15*E15)/(AC15*F15)</f>
        <v/>
      </c>
      <c r="AN15" s="95">
        <f>AC15*AD15*1000/AE15</f>
        <v/>
      </c>
      <c r="AO15" s="95">
        <f>AV15*E15/AE15</f>
        <v/>
      </c>
      <c r="AP15" s="95">
        <f>(2*U15*1000000*AF15*F15*F15*E15)/(H15*H15*D15)</f>
        <v/>
      </c>
      <c r="AQ15" s="102">
        <f>(M15*E15)/(AI15*F15)</f>
        <v/>
      </c>
      <c r="AR15" s="95">
        <f>AI15*AJ15*1000/AK15</f>
        <v/>
      </c>
      <c r="AS15" s="95">
        <f>AW15*E15/AK15</f>
        <v/>
      </c>
      <c r="AT15" s="95">
        <f>(2*Y15*1000000*AL15*F15*F15*E15)/(M15*M15*D15)</f>
        <v/>
      </c>
      <c r="AU15" s="95">
        <f>(AA15+AG15)/2</f>
        <v/>
      </c>
      <c r="AV15" s="95">
        <f>T15*1000/(G15*(AA15-AU15))</f>
        <v/>
      </c>
      <c r="AW15" s="95">
        <f>X15*1000/(G15*(AU15-AG15))</f>
        <v/>
      </c>
    </row>
    <row r="16" ht="15.6" customHeight="1">
      <c r="C16" s="13" t="n">
        <v>12</v>
      </c>
      <c r="D16" s="60">
        <f>182/1000</f>
        <v/>
      </c>
      <c r="E16" s="60" t="n">
        <v>0.00257</v>
      </c>
      <c r="F16" s="60" t="n">
        <v>0.00059364</v>
      </c>
      <c r="G16" s="60" t="n">
        <v>0.16346304</v>
      </c>
      <c r="H16" s="107" t="n">
        <v>0.1490760590277778</v>
      </c>
      <c r="I16" s="101" t="n">
        <v>167.1725000000001</v>
      </c>
      <c r="J16" s="101" t="n">
        <v>9.002174999999998</v>
      </c>
      <c r="K16" s="101" t="n">
        <v>117.64125</v>
      </c>
      <c r="L16" s="101" t="n">
        <v>8.872387500000002</v>
      </c>
      <c r="M16" s="107" t="n">
        <v>0.1510030451388888</v>
      </c>
      <c r="N16" s="101" t="n">
        <v>102.2325</v>
      </c>
      <c r="O16" s="101" t="n">
        <v>9.318425000000001</v>
      </c>
      <c r="P16" s="101" t="n">
        <v>153.7725000000001</v>
      </c>
      <c r="Q16" s="101" t="n">
        <v>9.246212499999999</v>
      </c>
      <c r="R16" s="95" t="n">
        <v>597.580241430776</v>
      </c>
      <c r="S16" s="95" t="n">
        <v>537.0574599484999</v>
      </c>
      <c r="T16" s="95">
        <f>(R16-S16)*H16</f>
        <v/>
      </c>
      <c r="U16" s="96">
        <f>J16-L16</f>
        <v/>
      </c>
      <c r="V16" s="95" t="n">
        <v>512.8477722303421</v>
      </c>
      <c r="W16" s="95" t="n">
        <v>580.3407173346782</v>
      </c>
      <c r="X16" s="95">
        <f>(W16-V16)*M16</f>
        <v/>
      </c>
      <c r="Y16" s="96">
        <f>O16-Q16</f>
        <v/>
      </c>
      <c r="Z16" s="17">
        <f>(X16-T16)/T16</f>
        <v/>
      </c>
      <c r="AA16" s="95">
        <f>(I16+K16)/2</f>
        <v/>
      </c>
      <c r="AB16" s="95">
        <f>(J16+L16)/2</f>
        <v/>
      </c>
      <c r="AC16" s="60" t="n">
        <v>2.248090831424281e-05</v>
      </c>
      <c r="AD16" s="97" t="n">
        <v>1.23011774159953</v>
      </c>
      <c r="AE16" s="98" t="n">
        <v>0.03141470844759157</v>
      </c>
      <c r="AF16" s="95" t="n">
        <v>131.9550607459231</v>
      </c>
      <c r="AG16" s="95">
        <f>(N16+P16)/2</f>
        <v/>
      </c>
      <c r="AH16" s="95">
        <f>(O16+Q16)/2</f>
        <v/>
      </c>
      <c r="AI16" s="60" t="n">
        <v>2.21597844071562e-05</v>
      </c>
      <c r="AJ16" s="99" t="n">
        <v>1.289095035194643</v>
      </c>
      <c r="AK16" s="100" t="n">
        <v>0.03113119412030423</v>
      </c>
      <c r="AL16" s="101" t="n">
        <v>146.891849590013</v>
      </c>
      <c r="AM16" s="102">
        <f>(H16*E16)/(AC16*F16)</f>
        <v/>
      </c>
      <c r="AN16" s="95">
        <f>AC16*AD16*1000/AE16</f>
        <v/>
      </c>
      <c r="AO16" s="95">
        <f>AV16*E16/AE16</f>
        <v/>
      </c>
      <c r="AP16" s="95">
        <f>(2*U16*1000000*AF16*F16*F16*E16)/(H16*H16*D16)</f>
        <v/>
      </c>
      <c r="AQ16" s="102">
        <f>(M16*E16)/(AI16*F16)</f>
        <v/>
      </c>
      <c r="AR16" s="95">
        <f>AI16*AJ16*1000/AK16</f>
        <v/>
      </c>
      <c r="AS16" s="95">
        <f>AW16*E16/AK16</f>
        <v/>
      </c>
      <c r="AT16" s="95">
        <f>(2*Y16*1000000*AL16*F16*F16*E16)/(M16*M16*D16)</f>
        <v/>
      </c>
      <c r="AU16" s="95">
        <f>(AA16+AG16)/2</f>
        <v/>
      </c>
      <c r="AV16" s="95">
        <f>T16*1000/(G16*(AA16-AU16))</f>
        <v/>
      </c>
      <c r="AW16" s="95">
        <f>X16*1000/(G16*(AU16-AG16))</f>
        <v/>
      </c>
    </row>
    <row r="17" ht="15.6" customHeight="1">
      <c r="C17" s="13" t="n">
        <v>13</v>
      </c>
      <c r="D17" s="60">
        <f>182/1000</f>
        <v/>
      </c>
      <c r="E17" s="60" t="n">
        <v>0.00257</v>
      </c>
      <c r="F17" s="60" t="n">
        <v>0.00059364</v>
      </c>
      <c r="G17" s="60" t="n">
        <v>0.16346304</v>
      </c>
      <c r="H17" s="107" t="n">
        <v>0.1755652813390313</v>
      </c>
      <c r="I17" s="101" t="n">
        <v>164.5076923076923</v>
      </c>
      <c r="J17" s="101" t="n">
        <v>8.512038461538465</v>
      </c>
      <c r="K17" s="101" t="n">
        <v>116.0217948717948</v>
      </c>
      <c r="L17" s="101" t="n">
        <v>8.326794871794867</v>
      </c>
      <c r="M17" s="107" t="n">
        <v>0.1771019622507122</v>
      </c>
      <c r="N17" s="101" t="n">
        <v>100.6076923076923</v>
      </c>
      <c r="O17" s="101" t="n">
        <v>9.497692307692306</v>
      </c>
      <c r="P17" s="101" t="n">
        <v>149.5871794871795</v>
      </c>
      <c r="Q17" s="101" t="n">
        <v>9.398166666666667</v>
      </c>
      <c r="R17" s="95" t="n">
        <v>596.6226620239962</v>
      </c>
      <c r="S17" s="95" t="n">
        <v>538.5270967422865</v>
      </c>
      <c r="T17" s="95">
        <f>(R17-S17)*H17</f>
        <v/>
      </c>
      <c r="U17" s="96">
        <f>J17-L17</f>
        <v/>
      </c>
      <c r="V17" s="95" t="n">
        <v>509.0845005158072</v>
      </c>
      <c r="W17" s="95" t="n">
        <v>574.4640377187158</v>
      </c>
      <c r="X17" s="95">
        <f>(W17-V17)*M17</f>
        <v/>
      </c>
      <c r="Y17" s="96">
        <f>O17-Q17</f>
        <v/>
      </c>
      <c r="Z17" s="17">
        <f>(X17-T17)/T17</f>
        <v/>
      </c>
      <c r="AA17" s="95">
        <f>(I17+K17)/2</f>
        <v/>
      </c>
      <c r="AB17" s="95">
        <f>(J17+L17)/2</f>
        <v/>
      </c>
      <c r="AC17" s="60" t="n">
        <v>2.22100032968882e-05</v>
      </c>
      <c r="AD17" s="97" t="n">
        <v>1.213869351672191</v>
      </c>
      <c r="AE17" s="98" t="n">
        <v>0.03086935245203865</v>
      </c>
      <c r="AF17" s="95" t="n">
        <v>124.2884479167284</v>
      </c>
      <c r="AG17" s="95">
        <f>(N17+P17)/2</f>
        <v/>
      </c>
      <c r="AH17" s="95">
        <f>(O17+Q17)/2</f>
        <v/>
      </c>
      <c r="AI17" s="60" t="n">
        <v>2.215130043446841e-05</v>
      </c>
      <c r="AJ17" s="99" t="n">
        <v>1.309563598827213</v>
      </c>
      <c r="AK17" s="100" t="n">
        <v>0.03121117702482985</v>
      </c>
      <c r="AL17" s="101" t="n">
        <v>152.1302113420883</v>
      </c>
      <c r="AM17" s="102">
        <f>(H17*E17)/(AC17*F17)</f>
        <v/>
      </c>
      <c r="AN17" s="95">
        <f>AC17*AD17*1000/AE17</f>
        <v/>
      </c>
      <c r="AO17" s="95">
        <f>AV17*E17/AE17</f>
        <v/>
      </c>
      <c r="AP17" s="95">
        <f>(2*U17*1000000*AF17*F17*F17*E17)/(H17*H17*D17)</f>
        <v/>
      </c>
      <c r="AQ17" s="102">
        <f>(M17*E17)/(AI17*F17)</f>
        <v/>
      </c>
      <c r="AR17" s="95">
        <f>AI17*AJ17*1000/AK17</f>
        <v/>
      </c>
      <c r="AS17" s="95">
        <f>AW17*E17/AK17</f>
        <v/>
      </c>
      <c r="AT17" s="95">
        <f>(2*Y17*1000000*AL17*F17*F17*E17)/(M17*M17*D17)</f>
        <v/>
      </c>
      <c r="AU17" s="95">
        <f>(AA17+AG17)/2</f>
        <v/>
      </c>
      <c r="AV17" s="95">
        <f>T17*1000/(G17*(AA17-AU17))</f>
        <v/>
      </c>
      <c r="AW17" s="95">
        <f>X17*1000/(G17*(AU17-AG17))</f>
        <v/>
      </c>
    </row>
    <row r="18" ht="15.6" customHeight="1">
      <c r="C18" s="13" t="n">
        <v>14</v>
      </c>
      <c r="D18" s="60">
        <f>182/1000</f>
        <v/>
      </c>
      <c r="E18" s="60" t="n">
        <v>0.00257</v>
      </c>
      <c r="F18" s="60" t="n">
        <v>0.00059364</v>
      </c>
      <c r="G18" s="60" t="n">
        <v>0.16346304</v>
      </c>
      <c r="H18" s="107" t="n">
        <v>0.04829083333333335</v>
      </c>
      <c r="I18" s="101" t="n">
        <v>191.6625000000001</v>
      </c>
      <c r="J18" s="101" t="n">
        <v>8.340734374999998</v>
      </c>
      <c r="K18" s="101" t="n">
        <v>113.696875</v>
      </c>
      <c r="L18" s="101" t="n">
        <v>8.326671874999999</v>
      </c>
      <c r="M18" s="107" t="n">
        <v>0.05081040364583331</v>
      </c>
      <c r="N18" s="101" t="n">
        <v>99.90781250000002</v>
      </c>
      <c r="O18" s="101" t="n">
        <v>10.200671875</v>
      </c>
      <c r="P18" s="101" t="n">
        <v>169.94375</v>
      </c>
      <c r="Q18" s="101" t="n">
        <v>10.2089375</v>
      </c>
      <c r="R18" s="95" t="n">
        <v>628.8641564806079</v>
      </c>
      <c r="S18" s="95" t="n">
        <v>535.5377707734765</v>
      </c>
      <c r="T18" s="95">
        <f>(R18-S18)*H18</f>
        <v/>
      </c>
      <c r="U18" s="96">
        <f>J18-L18</f>
        <v/>
      </c>
      <c r="V18" s="95" t="n">
        <v>502.3605152190739</v>
      </c>
      <c r="W18" s="95" t="n">
        <v>595.5997138135194</v>
      </c>
      <c r="X18" s="95">
        <f>(W18-V18)*M18</f>
        <v/>
      </c>
      <c r="Y18" s="96">
        <f>O18-Q18</f>
        <v/>
      </c>
      <c r="Z18" s="17">
        <f>(X18-T18)/T18</f>
        <v/>
      </c>
      <c r="AA18" s="95">
        <f>(I18+K18)/2</f>
        <v/>
      </c>
      <c r="AB18" s="95">
        <f>(J18+L18)/2</f>
        <v/>
      </c>
      <c r="AC18" s="60" t="n">
        <v>2.26249672941859e-05</v>
      </c>
      <c r="AD18" s="97" t="n">
        <v>1.187692823098161</v>
      </c>
      <c r="AE18" s="98" t="n">
        <v>0.03147480580435851</v>
      </c>
      <c r="AF18" s="95" t="n">
        <v>117.1160056344332</v>
      </c>
      <c r="AG18" s="95">
        <f>(N18+P18)/2</f>
        <v/>
      </c>
      <c r="AH18" s="95">
        <f>(O18+Q18)/2</f>
        <v/>
      </c>
      <c r="AI18" s="60" t="n">
        <v>2.279409632368623e-05</v>
      </c>
      <c r="AJ18" s="99" t="n">
        <v>1.309525168506688</v>
      </c>
      <c r="AK18" s="100" t="n">
        <v>0.03230626330104965</v>
      </c>
      <c r="AL18" s="101" t="n">
        <v>159.1931764850404</v>
      </c>
      <c r="AM18" s="102">
        <f>(H18*E18)/(AC18*F18)</f>
        <v/>
      </c>
      <c r="AN18" s="95">
        <f>AC18*AD18*1000/AE18</f>
        <v/>
      </c>
      <c r="AO18" s="95">
        <f>AV18*E18/AE18</f>
        <v/>
      </c>
      <c r="AP18" s="95">
        <f>(2*U18*1000000*AF18*F18*F18*E18)/(H18*H18*D18)</f>
        <v/>
      </c>
      <c r="AQ18" s="102">
        <f>(M18*E18)/(AI18*F18)</f>
        <v/>
      </c>
      <c r="AR18" s="95">
        <f>AI18*AJ18*1000/AK18</f>
        <v/>
      </c>
      <c r="AS18" s="95">
        <f>AW18*E18/AK18</f>
        <v/>
      </c>
      <c r="AT18" s="95">
        <f>(2*Y18*1000000*AL18*F18*F18*E18)/(M18*M18*D18)</f>
        <v/>
      </c>
      <c r="AU18" s="95">
        <f>(AA18+AG18)/2</f>
        <v/>
      </c>
      <c r="AV18" s="95">
        <f>T18*1000/(G18*(AA18-AU18))</f>
        <v/>
      </c>
      <c r="AW18" s="95">
        <f>X18*1000/(G18*(AU18-AG18))</f>
        <v/>
      </c>
    </row>
    <row r="19" ht="15.6" customHeight="1">
      <c r="C19" s="13" t="n">
        <v>15</v>
      </c>
      <c r="D19" s="60">
        <f>182/1000</f>
        <v/>
      </c>
      <c r="E19" s="60" t="n">
        <v>0.00257</v>
      </c>
      <c r="F19" s="60" t="n">
        <v>0.00059364</v>
      </c>
      <c r="G19" s="60" t="n">
        <v>0.16346304</v>
      </c>
      <c r="H19" s="107" t="n">
        <v>0.07417716553287984</v>
      </c>
      <c r="I19" s="101" t="n">
        <v>199.1469387755103</v>
      </c>
      <c r="J19" s="101" t="n">
        <v>8.524857142857144</v>
      </c>
      <c r="K19" s="101" t="n">
        <v>127.4469387755102</v>
      </c>
      <c r="L19" s="101" t="n">
        <v>8.490102040816327</v>
      </c>
      <c r="M19" s="107" t="n">
        <v>0.07513952947845803</v>
      </c>
      <c r="N19" s="101" t="n">
        <v>110.5714285714286</v>
      </c>
      <c r="O19" s="101" t="n">
        <v>9.038816326530615</v>
      </c>
      <c r="P19" s="101" t="n">
        <v>181.4428571428572</v>
      </c>
      <c r="Q19" s="101" t="n">
        <v>9.028775510204087</v>
      </c>
      <c r="R19" s="95" t="n">
        <v>636.7714747590053</v>
      </c>
      <c r="S19" s="95" t="n">
        <v>551.9633609383258</v>
      </c>
      <c r="T19" s="95">
        <f>(R19-S19)*H19</f>
        <v/>
      </c>
      <c r="U19" s="96">
        <f>J19-L19</f>
        <v/>
      </c>
      <c r="V19" s="95" t="n">
        <v>526.5242347597566</v>
      </c>
      <c r="W19" s="95" t="n">
        <v>614.302652596995</v>
      </c>
      <c r="X19" s="95">
        <f>(W19-V19)*M19</f>
        <v/>
      </c>
      <c r="Y19" s="96">
        <f>O19-Q19</f>
        <v/>
      </c>
      <c r="Z19" s="17">
        <f>(X19-T19)/T19</f>
        <v/>
      </c>
      <c r="AA19" s="95">
        <f>(I19+K19)/2</f>
        <v/>
      </c>
      <c r="AB19" s="95">
        <f>(J19+L19)/2</f>
        <v/>
      </c>
      <c r="AC19" s="60" t="n">
        <v>2.306817448503723e-05</v>
      </c>
      <c r="AD19" s="97" t="n">
        <v>1.178268736004505</v>
      </c>
      <c r="AE19" s="98" t="n">
        <v>0.03221388226925732</v>
      </c>
      <c r="AF19" s="95" t="n">
        <v>115.362730636633</v>
      </c>
      <c r="AG19" s="95">
        <f>(N19+P19)/2</f>
        <v/>
      </c>
      <c r="AH19" s="95">
        <f>(O19+Q19)/2</f>
        <v/>
      </c>
      <c r="AI19" s="60" t="n">
        <v>2.264032449374936e-05</v>
      </c>
      <c r="AJ19" s="99" t="n">
        <v>1.225696603398096</v>
      </c>
      <c r="AK19" s="100" t="n">
        <v>0.03167168430745165</v>
      </c>
      <c r="AL19" s="101" t="n">
        <v>131.6600212717601</v>
      </c>
      <c r="AM19" s="102">
        <f>(H19*E19)/(AC19*F19)</f>
        <v/>
      </c>
      <c r="AN19" s="95">
        <f>AC19*AD19*1000/AE19</f>
        <v/>
      </c>
      <c r="AO19" s="95">
        <f>AV19*E19/AE19</f>
        <v/>
      </c>
      <c r="AP19" s="95">
        <f>(2*U19*1000000*AF19*F19*F19*E19)/(H19*H19*D19)</f>
        <v/>
      </c>
      <c r="AQ19" s="102">
        <f>(M19*E19)/(AI19*F19)</f>
        <v/>
      </c>
      <c r="AR19" s="95">
        <f>AI19*AJ19*1000/AK19</f>
        <v/>
      </c>
      <c r="AS19" s="95">
        <f>AW19*E19/AK19</f>
        <v/>
      </c>
      <c r="AT19" s="95">
        <f>(2*Y19*1000000*AL19*F19*F19*E19)/(M19*M19*D19)</f>
        <v/>
      </c>
      <c r="AU19" s="95">
        <f>(AA19+AG19)/2</f>
        <v/>
      </c>
      <c r="AV19" s="95">
        <f>T19*1000/(G19*(AA19-AU19))</f>
        <v/>
      </c>
      <c r="AW19" s="95">
        <f>X19*1000/(G19*(AU19-AG19))</f>
        <v/>
      </c>
    </row>
    <row r="20" ht="15.6" customHeight="1">
      <c r="C20" s="13" t="n">
        <v>16</v>
      </c>
      <c r="D20" s="60">
        <f>182/1000</f>
        <v/>
      </c>
      <c r="E20" s="60" t="n">
        <v>0.00257</v>
      </c>
      <c r="F20" s="60" t="n">
        <v>0.00059364</v>
      </c>
      <c r="G20" s="60" t="n">
        <v>0.16346304</v>
      </c>
      <c r="H20" s="108" t="n">
        <v>0.09870848039215688</v>
      </c>
      <c r="I20" s="109" t="n">
        <v>193.5882352941177</v>
      </c>
      <c r="J20" s="109" t="n">
        <v>8.483392156862744</v>
      </c>
      <c r="K20" s="109" t="n">
        <v>123.1078431372549</v>
      </c>
      <c r="L20" s="109" t="n">
        <v>8.418411764705883</v>
      </c>
      <c r="M20" s="108" t="n">
        <v>0.1009679139433551</v>
      </c>
      <c r="N20" s="109" t="n">
        <v>102.8078431372549</v>
      </c>
      <c r="O20" s="109" t="n">
        <v>8.861725490196074</v>
      </c>
      <c r="P20" s="109" t="n">
        <v>173.6176470588236</v>
      </c>
      <c r="Q20" s="109" t="n">
        <v>8.823313725490195</v>
      </c>
      <c r="R20" s="95" t="n">
        <v>630.5364184822279</v>
      </c>
      <c r="S20" s="95" t="n">
        <v>546.9495553959247</v>
      </c>
      <c r="T20" s="95">
        <f>(R20-S20)*H20</f>
        <v/>
      </c>
      <c r="U20" s="96">
        <f>J20-L20</f>
        <v/>
      </c>
      <c r="V20" s="95" t="n">
        <v>517.1659208978954</v>
      </c>
      <c r="W20" s="95" t="n">
        <v>605.9716891943762</v>
      </c>
      <c r="X20" s="95">
        <f>(W20-V20)*M20</f>
        <v/>
      </c>
      <c r="Y20" s="96">
        <f>O20-Q20</f>
        <v/>
      </c>
      <c r="Z20" s="17">
        <f>(X20-T20)/T20</f>
        <v/>
      </c>
      <c r="AA20" s="95">
        <f>(I20+K20)/2</f>
        <v/>
      </c>
      <c r="AB20" s="95">
        <f>(J20+L20)/2</f>
        <v/>
      </c>
      <c r="AC20" s="60" t="n">
        <v>2.28698658106061e-05</v>
      </c>
      <c r="AD20" s="97" t="n">
        <v>1.183145495370881</v>
      </c>
      <c r="AE20" s="98" t="n">
        <v>0.03188538321833014</v>
      </c>
      <c r="AF20" s="95" t="n">
        <v>116.5328644317819</v>
      </c>
      <c r="AG20" s="95">
        <f>(N20+P20)/2</f>
        <v/>
      </c>
      <c r="AH20" s="95">
        <f>(O20+Q20)/2</f>
        <v/>
      </c>
      <c r="AI20" s="60" t="n">
        <v>2.230164431089512e-05</v>
      </c>
      <c r="AJ20" s="99" t="n">
        <v>1.236477421858124</v>
      </c>
      <c r="AK20" s="100" t="n">
        <v>0.03113300670042541</v>
      </c>
      <c r="AL20" s="101" t="n">
        <v>132.6239246921628</v>
      </c>
      <c r="AM20" s="102">
        <f>(H20*E20)/(AC20*F20)</f>
        <v/>
      </c>
      <c r="AN20" s="95">
        <f>AC20*AD20*1000/AE20</f>
        <v/>
      </c>
      <c r="AO20" s="95">
        <f>AV20*E20/AE20</f>
        <v/>
      </c>
      <c r="AP20" s="95">
        <f>(2*U20*1000000*AF20*F20*F20*E20)/(H20*H20*D20)</f>
        <v/>
      </c>
      <c r="AQ20" s="102">
        <f>(M20*E20)/(AI20*F20)</f>
        <v/>
      </c>
      <c r="AR20" s="95">
        <f>AI20*AJ20*1000/AK20</f>
        <v/>
      </c>
      <c r="AS20" s="95">
        <f>AW20*E20/AK20</f>
        <v/>
      </c>
      <c r="AT20" s="95">
        <f>(2*Y20*1000000*AL20*F20*F20*E20)/(M20*M20*D20)</f>
        <v/>
      </c>
      <c r="AU20" s="95">
        <f>(AA20+AG20)/2</f>
        <v/>
      </c>
      <c r="AV20" s="95">
        <f>T20*1000/(G20*(AA20-AU20))</f>
        <v/>
      </c>
      <c r="AW20" s="95">
        <f>X20*1000/(G20*(AU20-AG20))</f>
        <v/>
      </c>
    </row>
    <row r="21" ht="15.6" customHeight="1">
      <c r="C21" s="13" t="n">
        <v>17</v>
      </c>
      <c r="D21" s="60">
        <f>182/1000</f>
        <v/>
      </c>
      <c r="E21" s="60" t="n">
        <v>0.00257</v>
      </c>
      <c r="F21" s="60" t="n">
        <v>0.00059364</v>
      </c>
      <c r="G21" s="60" t="n">
        <v>0.16346304</v>
      </c>
      <c r="H21" s="107" t="n">
        <v>0.1239234833333333</v>
      </c>
      <c r="I21" s="101" t="n">
        <v>200.322</v>
      </c>
      <c r="J21" s="101" t="n">
        <v>8.919799999999999</v>
      </c>
      <c r="K21" s="101" t="n">
        <v>125.55</v>
      </c>
      <c r="L21" s="101" t="n">
        <v>8.820799999999998</v>
      </c>
      <c r="M21" s="107" t="n">
        <v>0.1250834777777778</v>
      </c>
      <c r="N21" s="101" t="n">
        <v>101.6400000000001</v>
      </c>
      <c r="O21" s="101" t="n">
        <v>9.146519999999999</v>
      </c>
      <c r="P21" s="101" t="n">
        <v>177.2020000000001</v>
      </c>
      <c r="Q21" s="101" t="n">
        <v>9.088380000000001</v>
      </c>
      <c r="R21" s="95" t="n">
        <v>636.6857861409071</v>
      </c>
      <c r="S21" s="95" t="n">
        <v>547.5856660287349</v>
      </c>
      <c r="T21" s="95">
        <f>(R21-S21)*H21</f>
        <v/>
      </c>
      <c r="U21" s="96">
        <f>J21-L21</f>
        <v/>
      </c>
      <c r="V21" s="95" t="n">
        <v>513.3350697956705</v>
      </c>
      <c r="W21" s="95" t="n">
        <v>609.0734373071315</v>
      </c>
      <c r="X21" s="95">
        <f>(W21-V21)*M21</f>
        <v/>
      </c>
      <c r="Y21" s="96">
        <f>O21-Q21</f>
        <v/>
      </c>
      <c r="Z21" s="17">
        <f>(X21-T21)/T21</f>
        <v/>
      </c>
      <c r="AA21" s="95">
        <f>(I21+K21)/2</f>
        <v/>
      </c>
      <c r="AB21" s="95">
        <f>(J21+L21)/2</f>
        <v/>
      </c>
      <c r="AC21" s="60" t="n">
        <v>2.317317556834703e-05</v>
      </c>
      <c r="AD21" s="97" t="n">
        <v>1.189778564211563</v>
      </c>
      <c r="AE21" s="98" t="n">
        <v>0.03244759553880553</v>
      </c>
      <c r="AF21" s="95" t="n">
        <v>120.9977522116896</v>
      </c>
      <c r="AG21" s="95">
        <f>(N21+P21)/2</f>
        <v/>
      </c>
      <c r="AH21" s="95">
        <f>(O21+Q21)/2</f>
        <v/>
      </c>
      <c r="AI21" s="60" t="n">
        <v>2.245231046498525e-05</v>
      </c>
      <c r="AJ21" s="99" t="n">
        <v>1.24515407180202</v>
      </c>
      <c r="AK21" s="100" t="n">
        <v>0.03143321263449004</v>
      </c>
      <c r="AL21" s="101" t="n">
        <v>136.717115895058</v>
      </c>
      <c r="AM21" s="102">
        <f>(H21*E21)/(AC21*F21)</f>
        <v/>
      </c>
      <c r="AN21" s="95">
        <f>AC21*AD21*1000/AE21</f>
        <v/>
      </c>
      <c r="AO21" s="95">
        <f>AV21*E21/AE21</f>
        <v/>
      </c>
      <c r="AP21" s="95">
        <f>(2*U21*1000000*AF21*F21*F21*E21)/(H21*H21*D21)</f>
        <v/>
      </c>
      <c r="AQ21" s="102">
        <f>(M21*E21)/(AI21*F21)</f>
        <v/>
      </c>
      <c r="AR21" s="95">
        <f>AI21*AJ21*1000/AK21</f>
        <v/>
      </c>
      <c r="AS21" s="95">
        <f>AW21*E21/AK21</f>
        <v/>
      </c>
      <c r="AT21" s="95">
        <f>(2*Y21*1000000*AL21*F21*F21*E21)/(M21*M21*D21)</f>
        <v/>
      </c>
      <c r="AU21" s="95">
        <f>(AA21+AG21)/2</f>
        <v/>
      </c>
      <c r="AV21" s="95">
        <f>T21*1000/(G21*(AA21-AU21))</f>
        <v/>
      </c>
      <c r="AW21" s="95">
        <f>X21*1000/(G21*(AU21-AG21))</f>
        <v/>
      </c>
    </row>
    <row r="22" ht="15.6" customHeight="1">
      <c r="C22" s="13" t="n">
        <v>18</v>
      </c>
      <c r="D22" s="60">
        <f>182/1000</f>
        <v/>
      </c>
      <c r="E22" s="60" t="n">
        <v>0.00257</v>
      </c>
      <c r="F22" s="60" t="n">
        <v>0.00059364</v>
      </c>
      <c r="G22" s="60" t="n">
        <v>0.16346304</v>
      </c>
      <c r="H22" s="107" t="n">
        <v>0.1491672379454927</v>
      </c>
      <c r="I22" s="101" t="n">
        <v>197</v>
      </c>
      <c r="J22" s="101" t="n">
        <v>9.038377358490566</v>
      </c>
      <c r="K22" s="101" t="n">
        <v>123.3056603773585</v>
      </c>
      <c r="L22" s="101" t="n">
        <v>8.899037735849058</v>
      </c>
      <c r="M22" s="107" t="n">
        <v>0.1505037002096436</v>
      </c>
      <c r="N22" s="101" t="n">
        <v>96.06603773584909</v>
      </c>
      <c r="O22" s="101" t="n">
        <v>8.910339622641509</v>
      </c>
      <c r="P22" s="101" t="n">
        <v>173.5603773584906</v>
      </c>
      <c r="Q22" s="101" t="n">
        <v>8.821981132075472</v>
      </c>
      <c r="R22" s="95" t="n">
        <v>632.4044227259486</v>
      </c>
      <c r="S22" s="95" t="n">
        <v>544.233705975937</v>
      </c>
      <c r="T22" s="95">
        <f>(R22-S22)*H22</f>
        <v/>
      </c>
      <c r="U22" s="96">
        <f>J22-L22</f>
        <v/>
      </c>
      <c r="V22" s="95" t="n">
        <v>507.2216176600493</v>
      </c>
      <c r="W22" s="95" t="n">
        <v>605.9100638132809</v>
      </c>
      <c r="X22" s="95">
        <f>(W22-V22)*M22</f>
        <v/>
      </c>
      <c r="Y22" s="96">
        <f>O22-Q22</f>
        <v/>
      </c>
      <c r="Z22" s="17">
        <f>(X22-T22)/T22</f>
        <v/>
      </c>
      <c r="AA22" s="95">
        <f>(I22+K22)/2</f>
        <v/>
      </c>
      <c r="AB22" s="95">
        <f>(J22+L22)/2</f>
        <v/>
      </c>
      <c r="AC22" s="60" t="n">
        <v>2.310757687366659e-05</v>
      </c>
      <c r="AD22" s="97" t="n">
        <v>1.196994080744653</v>
      </c>
      <c r="AE22" s="98" t="n">
        <v>0.03236281073279545</v>
      </c>
      <c r="AF22" s="95" t="n">
        <v>123.730003332331</v>
      </c>
      <c r="AG22" s="95">
        <f>(N22+P22)/2</f>
        <v/>
      </c>
      <c r="AH22" s="95">
        <f>(O22+Q22)/2</f>
        <v/>
      </c>
      <c r="AI22" s="60" t="n">
        <v>2.219708409622849e-05</v>
      </c>
      <c r="AJ22" s="99" t="n">
        <v>1.246648623456658</v>
      </c>
      <c r="AK22" s="100" t="n">
        <v>0.03099912922083034</v>
      </c>
      <c r="AL22" s="101" t="n">
        <v>134.9717631864329</v>
      </c>
      <c r="AM22" s="102">
        <f>(H22*E22)/(AC22*F22)</f>
        <v/>
      </c>
      <c r="AN22" s="95">
        <f>AC22*AD22*1000/AE22</f>
        <v/>
      </c>
      <c r="AO22" s="95">
        <f>AV22*E22/AE22</f>
        <v/>
      </c>
      <c r="AP22" s="95">
        <f>(2*U22*1000000*AF22*F22*F22*E22)/(H22*H22*D22)</f>
        <v/>
      </c>
      <c r="AQ22" s="102">
        <f>(M22*E22)/(AI22*F22)</f>
        <v/>
      </c>
      <c r="AR22" s="95">
        <f>AI22*AJ22*1000/AK22</f>
        <v/>
      </c>
      <c r="AS22" s="95">
        <f>AW22*E22/AK22</f>
        <v/>
      </c>
      <c r="AT22" s="95">
        <f>(2*Y22*1000000*AL22*F22*F22*E22)/(M22*M22*D22)</f>
        <v/>
      </c>
      <c r="AU22" s="95">
        <f>(AA22+AG22)/2</f>
        <v/>
      </c>
      <c r="AV22" s="95">
        <f>T22*1000/(G22*(AA22-AU22))</f>
        <v/>
      </c>
      <c r="AW22" s="95">
        <f>X22*1000/(G22*(AU22-AG22))</f>
        <v/>
      </c>
    </row>
    <row r="23" ht="15.6" customHeight="1">
      <c r="C23" s="13" t="n">
        <v>19</v>
      </c>
      <c r="D23" s="60">
        <f>182/1000</f>
        <v/>
      </c>
      <c r="E23" s="60" t="n">
        <v>0.00257</v>
      </c>
      <c r="F23" s="60" t="n">
        <v>0.00059364</v>
      </c>
      <c r="G23" s="60" t="n">
        <v>0.16346304</v>
      </c>
      <c r="H23" s="107" t="n">
        <v>0.1764339215686274</v>
      </c>
      <c r="I23" s="101" t="n">
        <v>164.2220588235294</v>
      </c>
      <c r="J23" s="101" t="n">
        <v>9.021735294117649</v>
      </c>
      <c r="K23" s="101" t="n">
        <v>116.6426470588235</v>
      </c>
      <c r="L23" s="101" t="n">
        <v>8.845205882352943</v>
      </c>
      <c r="M23" s="107" t="n">
        <v>0.1761595792483661</v>
      </c>
      <c r="N23" s="101" t="n">
        <v>99.4191176470588</v>
      </c>
      <c r="O23" s="101" t="n">
        <v>9.09938235294117</v>
      </c>
      <c r="P23" s="101" t="n">
        <v>148.6882352941175</v>
      </c>
      <c r="Q23" s="101" t="n">
        <v>8.991132352941175</v>
      </c>
      <c r="R23" s="95" t="n">
        <v>593.9809089893814</v>
      </c>
      <c r="S23" s="95" t="n">
        <v>535.9280086458483</v>
      </c>
      <c r="T23" s="95">
        <f>(R23-S23)*H23</f>
        <v/>
      </c>
      <c r="U23" s="96">
        <f>J23-L23</f>
        <v/>
      </c>
      <c r="V23" s="95" t="n">
        <v>510.5283011715695</v>
      </c>
      <c r="W23" s="95" t="n">
        <v>575.4141267745861</v>
      </c>
      <c r="X23" s="95">
        <f>(W23-V23)*M23</f>
        <v/>
      </c>
      <c r="Y23" s="96">
        <f>O23-Q23</f>
        <v/>
      </c>
      <c r="Z23" s="17">
        <f>(X23-T23)/T23</f>
        <v/>
      </c>
      <c r="AA23" s="95">
        <f>(I23+K23)/2</f>
        <v/>
      </c>
      <c r="AB23" s="95">
        <f>(J23+L23)/2</f>
        <v/>
      </c>
      <c r="AC23" s="60" t="n">
        <v>2.241257539508383e-05</v>
      </c>
      <c r="AD23" s="97" t="n">
        <v>1.234745798037939</v>
      </c>
      <c r="AE23" s="98" t="n">
        <v>0.03131722275348988</v>
      </c>
      <c r="AF23" s="95" t="n">
        <v>132.9663801954621</v>
      </c>
      <c r="AG23" s="95">
        <f>(N23+P23)/2</f>
        <v/>
      </c>
      <c r="AH23" s="95">
        <f>(O23+Q23)/2</f>
        <v/>
      </c>
      <c r="AI23" s="60" t="n">
        <v>2.192934147327072e-05</v>
      </c>
      <c r="AJ23" s="99" t="n">
        <v>1.291382888976118</v>
      </c>
      <c r="AK23" s="100" t="n">
        <v>0.03074757726354236</v>
      </c>
      <c r="AL23" s="101" t="n">
        <v>145.1024469755951</v>
      </c>
      <c r="AM23" s="102">
        <f>(H23*E23)/(AC23*F23)</f>
        <v/>
      </c>
      <c r="AN23" s="95">
        <f>AC23*AD23*1000/AE23</f>
        <v/>
      </c>
      <c r="AO23" s="95">
        <f>AV23*E23/AE23</f>
        <v/>
      </c>
      <c r="AP23" s="95">
        <f>(2*U23*1000000*AF23*F23*F23*E23)/(H23*H23*D23)</f>
        <v/>
      </c>
      <c r="AQ23" s="102">
        <f>(M23*E23)/(AI23*F23)</f>
        <v/>
      </c>
      <c r="AR23" s="95">
        <f>AI23*AJ23*1000/AK23</f>
        <v/>
      </c>
      <c r="AS23" s="95">
        <f>AW23*E23/AK23</f>
        <v/>
      </c>
      <c r="AT23" s="95">
        <f>(2*Y23*1000000*AL23*F23*F23*E23)/(M23*M23*D23)</f>
        <v/>
      </c>
      <c r="AU23" s="95">
        <f>(AA23+AG23)/2</f>
        <v/>
      </c>
      <c r="AV23" s="95">
        <f>T23*1000/(G23*(AA23-AU23))</f>
        <v/>
      </c>
      <c r="AW23" s="95">
        <f>X23*1000/(G23*(AU23-AG23))</f>
        <v/>
      </c>
    </row>
    <row r="24" ht="15.6" customHeight="1">
      <c r="C24" s="13" t="n">
        <v>20</v>
      </c>
      <c r="D24" s="60">
        <f>182/1000</f>
        <v/>
      </c>
      <c r="E24" s="60" t="n">
        <v>0.00257</v>
      </c>
      <c r="F24" s="60" t="n">
        <v>0.00059364</v>
      </c>
      <c r="G24" s="60" t="n">
        <v>0.16346304</v>
      </c>
      <c r="H24" s="107" t="n">
        <v>0.04846226068376068</v>
      </c>
      <c r="I24" s="101" t="n">
        <v>222.5076923076924</v>
      </c>
      <c r="J24" s="101" t="n">
        <v>8.496476923076926</v>
      </c>
      <c r="K24" s="101" t="n">
        <v>126.0769230769231</v>
      </c>
      <c r="L24" s="101" t="n">
        <v>8.479661538461539</v>
      </c>
      <c r="M24" s="107" t="n">
        <v>0.05021766239316239</v>
      </c>
      <c r="N24" s="101" t="n">
        <v>104.3784615384616</v>
      </c>
      <c r="O24" s="101" t="n">
        <v>8.797892307692306</v>
      </c>
      <c r="P24" s="101" t="n">
        <v>196.5076923076923</v>
      </c>
      <c r="Q24" s="101" t="n">
        <v>8.800938461538463</v>
      </c>
      <c r="R24" s="95" t="n">
        <v>663.574543028892</v>
      </c>
      <c r="S24" s="95" t="n">
        <v>550.3101994187599</v>
      </c>
      <c r="T24" s="95">
        <f>(R24-S24)*H24</f>
        <v/>
      </c>
      <c r="U24" s="96">
        <f>J24-L24</f>
        <v/>
      </c>
      <c r="V24" s="95" t="n">
        <v>519.8171394880854</v>
      </c>
      <c r="W24" s="95" t="n">
        <v>632.7141719210588</v>
      </c>
      <c r="X24" s="95">
        <f>(W24-V24)*M24</f>
        <v/>
      </c>
      <c r="Y24" s="96">
        <f>O24-Q24</f>
        <v/>
      </c>
      <c r="Z24" s="17">
        <f>(X24-T24)/T24</f>
        <v/>
      </c>
      <c r="AA24" s="95">
        <f>(I24+K24)/2</f>
        <v/>
      </c>
      <c r="AB24" s="95">
        <f>(J24+L24)/2</f>
        <v/>
      </c>
      <c r="AC24" s="60" t="n">
        <v>2.346461575265866e-05</v>
      </c>
      <c r="AD24" s="97" t="n">
        <v>1.165468858814868</v>
      </c>
      <c r="AE24" s="98" t="n">
        <v>0.03286037954294599</v>
      </c>
      <c r="AF24" s="95" t="n">
        <v>110.867326669695</v>
      </c>
      <c r="AG24" s="95">
        <f>(N24+P24)/2</f>
        <v/>
      </c>
      <c r="AH24" s="95">
        <f>(O24+Q24)/2</f>
        <v/>
      </c>
      <c r="AI24" s="60" t="n">
        <v>2.270698450046056e-05</v>
      </c>
      <c r="AJ24" s="99" t="n">
        <v>1.207874931398534</v>
      </c>
      <c r="AK24" s="100" t="n">
        <v>0.03170865565448025</v>
      </c>
      <c r="AL24" s="101" t="n">
        <v>125.5755984878372</v>
      </c>
      <c r="AM24" s="102">
        <f>(H24*E24)/(AC24*F24)</f>
        <v/>
      </c>
      <c r="AN24" s="95">
        <f>AC24*AD24*1000/AE24</f>
        <v/>
      </c>
      <c r="AO24" s="95">
        <f>AV24*E24/AE24</f>
        <v/>
      </c>
      <c r="AP24" s="95">
        <f>(2*U24*1000000*AF24*F24*F24*E24)/(H24*H24*D24)</f>
        <v/>
      </c>
      <c r="AQ24" s="102">
        <f>(M24*E24)/(AI24*F24)</f>
        <v/>
      </c>
      <c r="AR24" s="95">
        <f>AI24*AJ24*1000/AK24</f>
        <v/>
      </c>
      <c r="AS24" s="95">
        <f>AW24*E24/AK24</f>
        <v/>
      </c>
      <c r="AT24" s="95">
        <f>(2*Y24*1000000*AL24*F24*F24*E24)/(M24*M24*D24)</f>
        <v/>
      </c>
      <c r="AU24" s="95">
        <f>(AA24+AG24)/2</f>
        <v/>
      </c>
      <c r="AV24" s="95">
        <f>T24*1000/(G24*(AA24-AU24))</f>
        <v/>
      </c>
      <c r="AW24" s="95">
        <f>X24*1000/(G24*(AU24-AG24))</f>
        <v/>
      </c>
    </row>
    <row r="25" ht="15.6" customHeight="1">
      <c r="C25" s="13" t="n">
        <v>21</v>
      </c>
      <c r="D25" s="60">
        <f>182/1000</f>
        <v/>
      </c>
      <c r="E25" s="60" t="n">
        <v>0.00257</v>
      </c>
      <c r="F25" s="60" t="n">
        <v>0.00059364</v>
      </c>
      <c r="G25" s="60" t="n">
        <v>0.16346304</v>
      </c>
      <c r="H25" s="107" t="n">
        <v>0.0742376754385965</v>
      </c>
      <c r="I25" s="101" t="n">
        <v>215.3508771929825</v>
      </c>
      <c r="J25" s="101" t="n">
        <v>8.565771929824562</v>
      </c>
      <c r="K25" s="101" t="n">
        <v>126.1456140350878</v>
      </c>
      <c r="L25" s="101" t="n">
        <v>8.529263157894734</v>
      </c>
      <c r="M25" s="107" t="n">
        <v>0.07486368908382068</v>
      </c>
      <c r="N25" s="101" t="n">
        <v>102.3210526315789</v>
      </c>
      <c r="O25" s="101" t="n">
        <v>8.711719298245615</v>
      </c>
      <c r="P25" s="101" t="n">
        <v>190.2842105263159</v>
      </c>
      <c r="Q25" s="101" t="n">
        <v>8.704526315789476</v>
      </c>
      <c r="R25" s="95" t="n">
        <v>655.1830512246654</v>
      </c>
      <c r="S25" s="95" t="n">
        <v>550.098592240568</v>
      </c>
      <c r="T25" s="95">
        <f>(R25-S25)*H25</f>
        <v/>
      </c>
      <c r="U25" s="96">
        <f>J25-L25</f>
        <v/>
      </c>
      <c r="V25" s="95" t="n">
        <v>517.631648450279</v>
      </c>
      <c r="W25" s="95" t="n">
        <v>625.8809957941008</v>
      </c>
      <c r="X25" s="95">
        <f>(W25-V25)*M25</f>
        <v/>
      </c>
      <c r="Y25" s="96">
        <f>O25-Q25</f>
        <v/>
      </c>
      <c r="Z25" s="17">
        <f>(X25-T25)/T25</f>
        <v/>
      </c>
      <c r="AA25" s="95">
        <f>(I25+K25)/2</f>
        <v/>
      </c>
      <c r="AB25" s="95">
        <f>(J25+L25)/2</f>
        <v/>
      </c>
      <c r="AC25" s="60" t="n">
        <v>2.3352618691034e-05</v>
      </c>
      <c r="AD25" s="97" t="n">
        <v>1.170695599237682</v>
      </c>
      <c r="AE25" s="98" t="n">
        <v>0.03268430410918</v>
      </c>
      <c r="AF25" s="95" t="n">
        <v>113.0419645638271</v>
      </c>
      <c r="AG25" s="95">
        <f>(N25+P25)/2</f>
        <v/>
      </c>
      <c r="AH25" s="95">
        <f>(O25+Q25)/2</f>
        <v/>
      </c>
      <c r="AI25" s="60" t="n">
        <v>2.252887613978794e-05</v>
      </c>
      <c r="AJ25" s="99" t="n">
        <v>1.212573218223874</v>
      </c>
      <c r="AK25" s="100" t="n">
        <v>0.03141884773739325</v>
      </c>
      <c r="AL25" s="101" t="n">
        <v>126.1065491804561</v>
      </c>
      <c r="AM25" s="102">
        <f>(H25*E25)/(AC25*F25)</f>
        <v/>
      </c>
      <c r="AN25" s="95">
        <f>AC25*AD25*1000/AE25</f>
        <v/>
      </c>
      <c r="AO25" s="95">
        <f>AV25*E25/AE25</f>
        <v/>
      </c>
      <c r="AP25" s="95">
        <f>(2*U25*1000000*AF25*F25*F25*E25)/(H25*H25*D25)</f>
        <v/>
      </c>
      <c r="AQ25" s="102">
        <f>(M25*E25)/(AI25*F25)</f>
        <v/>
      </c>
      <c r="AR25" s="95">
        <f>AI25*AJ25*1000/AK25</f>
        <v/>
      </c>
      <c r="AS25" s="95">
        <f>AW25*E25/AK25</f>
        <v/>
      </c>
      <c r="AT25" s="95">
        <f>(2*Y25*1000000*AL25*F25*F25*E25)/(M25*M25*D25)</f>
        <v/>
      </c>
      <c r="AU25" s="95">
        <f>(AA25+AG25)/2</f>
        <v/>
      </c>
      <c r="AV25" s="95">
        <f>T25*1000/(G25*(AA25-AU25))</f>
        <v/>
      </c>
      <c r="AW25" s="95">
        <f>X25*1000/(G25*(AU25-AG25))</f>
        <v/>
      </c>
    </row>
    <row r="26" ht="15.6" customHeight="1">
      <c r="C26" s="13" t="n">
        <v>22</v>
      </c>
      <c r="D26" s="60">
        <f>182/1000</f>
        <v/>
      </c>
      <c r="E26" s="60" t="n">
        <v>0.00257</v>
      </c>
      <c r="F26" s="60" t="n">
        <v>0.00059364</v>
      </c>
      <c r="G26" s="60" t="n">
        <v>0.16346304</v>
      </c>
      <c r="H26" s="105" t="n">
        <v>0.09899833857442346</v>
      </c>
      <c r="I26" s="101" t="n">
        <v>214.7867924528302</v>
      </c>
      <c r="J26" s="101" t="n">
        <v>9.031905660377362</v>
      </c>
      <c r="K26" s="101" t="n">
        <v>127.6735849056604</v>
      </c>
      <c r="L26" s="101" t="n">
        <v>8.970433962264153</v>
      </c>
      <c r="M26" s="107" t="n">
        <v>0.1009365094339623</v>
      </c>
      <c r="N26" s="101" t="n">
        <v>100.5433962264151</v>
      </c>
      <c r="O26" s="106" t="n">
        <v>9.072603773584907</v>
      </c>
      <c r="P26" s="101" t="n">
        <v>188.4981132075472</v>
      </c>
      <c r="Q26" s="101" t="n">
        <v>9.049452830188681</v>
      </c>
      <c r="R26" s="95" t="n">
        <v>652.9738670862893</v>
      </c>
      <c r="S26" s="95" t="n">
        <v>549.3904865509051</v>
      </c>
      <c r="T26" s="95">
        <f>(R26-S26)*H26</f>
        <v/>
      </c>
      <c r="U26" s="96">
        <f>J26-L26</f>
        <v/>
      </c>
      <c r="V26" s="95" t="n">
        <v>512.3496863616316</v>
      </c>
      <c r="W26" s="95" t="n">
        <v>622.4716249913619</v>
      </c>
      <c r="X26" s="95">
        <f>(W26-V26)*M26</f>
        <v/>
      </c>
      <c r="Y26" s="96">
        <f>O26-Q26</f>
        <v/>
      </c>
      <c r="Z26" s="17">
        <f>(X26-T26)/T26</f>
        <v/>
      </c>
      <c r="AA26" s="95">
        <f>(I26+K26)/2</f>
        <v/>
      </c>
      <c r="AB26" s="95">
        <f>(J26+L26)/2</f>
        <v/>
      </c>
      <c r="AC26" s="60" t="n">
        <v>2.351153592368541e-05</v>
      </c>
      <c r="AD26" s="97" t="n">
        <v>1.182724690994696</v>
      </c>
      <c r="AE26" s="98" t="n">
        <v>0.03301339977433951</v>
      </c>
      <c r="AF26" s="95" t="n">
        <v>119.4744776651862</v>
      </c>
      <c r="AG26" s="95">
        <f>(N26+P26)/2</f>
        <v/>
      </c>
      <c r="AH26" s="95">
        <f>(O26+Q26)/2</f>
        <v/>
      </c>
      <c r="AI26" s="60" t="n">
        <v>2.260037308321507e-05</v>
      </c>
      <c r="AJ26" s="99" t="n">
        <v>1.230136711729219</v>
      </c>
      <c r="AK26" s="100" t="n">
        <v>0.03162210485544811</v>
      </c>
      <c r="AL26" s="101" t="n">
        <v>132.9084741548351</v>
      </c>
      <c r="AM26" s="102">
        <f>(H26*E26)/(AC26*F26)</f>
        <v/>
      </c>
      <c r="AN26" s="95">
        <f>AC26*AD26*1000/AE26</f>
        <v/>
      </c>
      <c r="AO26" s="95">
        <f>AV26*E26/AE26</f>
        <v/>
      </c>
      <c r="AP26" s="95">
        <f>(2*U26*1000000*AF26*F26*F26*E26)/(H26*H26*D26)</f>
        <v/>
      </c>
      <c r="AQ26" s="102">
        <f>(M26*E26)/(AI26*F26)</f>
        <v/>
      </c>
      <c r="AR26" s="95">
        <f>AI26*AJ26*1000/AK26</f>
        <v/>
      </c>
      <c r="AS26" s="95">
        <f>AW26*E26/AK26</f>
        <v/>
      </c>
      <c r="AT26" s="95">
        <f>(2*Y26*1000000*AL26*F26*F26*E26)/(M26*M26*D26)</f>
        <v/>
      </c>
      <c r="AU26" s="95">
        <f>(AA26+AG26)/2</f>
        <v/>
      </c>
      <c r="AV26" s="95">
        <f>T26*1000/(G26*(AA26-AU26))</f>
        <v/>
      </c>
      <c r="AW26" s="95">
        <f>X26*1000/(G26*(AU26-AG26))</f>
        <v/>
      </c>
    </row>
    <row r="27" ht="15.6" customHeight="1">
      <c r="C27" s="13" t="n">
        <v>23</v>
      </c>
      <c r="D27" s="60">
        <f>182/1000</f>
        <v/>
      </c>
      <c r="E27" s="60" t="n">
        <v>0.00257</v>
      </c>
      <c r="F27" s="60" t="n">
        <v>0.00059364</v>
      </c>
      <c r="G27" s="60" t="n">
        <v>0.16346304</v>
      </c>
      <c r="H27" s="107" t="n">
        <v>0.1229769764957265</v>
      </c>
      <c r="I27" s="101" t="n">
        <v>225.1461538461539</v>
      </c>
      <c r="J27" s="101" t="n">
        <v>8.286250000000003</v>
      </c>
      <c r="K27" s="101" t="n">
        <v>130.6826923076923</v>
      </c>
      <c r="L27" s="101" t="n">
        <v>8.175999999999998</v>
      </c>
      <c r="M27" s="107" t="n">
        <v>0.1242690064102564</v>
      </c>
      <c r="N27" s="101" t="n">
        <v>99.29615384615384</v>
      </c>
      <c r="O27" s="101" t="n">
        <v>8.517250000000001</v>
      </c>
      <c r="P27" s="101" t="n">
        <v>195.9288461538461</v>
      </c>
      <c r="Q27" s="101" t="n">
        <v>8.461211538461539</v>
      </c>
      <c r="R27" s="95" t="n">
        <v>667.2491005287886</v>
      </c>
      <c r="S27" s="95" t="n">
        <v>557.8036143179396</v>
      </c>
      <c r="T27" s="95">
        <f>(R27-S27)*H27</f>
        <v/>
      </c>
      <c r="U27" s="96">
        <f>J27-L27</f>
        <v/>
      </c>
      <c r="V27" s="95" t="n">
        <v>514.9481483449862</v>
      </c>
      <c r="W27" s="95" t="n">
        <v>633.3103851911495</v>
      </c>
      <c r="X27" s="95">
        <f>(W27-V27)*M27</f>
        <v/>
      </c>
      <c r="Y27" s="96">
        <f>O27-Q27</f>
        <v/>
      </c>
      <c r="Z27" s="17">
        <f>(X27-T27)/T27</f>
        <v/>
      </c>
      <c r="AA27" s="95">
        <f>(I27+K27)/2</f>
        <v/>
      </c>
      <c r="AB27" s="95">
        <f>(J27+L27)/2</f>
        <v/>
      </c>
      <c r="AC27" s="60" t="n">
        <v>2.35236858392037e-05</v>
      </c>
      <c r="AD27" s="97" t="n">
        <v>1.155607776763375</v>
      </c>
      <c r="AE27" s="98" t="n">
        <v>0.03292327107918537</v>
      </c>
      <c r="AF27" s="95" t="n">
        <v>105.9590747553804</v>
      </c>
      <c r="AG27" s="95">
        <f>(N27+P27)/2</f>
        <v/>
      </c>
      <c r="AH27" s="95">
        <f>(O27+Q27)/2</f>
        <v/>
      </c>
      <c r="AI27" s="60" t="n">
        <v>2.249622283949653e-05</v>
      </c>
      <c r="AJ27" s="99" t="n">
        <v>1.201842800077854</v>
      </c>
      <c r="AK27" s="100" t="n">
        <v>0.03131321834171383</v>
      </c>
      <c r="AL27" s="101" t="n">
        <v>121.888868329613</v>
      </c>
      <c r="AM27" s="102">
        <f>(H27*E27)/(AC27*F27)</f>
        <v/>
      </c>
      <c r="AN27" s="95">
        <f>AC27*AD27*1000/AE27</f>
        <v/>
      </c>
      <c r="AO27" s="95">
        <f>AV27*E27/AE27</f>
        <v/>
      </c>
      <c r="AP27" s="95">
        <f>(2*U27*1000000*AF27*F27*F27*E27)/(H27*H27*D27)</f>
        <v/>
      </c>
      <c r="AQ27" s="102">
        <f>(M27*E27)/(AI27*F27)</f>
        <v/>
      </c>
      <c r="AR27" s="95">
        <f>AI27*AJ27*1000/AK27</f>
        <v/>
      </c>
      <c r="AS27" s="95">
        <f>AW27*E27/AK27</f>
        <v/>
      </c>
      <c r="AT27" s="95">
        <f>(2*Y27*1000000*AL27*F27*F27*E27)/(M27*M27*D27)</f>
        <v/>
      </c>
      <c r="AU27" s="95">
        <f>(AA27+AG27)/2</f>
        <v/>
      </c>
      <c r="AV27" s="95">
        <f>T27*1000/(G27*(AA27-AU27))</f>
        <v/>
      </c>
      <c r="AW27" s="95">
        <f>X27*1000/(G27*(AU27-AG27))</f>
        <v/>
      </c>
    </row>
    <row r="28" ht="15.6" customHeight="1">
      <c r="C28" s="13" t="n">
        <v>24</v>
      </c>
      <c r="D28" s="60">
        <f>182/1000</f>
        <v/>
      </c>
      <c r="E28" s="60" t="n">
        <v>0.00257</v>
      </c>
      <c r="F28" s="60" t="n">
        <v>0.00059364</v>
      </c>
      <c r="G28" s="60" t="n">
        <v>0.16346304</v>
      </c>
      <c r="H28" s="107" t="n">
        <v>0.1488943799603175</v>
      </c>
      <c r="I28" s="101" t="n">
        <v>212.4964285714285</v>
      </c>
      <c r="J28" s="101" t="n">
        <v>8.677196428571431</v>
      </c>
      <c r="K28" s="101" t="n">
        <v>129.5767857142857</v>
      </c>
      <c r="L28" s="101" t="n">
        <v>8.528071428571426</v>
      </c>
      <c r="M28" s="107" t="n">
        <v>0.1503382490079365</v>
      </c>
      <c r="N28" s="101" t="n">
        <v>100.0321428571429</v>
      </c>
      <c r="O28" s="101" t="n">
        <v>9.016035714285715</v>
      </c>
      <c r="P28" s="101" t="n">
        <v>184.9267857142856</v>
      </c>
      <c r="Q28" s="101" t="n">
        <v>8.933874999999999</v>
      </c>
      <c r="R28" s="95" t="n">
        <v>651.5420843806187</v>
      </c>
      <c r="S28" s="95" t="n">
        <v>554.3980422267267</v>
      </c>
      <c r="T28" s="95">
        <f>(R28-S28)*H28</f>
        <v/>
      </c>
      <c r="U28" s="96">
        <f>J28-L28</f>
        <v/>
      </c>
      <c r="V28" s="95" t="n">
        <v>512.0659648975299</v>
      </c>
      <c r="W28" s="95" t="n">
        <v>618.7585264464273</v>
      </c>
      <c r="X28" s="95">
        <f>(W28-V28)*M28</f>
        <v/>
      </c>
      <c r="Y28" s="96">
        <f>O28-Q28</f>
        <v/>
      </c>
      <c r="Z28" s="17">
        <f>(X28-T28)/T28</f>
        <v/>
      </c>
      <c r="AA28" s="95">
        <f>(I28+K28)/2</f>
        <v/>
      </c>
      <c r="AB28" s="95">
        <f>(J28+L28)/2</f>
        <v/>
      </c>
      <c r="AC28" s="60" t="n">
        <v>2.338004881772101e-05</v>
      </c>
      <c r="AD28" s="97" t="n">
        <v>1.171903937189702</v>
      </c>
      <c r="AE28" s="98" t="n">
        <v>0.0327377273160598</v>
      </c>
      <c r="AF28" s="95" t="n">
        <v>113.7338405245961</v>
      </c>
      <c r="AG28" s="95">
        <f>(N28+P28)/2</f>
        <v/>
      </c>
      <c r="AH28" s="95">
        <f>(O28+Q28)/2</f>
        <v/>
      </c>
      <c r="AI28" s="60" t="n">
        <v>2.249799553938981e-05</v>
      </c>
      <c r="AJ28" s="99" t="n">
        <v>1.231478201289731</v>
      </c>
      <c r="AK28" s="100" t="n">
        <v>0.03145049826106286</v>
      </c>
      <c r="AL28" s="101" t="n">
        <v>132.5559038854088</v>
      </c>
      <c r="AM28" s="102">
        <f>(H28*E28)/(AC28*F28)</f>
        <v/>
      </c>
      <c r="AN28" s="95">
        <f>AC28*AD28*1000/AE28</f>
        <v/>
      </c>
      <c r="AO28" s="95">
        <f>AV28*E28/AE28</f>
        <v/>
      </c>
      <c r="AP28" s="95">
        <f>(2*U28*1000000*AF28*F28*F28*E28)/(H28*H28*D28)</f>
        <v/>
      </c>
      <c r="AQ28" s="102">
        <f>(M28*E28)/(AI28*F28)</f>
        <v/>
      </c>
      <c r="AR28" s="95">
        <f>AI28*AJ28*1000/AK28</f>
        <v/>
      </c>
      <c r="AS28" s="95">
        <f>AW28*E28/AK28</f>
        <v/>
      </c>
      <c r="AT28" s="95">
        <f>(2*Y28*1000000*AL28*F28*F28*E28)/(M28*M28*D28)</f>
        <v/>
      </c>
      <c r="AU28" s="95">
        <f>(AA28+AG28)/2</f>
        <v/>
      </c>
      <c r="AV28" s="95">
        <f>T28*1000/(G28*(AA28-AU28))</f>
        <v/>
      </c>
      <c r="AW28" s="95">
        <f>X28*1000/(G28*(AU28-AG28))</f>
        <v/>
      </c>
    </row>
    <row r="29" ht="15.6" customHeight="1">
      <c r="C29" s="13" t="n">
        <v>25</v>
      </c>
      <c r="D29" s="60">
        <f>182/1000</f>
        <v/>
      </c>
      <c r="E29" s="60" t="n">
        <v>0.00257</v>
      </c>
      <c r="F29" s="60" t="n">
        <v>0.00059364</v>
      </c>
      <c r="G29" s="60" t="n">
        <v>0.16346304</v>
      </c>
      <c r="H29" s="107" t="n">
        <v>0.04861751883239172</v>
      </c>
      <c r="I29" s="101" t="n">
        <v>163.086440677966</v>
      </c>
      <c r="J29" s="101" t="n">
        <v>8.498050847457627</v>
      </c>
      <c r="K29" s="101" t="n">
        <v>129.935593220339</v>
      </c>
      <c r="L29" s="101" t="n">
        <v>8.47864406779661</v>
      </c>
      <c r="M29" s="107" t="n">
        <v>0.05054857344632767</v>
      </c>
      <c r="N29" s="101" t="n">
        <v>131.2762711864406</v>
      </c>
      <c r="O29" s="101" t="n">
        <v>9.031745762711866</v>
      </c>
      <c r="P29" s="101" t="n">
        <v>158.5050847457628</v>
      </c>
      <c r="Q29" s="101" t="n">
        <v>9.022644067796607</v>
      </c>
      <c r="R29" s="95" t="n">
        <v>595.0124221827219</v>
      </c>
      <c r="S29" s="95" t="n">
        <v>555.1322099812279</v>
      </c>
      <c r="T29" s="95">
        <f>(R29-S29)*H29</f>
        <v/>
      </c>
      <c r="U29" s="96">
        <f>J29-L29</f>
        <v/>
      </c>
      <c r="V29" s="95" t="n">
        <v>553.6036078213716</v>
      </c>
      <c r="W29" s="95" t="n">
        <v>587.1342619903916</v>
      </c>
      <c r="X29" s="95">
        <f>(W29-V29)*M29</f>
        <v/>
      </c>
      <c r="Y29" s="96">
        <f>O29-Q29</f>
        <v/>
      </c>
      <c r="Z29" s="17">
        <f>(X29-T29)/T29</f>
        <v/>
      </c>
      <c r="AA29" s="95">
        <f>(I29+K29)/2</f>
        <v/>
      </c>
      <c r="AB29" s="95">
        <f>(J29+L29)/2</f>
        <v/>
      </c>
      <c r="AC29" s="60" t="n">
        <v>2.24566598046516e-05</v>
      </c>
      <c r="AD29" s="97" t="n">
        <v>1.203873400141826</v>
      </c>
      <c r="AE29" s="98" t="n">
        <v>0.03125332158963974</v>
      </c>
      <c r="AF29" s="95" t="n">
        <v>122.3935900941983</v>
      </c>
      <c r="AG29" s="95">
        <f>(N29+P29)/2</f>
        <v/>
      </c>
      <c r="AH29" s="95">
        <f>(O29+Q29)/2</f>
        <v/>
      </c>
      <c r="AI29" s="60" t="n">
        <v>2.259987492233052e-05</v>
      </c>
      <c r="AJ29" s="99" t="n">
        <v>1.227949613325102</v>
      </c>
      <c r="AK29" s="100" t="n">
        <v>0.03161146537302314</v>
      </c>
      <c r="AL29" s="101" t="n">
        <v>132.1414595510339</v>
      </c>
      <c r="AM29" s="102">
        <f>(H29*E29)/(AC29*F29)</f>
        <v/>
      </c>
      <c r="AN29" s="95">
        <f>AC29*AD29*1000/AE29</f>
        <v/>
      </c>
      <c r="AO29" s="95">
        <f>AV29*E29/AE29</f>
        <v/>
      </c>
      <c r="AP29" s="95">
        <f>(2*U29*1000000*AF29*F29*F29*E29)/(H29*H29*D29)</f>
        <v/>
      </c>
      <c r="AQ29" s="102">
        <f>(M29*E29)/(AI29*F29)</f>
        <v/>
      </c>
      <c r="AR29" s="95">
        <f>AI29*AJ29*1000/AK29</f>
        <v/>
      </c>
      <c r="AS29" s="95">
        <f>AW29*E29/AK29</f>
        <v/>
      </c>
      <c r="AT29" s="95">
        <f>(2*Y29*1000000*AL29*F29*F29*E29)/(M29*M29*D29)</f>
        <v/>
      </c>
      <c r="AU29" s="95">
        <f>(AA29+AG29)/2</f>
        <v/>
      </c>
      <c r="AV29" s="95">
        <f>T29*1000/(G29*(AA29-AU29))</f>
        <v/>
      </c>
      <c r="AW29" s="95">
        <f>X29*1000/(G29*(AU29-AG29))</f>
        <v/>
      </c>
    </row>
    <row r="30" ht="15.6" customHeight="1">
      <c r="C30" s="13" t="n">
        <v>26</v>
      </c>
      <c r="D30" s="60">
        <f>182/1000</f>
        <v/>
      </c>
      <c r="E30" s="60" t="n">
        <v>0.00257</v>
      </c>
      <c r="F30" s="60" t="n">
        <v>0.00059364</v>
      </c>
      <c r="G30" s="60" t="n">
        <v>0.16346304</v>
      </c>
      <c r="H30" s="107" t="n">
        <v>0.07452112599206351</v>
      </c>
      <c r="I30" s="101" t="n">
        <v>170.6517857142857</v>
      </c>
      <c r="J30" s="101" t="n">
        <v>8.94842857142857</v>
      </c>
      <c r="K30" s="101" t="n">
        <v>133.7767857142857</v>
      </c>
      <c r="L30" s="101" t="n">
        <v>8.91282142857143</v>
      </c>
      <c r="M30" s="107" t="n">
        <v>0.07552020833333331</v>
      </c>
      <c r="N30" s="101" t="n">
        <v>131.5428571428571</v>
      </c>
      <c r="O30" s="101" t="n">
        <v>9.499910714285713</v>
      </c>
      <c r="P30" s="101" t="n">
        <v>165.8214285714285</v>
      </c>
      <c r="Q30" s="101" t="n">
        <v>9.478803571428571</v>
      </c>
      <c r="R30" s="95" t="n">
        <v>601.9387097024148</v>
      </c>
      <c r="S30" s="95" t="n">
        <v>557.4313027569299</v>
      </c>
      <c r="T30" s="95">
        <f>(R30-S30)*H30</f>
        <v/>
      </c>
      <c r="U30" s="96">
        <f>J30-L30</f>
        <v/>
      </c>
      <c r="V30" s="95" t="n">
        <v>551.2268717111347</v>
      </c>
      <c r="W30" s="95" t="n">
        <v>593.8373469485654</v>
      </c>
      <c r="X30" s="95">
        <f>(W30-V30)*M30</f>
        <v/>
      </c>
      <c r="Y30" s="96">
        <f>O30-Q30</f>
        <v/>
      </c>
      <c r="Z30" s="17">
        <f>(X30-T30)/T30</f>
        <v/>
      </c>
      <c r="AA30" s="95">
        <f>(I30+K30)/2</f>
        <v/>
      </c>
      <c r="AB30" s="95">
        <f>(J30+L30)/2</f>
        <v/>
      </c>
      <c r="AC30" s="60" t="n">
        <v>2.2815972665228e-05</v>
      </c>
      <c r="AD30" s="97" t="n">
        <v>1.209244636139381</v>
      </c>
      <c r="AE30" s="98" t="n">
        <v>0.03190507752592305</v>
      </c>
      <c r="AF30" s="95" t="n">
        <v>126.8351503840182</v>
      </c>
      <c r="AG30" s="95">
        <f>(N30+P30)/2</f>
        <v/>
      </c>
      <c r="AH30" s="95">
        <f>(O30+Q30)/2</f>
        <v/>
      </c>
      <c r="AI30" s="60" t="n">
        <v>2.29054986666713e-05</v>
      </c>
      <c r="AJ30" s="99" t="n">
        <v>1.237109076151334</v>
      </c>
      <c r="AK30" s="100" t="n">
        <v>0.03218196766600815</v>
      </c>
      <c r="AL30" s="101" t="n">
        <v>137.802014219342</v>
      </c>
      <c r="AM30" s="102">
        <f>(H30*E30)/(AC30*F30)</f>
        <v/>
      </c>
      <c r="AN30" s="95">
        <f>AC30*AD30*1000/AE30</f>
        <v/>
      </c>
      <c r="AO30" s="95">
        <f>AV30*E30/AE30</f>
        <v/>
      </c>
      <c r="AP30" s="95">
        <f>(2*U30*1000000*AF30*F30*F30*E30)/(H30*H30*D30)</f>
        <v/>
      </c>
      <c r="AQ30" s="102">
        <f>(M30*E30)/(AI30*F30)</f>
        <v/>
      </c>
      <c r="AR30" s="95">
        <f>AI30*AJ30*1000/AK30</f>
        <v/>
      </c>
      <c r="AS30" s="95">
        <f>AW30*E30/AK30</f>
        <v/>
      </c>
      <c r="AT30" s="95">
        <f>(2*Y30*1000000*AL30*F30*F30*E30)/(M30*M30*D30)</f>
        <v/>
      </c>
      <c r="AU30" s="95">
        <f>(AA30+AG30)/2</f>
        <v/>
      </c>
      <c r="AV30" s="95">
        <f>T30*1000/(G30*(AA30-AU30))</f>
        <v/>
      </c>
      <c r="AW30" s="95">
        <f>X30*1000/(G30*(AU30-AG30))</f>
        <v/>
      </c>
    </row>
    <row r="31" ht="15.6" customHeight="1">
      <c r="C31" s="13" t="n">
        <v>27</v>
      </c>
      <c r="D31" s="60">
        <f>182/1000</f>
        <v/>
      </c>
      <c r="E31" s="60" t="n">
        <v>0.00257</v>
      </c>
      <c r="F31" s="60" t="n">
        <v>0.00059364</v>
      </c>
      <c r="G31" s="60" t="n">
        <v>0.16346304</v>
      </c>
      <c r="H31" s="107" t="n">
        <v>0.09883597505668935</v>
      </c>
      <c r="I31" s="101" t="n">
        <v>176.2816326530613</v>
      </c>
      <c r="J31" s="101" t="n">
        <v>8.719612244897961</v>
      </c>
      <c r="K31" s="101" t="n">
        <v>136.0346938775509</v>
      </c>
      <c r="L31" s="101" t="n">
        <v>8.654530612244898</v>
      </c>
      <c r="M31" s="107" t="n">
        <v>0.1012397108843537</v>
      </c>
      <c r="N31" s="101" t="n">
        <v>131.2551020408163</v>
      </c>
      <c r="O31" s="101" t="n">
        <v>9.274367346938776</v>
      </c>
      <c r="P31" s="101" t="n">
        <v>169.6632653061224</v>
      </c>
      <c r="Q31" s="101" t="n">
        <v>9.233734693877553</v>
      </c>
      <c r="R31" s="95" t="n">
        <v>609.5324654319846</v>
      </c>
      <c r="S31" s="95" t="n">
        <v>561.6846393419165</v>
      </c>
      <c r="T31" s="95">
        <f>(R31-S31)*H31</f>
        <v/>
      </c>
      <c r="U31" s="96">
        <f>J31-L31</f>
        <v/>
      </c>
      <c r="V31" s="95" t="n">
        <v>552.1689626021981</v>
      </c>
      <c r="W31" s="95" t="n">
        <v>599.5232133448601</v>
      </c>
      <c r="X31" s="95">
        <f>(W31-V31)*M31</f>
        <v/>
      </c>
      <c r="Y31" s="96">
        <f>O31-Q31</f>
        <v/>
      </c>
      <c r="Z31" s="17">
        <f>(X31-T31)/T31</f>
        <v/>
      </c>
      <c r="AA31" s="95">
        <f>(I31+K31)/2</f>
        <v/>
      </c>
      <c r="AB31" s="95">
        <f>(J31+L31)/2</f>
        <v/>
      </c>
      <c r="AC31" s="60" t="n">
        <v>2.286992588660942e-05</v>
      </c>
      <c r="AD31" s="97" t="n">
        <v>1.194114625743078</v>
      </c>
      <c r="AE31" s="98" t="n">
        <v>0.03193344057543972</v>
      </c>
      <c r="AF31" s="95" t="n">
        <v>121.1416593122237</v>
      </c>
      <c r="AG31" s="95">
        <f>(N31+P31)/2</f>
        <v/>
      </c>
      <c r="AH31" s="95">
        <f>(O31+Q31)/2</f>
        <v/>
      </c>
      <c r="AI31" s="60" t="n">
        <v>2.287457108658382e-05</v>
      </c>
      <c r="AJ31" s="99" t="n">
        <v>1.224376410221656</v>
      </c>
      <c r="AK31" s="100" t="n">
        <v>0.03207313849360924</v>
      </c>
      <c r="AL31" s="101" t="n">
        <v>132.9629810479594</v>
      </c>
      <c r="AM31" s="102">
        <f>(H31*E31)/(AC31*F31)</f>
        <v/>
      </c>
      <c r="AN31" s="95">
        <f>AC31*AD31*1000/AE31</f>
        <v/>
      </c>
      <c r="AO31" s="95">
        <f>AV31*E31/AE31</f>
        <v/>
      </c>
      <c r="AP31" s="95">
        <f>(2*U31*1000000*AF31*F31*F31*E31)/(H31*H31*D31)</f>
        <v/>
      </c>
      <c r="AQ31" s="102">
        <f>(M31*E31)/(AI31*F31)</f>
        <v/>
      </c>
      <c r="AR31" s="95">
        <f>AI31*AJ31*1000/AK31</f>
        <v/>
      </c>
      <c r="AS31" s="95">
        <f>AW31*E31/AK31</f>
        <v/>
      </c>
      <c r="AT31" s="95">
        <f>(2*Y31*1000000*AL31*F31*F31*E31)/(M31*M31*D31)</f>
        <v/>
      </c>
      <c r="AU31" s="95">
        <f>(AA31+AG31)/2</f>
        <v/>
      </c>
      <c r="AV31" s="95">
        <f>T31*1000/(G31*(AA31-AU31))</f>
        <v/>
      </c>
      <c r="AW31" s="95">
        <f>X31*1000/(G31*(AU31-AG31))</f>
        <v/>
      </c>
    </row>
    <row r="32" ht="15.6" customHeight="1">
      <c r="C32" s="13" t="n">
        <v>28</v>
      </c>
      <c r="D32" s="60">
        <f>182/1000</f>
        <v/>
      </c>
      <c r="E32" s="60" t="n">
        <v>0.00257</v>
      </c>
      <c r="F32" s="60" t="n">
        <v>0.00059364</v>
      </c>
      <c r="G32" s="60" t="n">
        <v>0.16346304</v>
      </c>
      <c r="H32" s="107" t="n">
        <v>0.1236185130718955</v>
      </c>
      <c r="I32" s="101" t="n">
        <v>169.5705882352941</v>
      </c>
      <c r="J32" s="101" t="n">
        <v>8.815352941176471</v>
      </c>
      <c r="K32" s="101" t="n">
        <v>135.9372549019608</v>
      </c>
      <c r="L32" s="101" t="n">
        <v>8.716137254901961</v>
      </c>
      <c r="M32" s="107" t="n">
        <v>0.1249054302832245</v>
      </c>
      <c r="N32" s="101" t="n">
        <v>129.9274509803922</v>
      </c>
      <c r="O32" s="101" t="n">
        <v>8.949352941176469</v>
      </c>
      <c r="P32" s="101" t="n">
        <v>164.4686274509803</v>
      </c>
      <c r="Q32" s="101" t="n">
        <v>8.890019607843142</v>
      </c>
      <c r="R32" s="95" t="n">
        <v>601.2415164715991</v>
      </c>
      <c r="S32" s="95" t="n">
        <v>561.2224459602983</v>
      </c>
      <c r="T32" s="95">
        <f>(R32-S32)*H32</f>
        <v/>
      </c>
      <c r="U32" s="96">
        <f>J32-L32</f>
        <v/>
      </c>
      <c r="V32" s="95" t="n">
        <v>552.3767426160774</v>
      </c>
      <c r="W32" s="95" t="n">
        <v>594.870193728511</v>
      </c>
      <c r="X32" s="95">
        <f>(W32-V32)*M32</f>
        <v/>
      </c>
      <c r="Y32" s="96">
        <f>O32-Q32</f>
        <v/>
      </c>
      <c r="Z32" s="17">
        <f>(X32-T32)/T32</f>
        <v/>
      </c>
      <c r="AA32" s="95">
        <f>(I32+K32)/2</f>
        <v/>
      </c>
      <c r="AB32" s="95">
        <f>(J32+L32)/2</f>
        <v/>
      </c>
      <c r="AC32" s="60" t="n">
        <v>2.277630816811181e-05</v>
      </c>
      <c r="AD32" s="97" t="n">
        <v>1.202482183752393</v>
      </c>
      <c r="AE32" s="98" t="n">
        <v>0.03180604239471978</v>
      </c>
      <c r="AF32" s="95" t="n">
        <v>123.9381347683417</v>
      </c>
      <c r="AG32" s="95">
        <f>(N32+P32)/2</f>
        <v/>
      </c>
      <c r="AH32" s="95">
        <f>(O32+Q32)/2</f>
        <v/>
      </c>
      <c r="AI32" s="60" t="n">
        <v>2.263814698534362e-05</v>
      </c>
      <c r="AJ32" s="99" t="n">
        <v>1.218755081654064</v>
      </c>
      <c r="AK32" s="100" t="n">
        <v>0.03163697144395718</v>
      </c>
      <c r="AL32" s="101" t="n">
        <v>129.1487908062866</v>
      </c>
      <c r="AM32" s="102">
        <f>(H32*E32)/(AC32*F32)</f>
        <v/>
      </c>
      <c r="AN32" s="95">
        <f>AC32*AD32*1000/AE32</f>
        <v/>
      </c>
      <c r="AO32" s="95">
        <f>AV32*E32/AE32</f>
        <v/>
      </c>
      <c r="AP32" s="95">
        <f>(2*U32*1000000*AF32*F32*F32*E32)/(H32*H32*D32)</f>
        <v/>
      </c>
      <c r="AQ32" s="102">
        <f>(M32*E32)/(AI32*F32)</f>
        <v/>
      </c>
      <c r="AR32" s="95">
        <f>AI32*AJ32*1000/AK32</f>
        <v/>
      </c>
      <c r="AS32" s="95">
        <f>AW32*E32/AK32</f>
        <v/>
      </c>
      <c r="AT32" s="95">
        <f>(2*Y32*1000000*AL32*F32*F32*E32)/(M32*M32*D32)</f>
        <v/>
      </c>
      <c r="AU32" s="95">
        <f>(AA32+AG32)/2</f>
        <v/>
      </c>
      <c r="AV32" s="95">
        <f>T32*1000/(G32*(AA32-AU32))</f>
        <v/>
      </c>
      <c r="AW32" s="95">
        <f>X32*1000/(G32*(AU32-AG32))</f>
        <v/>
      </c>
    </row>
    <row r="33" ht="15.6" customHeight="1">
      <c r="C33" s="13" t="n">
        <v>29</v>
      </c>
      <c r="D33" s="60">
        <f>182/1000</f>
        <v/>
      </c>
      <c r="E33" s="60" t="n">
        <v>0.00257</v>
      </c>
      <c r="F33" s="60" t="n">
        <v>0.00059364</v>
      </c>
      <c r="G33" s="60" t="n">
        <v>0.16346304</v>
      </c>
      <c r="H33" s="107" t="n">
        <v>0.1492123587570621</v>
      </c>
      <c r="I33" s="101" t="n">
        <v>172.7491525423729</v>
      </c>
      <c r="J33" s="101" t="n">
        <v>9.300322033898308</v>
      </c>
      <c r="K33" s="101" t="n">
        <v>138.1423728813559</v>
      </c>
      <c r="L33" s="101" t="n">
        <v>9.164949152542372</v>
      </c>
      <c r="M33" s="107" t="n">
        <v>0.1508454425612053</v>
      </c>
      <c r="N33" s="101" t="n">
        <v>130.6322033898305</v>
      </c>
      <c r="O33" s="101" t="n">
        <v>9.404084745762711</v>
      </c>
      <c r="P33" s="101" t="n">
        <v>167.0610169491526</v>
      </c>
      <c r="Q33" s="101" t="n">
        <v>9.320508474576277</v>
      </c>
      <c r="R33" s="95" t="n">
        <v>602.9078945713569</v>
      </c>
      <c r="S33" s="95" t="n">
        <v>561.4884853873376</v>
      </c>
      <c r="T33" s="95">
        <f>(R33-S33)*H33</f>
        <v/>
      </c>
      <c r="U33" s="96">
        <f>J33-L33</f>
        <v/>
      </c>
      <c r="V33" s="95" t="n">
        <v>550.6142591863704</v>
      </c>
      <c r="W33" s="95" t="n">
        <v>596.0327470603736</v>
      </c>
      <c r="X33" s="95">
        <f>(W33-V33)*M33</f>
        <v/>
      </c>
      <c r="Y33" s="96">
        <f>O33-Q33</f>
        <v/>
      </c>
      <c r="Z33" s="17">
        <f>(X33-T33)/T33</f>
        <v/>
      </c>
      <c r="AA33" s="95">
        <f>(I33+K33)/2</f>
        <v/>
      </c>
      <c r="AB33" s="95">
        <f>(J33+L33)/2</f>
        <v/>
      </c>
      <c r="AC33" s="60" t="n">
        <v>2.303643011325662e-05</v>
      </c>
      <c r="AD33" s="97" t="n">
        <v>1.213738505172319</v>
      </c>
      <c r="AE33" s="98" t="n">
        <v>0.03230938028733998</v>
      </c>
      <c r="AF33" s="95" t="n">
        <v>130.0856216597668</v>
      </c>
      <c r="AG33" s="95">
        <f>(N33+P33)/2</f>
        <v/>
      </c>
      <c r="AH33" s="95">
        <f>(O33+Q33)/2</f>
        <v/>
      </c>
      <c r="AI33" s="60" t="n">
        <v>2.286165828267245e-05</v>
      </c>
      <c r="AJ33" s="99" t="n">
        <v>1.231917156699281</v>
      </c>
      <c r="AK33" s="100" t="n">
        <v>0.03208344033431016</v>
      </c>
      <c r="AL33" s="101" t="n">
        <v>135.6027747130453</v>
      </c>
      <c r="AM33" s="102">
        <f>(H33*E33)/(AC33*F33)</f>
        <v/>
      </c>
      <c r="AN33" s="95">
        <f>AC33*AD33*1000/AE33</f>
        <v/>
      </c>
      <c r="AO33" s="95">
        <f>AV33*E33/AE33</f>
        <v/>
      </c>
      <c r="AP33" s="95">
        <f>(2*U33*1000000*AF33*F33*F33*E33)/(H33*H33*D33)</f>
        <v/>
      </c>
      <c r="AQ33" s="102">
        <f>(M33*E33)/(AI33*F33)</f>
        <v/>
      </c>
      <c r="AR33" s="95">
        <f>AI33*AJ33*1000/AK33</f>
        <v/>
      </c>
      <c r="AS33" s="95">
        <f>AW33*E33/AK33</f>
        <v/>
      </c>
      <c r="AT33" s="95">
        <f>(2*Y33*1000000*AL33*F33*F33*E33)/(M33*M33*D33)</f>
        <v/>
      </c>
      <c r="AU33" s="95">
        <f>(AA33+AG33)/2</f>
        <v/>
      </c>
      <c r="AV33" s="95">
        <f>T33*1000/(G33*(AA33-AU33))</f>
        <v/>
      </c>
      <c r="AW33" s="95">
        <f>X33*1000/(G33*(AU33-AG33))</f>
        <v/>
      </c>
    </row>
    <row r="34" ht="15.6" customHeight="1">
      <c r="C34" s="13" t="n">
        <v>30</v>
      </c>
      <c r="D34" s="60">
        <f>182/1000</f>
        <v/>
      </c>
      <c r="E34" s="60" t="n">
        <v>0.00257</v>
      </c>
      <c r="F34" s="60" t="n">
        <v>0.00059364</v>
      </c>
      <c r="G34" s="60" t="n">
        <v>0.16346304</v>
      </c>
      <c r="H34" s="107" t="n">
        <v>0.1716949897119341</v>
      </c>
      <c r="I34" s="101" t="n">
        <v>168.5901234567901</v>
      </c>
      <c r="J34" s="101" t="n">
        <v>9.57040740740741</v>
      </c>
      <c r="K34" s="101" t="n">
        <v>139.6358024691359</v>
      </c>
      <c r="L34" s="101" t="n">
        <v>9.402246913580246</v>
      </c>
      <c r="M34" s="107" t="n">
        <v>0.1718268106995884</v>
      </c>
      <c r="N34" s="101" t="n">
        <v>134.053086419753</v>
      </c>
      <c r="O34" s="101" t="n">
        <v>9.497740740740742</v>
      </c>
      <c r="P34" s="101" t="n">
        <v>165.4592592592593</v>
      </c>
      <c r="Q34" s="101" t="n">
        <v>9.390456790123455</v>
      </c>
      <c r="R34" s="95" t="n">
        <v>596.7616318706605</v>
      </c>
      <c r="S34" s="95" t="n">
        <v>562.0659419962806</v>
      </c>
      <c r="T34" s="95">
        <f>(R34-S34)*H34</f>
        <v/>
      </c>
      <c r="U34" s="96">
        <f>J34-L34</f>
        <v/>
      </c>
      <c r="V34" s="95" t="n">
        <v>554.4595632271029</v>
      </c>
      <c r="W34" s="95" t="n">
        <v>593.7984347839217</v>
      </c>
      <c r="X34" s="95">
        <f>(W34-V34)*M34</f>
        <v/>
      </c>
      <c r="Y34" s="96">
        <f>O34-Q34</f>
        <v/>
      </c>
      <c r="Z34" s="17">
        <f>(X34-T34)/T34</f>
        <v/>
      </c>
      <c r="AA34" s="95">
        <f>(I34+K34)/2</f>
        <v/>
      </c>
      <c r="AB34" s="95">
        <f>(J34+L34)/2</f>
        <v/>
      </c>
      <c r="AC34" s="60" t="n">
        <v>2.308457075692516e-05</v>
      </c>
      <c r="AD34" s="97" t="n">
        <v>1.225151708319129</v>
      </c>
      <c r="AE34" s="98" t="n">
        <v>0.03244167701471475</v>
      </c>
      <c r="AF34" s="95" t="n">
        <v>134.8282259283486</v>
      </c>
      <c r="AG34" s="95">
        <f>(N34+P34)/2</f>
        <v/>
      </c>
      <c r="AH34" s="95">
        <f>(O34+Q34)/2</f>
        <v/>
      </c>
      <c r="AI34" s="60" t="n">
        <v>2.292340068963728e-05</v>
      </c>
      <c r="AJ34" s="99" t="n">
        <v>1.232947857170599</v>
      </c>
      <c r="AK34" s="100" t="n">
        <v>0.03219504163227723</v>
      </c>
      <c r="AL34" s="101" t="n">
        <v>136.4619044199012</v>
      </c>
      <c r="AM34" s="102">
        <f>(H34*E34)/(AC34*F34)</f>
        <v/>
      </c>
      <c r="AN34" s="95">
        <f>AC34*AD34*1000/AE34</f>
        <v/>
      </c>
      <c r="AO34" s="95">
        <f>AV34*E34/AE34</f>
        <v/>
      </c>
      <c r="AP34" s="95">
        <f>(2*U34*1000000*AF34*F34*F34*E34)/(H34*H34*D34)</f>
        <v/>
      </c>
      <c r="AQ34" s="102">
        <f>(M34*E34)/(AI34*F34)</f>
        <v/>
      </c>
      <c r="AR34" s="95">
        <f>AI34*AJ34*1000/AK34</f>
        <v/>
      </c>
      <c r="AS34" s="95">
        <f>AW34*E34/AK34</f>
        <v/>
      </c>
      <c r="AT34" s="95">
        <f>(2*Y34*1000000*AL34*F34*F34*E34)/(M34*M34*D34)</f>
        <v/>
      </c>
      <c r="AU34" s="95">
        <f>(AA34+AG34)/2</f>
        <v/>
      </c>
      <c r="AV34" s="95">
        <f>T34*1000/(G34*(AA34-AU34))</f>
        <v/>
      </c>
      <c r="AW34" s="95">
        <f>X34*1000/(G34*(AU34-AG34))</f>
        <v/>
      </c>
    </row>
    <row r="35" ht="15.6" customHeight="1">
      <c r="C35" s="13" t="n">
        <v>31</v>
      </c>
      <c r="D35" s="60">
        <f>182/1000</f>
        <v/>
      </c>
      <c r="E35" s="60" t="n">
        <v>0.00257</v>
      </c>
      <c r="F35" s="60" t="n">
        <v>0.00059364</v>
      </c>
      <c r="G35" s="60" t="n">
        <v>0.16346304</v>
      </c>
      <c r="H35" s="107" t="n">
        <v>0.04855517676767677</v>
      </c>
      <c r="I35" s="101" t="n">
        <v>192.419696969697</v>
      </c>
      <c r="J35" s="101" t="n">
        <v>8.564439393939399</v>
      </c>
      <c r="K35" s="101" t="n">
        <v>136.7272727272727</v>
      </c>
      <c r="L35" s="101" t="n">
        <v>8.544787878787881</v>
      </c>
      <c r="M35" s="107" t="n">
        <v>0.05055712962962962</v>
      </c>
      <c r="N35" s="101" t="n">
        <v>130.0939393939394</v>
      </c>
      <c r="O35" s="101" t="n">
        <v>9.043318181818178</v>
      </c>
      <c r="P35" s="101" t="n">
        <v>180.0121212121213</v>
      </c>
      <c r="Q35" s="101" t="n">
        <v>9.037530303030303</v>
      </c>
      <c r="R35" s="95" t="n">
        <v>628.8835984128783</v>
      </c>
      <c r="S35" s="95" t="n">
        <v>563.1432683859291</v>
      </c>
      <c r="T35" s="95">
        <f>(R35-S35)*H35</f>
        <v/>
      </c>
      <c r="U35" s="96">
        <f>J35-L35</f>
        <v/>
      </c>
      <c r="V35" s="95" t="n">
        <v>552.0378776562762</v>
      </c>
      <c r="W35" s="95" t="n">
        <v>612.5883912848381</v>
      </c>
      <c r="X35" s="95">
        <f>(W35-V35)*M35</f>
        <v/>
      </c>
      <c r="Y35" s="96">
        <f>O35-Q35</f>
        <v/>
      </c>
      <c r="Z35" s="17">
        <f>(X35-T35)/T35</f>
        <v/>
      </c>
      <c r="AA35" s="95">
        <f>(I35+K35)/2</f>
        <v/>
      </c>
      <c r="AB35" s="95">
        <f>(J35+L35)/2</f>
        <v/>
      </c>
      <c r="AC35" s="60" t="n">
        <v>2.312964481813397e-05</v>
      </c>
      <c r="AD35" s="97" t="n">
        <v>1.178067872810813</v>
      </c>
      <c r="AE35" s="98" t="n">
        <v>0.03232149827032341</v>
      </c>
      <c r="AF35" s="95" t="n">
        <v>115.5564435564959</v>
      </c>
      <c r="AG35" s="95">
        <f>(N35+P35)/2</f>
        <v/>
      </c>
      <c r="AH35" s="95">
        <f>(O35+Q35)/2</f>
        <v/>
      </c>
      <c r="AI35" s="60" t="n">
        <v>2.295397368590908e-05</v>
      </c>
      <c r="AJ35" s="99" t="n">
        <v>1.207879015049081</v>
      </c>
      <c r="AK35" s="100" t="n">
        <v>0.03214029121055007</v>
      </c>
      <c r="AL35" s="101" t="n">
        <v>127.2211857543496</v>
      </c>
      <c r="AM35" s="102">
        <f>(H35*E35)/(AC35*F35)</f>
        <v/>
      </c>
      <c r="AN35" s="95">
        <f>AC35*AD35*1000/AE35</f>
        <v/>
      </c>
      <c r="AO35" s="95">
        <f>AV35*E35/AE35</f>
        <v/>
      </c>
      <c r="AP35" s="95">
        <f>(2*U35*1000000*AF35*F35*F35*E35)/(H35*H35*D35)</f>
        <v/>
      </c>
      <c r="AQ35" s="102">
        <f>(M35*E35)/(AI35*F35)</f>
        <v/>
      </c>
      <c r="AR35" s="95">
        <f>AI35*AJ35*1000/AK35</f>
        <v/>
      </c>
      <c r="AS35" s="95">
        <f>AW35*E35/AK35</f>
        <v/>
      </c>
      <c r="AT35" s="95">
        <f>(2*Y35*1000000*AL35*F35*F35*E35)/(M35*M35*D35)</f>
        <v/>
      </c>
      <c r="AU35" s="95">
        <f>(AA35+AG35)/2</f>
        <v/>
      </c>
      <c r="AV35" s="95">
        <f>T35*1000/(G35*(AA35-AU35))</f>
        <v/>
      </c>
      <c r="AW35" s="95">
        <f>X35*1000/(G35*(AU35-AG35))</f>
        <v/>
      </c>
    </row>
    <row r="36" ht="15.6" customHeight="1">
      <c r="C36" s="13" t="n">
        <v>32</v>
      </c>
      <c r="D36" s="60">
        <f>182/1000</f>
        <v/>
      </c>
      <c r="E36" s="60" t="n">
        <v>0.00257</v>
      </c>
      <c r="F36" s="60" t="n">
        <v>0.00059364</v>
      </c>
      <c r="G36" s="60" t="n">
        <v>0.16346304</v>
      </c>
      <c r="H36" s="107" t="n">
        <v>0.07456108695652174</v>
      </c>
      <c r="I36" s="101" t="n">
        <v>200.9</v>
      </c>
      <c r="J36" s="101" t="n">
        <v>9.074565217391303</v>
      </c>
      <c r="K36" s="101" t="n">
        <v>141.9014492753623</v>
      </c>
      <c r="L36" s="101" t="n">
        <v>9.037304347826089</v>
      </c>
      <c r="M36" s="107" t="n">
        <v>0.07553809983896941</v>
      </c>
      <c r="N36" s="101" t="n">
        <v>130.8376811594203</v>
      </c>
      <c r="O36" s="101" t="n">
        <v>9.565579710144926</v>
      </c>
      <c r="P36" s="101" t="n">
        <v>187.895652173913</v>
      </c>
      <c r="Q36" s="101" t="n">
        <v>9.547826086956519</v>
      </c>
      <c r="R36" s="95" t="n">
        <v>636.7936228742618</v>
      </c>
      <c r="S36" s="95" t="n">
        <v>566.8499464199637</v>
      </c>
      <c r="T36" s="95">
        <f>(R36-S36)*H36</f>
        <v/>
      </c>
      <c r="U36" s="96">
        <f>J36-L36</f>
        <v/>
      </c>
      <c r="V36" s="95" t="n">
        <v>549.933954093784</v>
      </c>
      <c r="W36" s="95" t="n">
        <v>619.8248940579056</v>
      </c>
      <c r="X36" s="95">
        <f>(W36-V36)*M36</f>
        <v/>
      </c>
      <c r="Y36" s="96">
        <f>O36-Q36</f>
        <v/>
      </c>
      <c r="Z36" s="17">
        <f>(X36-T36)/T36</f>
        <v/>
      </c>
      <c r="AA36" s="95">
        <f>(I36+K36)/2</f>
        <v/>
      </c>
      <c r="AB36" s="95">
        <f>(J36+L36)/2</f>
        <v/>
      </c>
      <c r="AC36" s="60" t="n">
        <v>2.353505202932321e-05</v>
      </c>
      <c r="AD36" s="97" t="n">
        <v>1.184042730185178</v>
      </c>
      <c r="AE36" s="98" t="n">
        <v>0.03305999960947334</v>
      </c>
      <c r="AF36" s="95" t="n">
        <v>120.2070168051693</v>
      </c>
      <c r="AG36" s="95">
        <f>(N36+P36)/2</f>
        <v/>
      </c>
      <c r="AH36" s="95">
        <f>(O36+Q36)/2</f>
        <v/>
      </c>
      <c r="AI36" s="60" t="n">
        <v>2.328702980375382e-05</v>
      </c>
      <c r="AJ36" s="99" t="n">
        <v>1.217370826803421</v>
      </c>
      <c r="AK36" s="100" t="n">
        <v>0.03276157682237394</v>
      </c>
      <c r="AL36" s="101" t="n">
        <v>133.2612294036652</v>
      </c>
      <c r="AM36" s="102">
        <f>(H36*E36)/(AC36*F36)</f>
        <v/>
      </c>
      <c r="AN36" s="95">
        <f>AC36*AD36*1000/AE36</f>
        <v/>
      </c>
      <c r="AO36" s="95">
        <f>AV36*E36/AE36</f>
        <v/>
      </c>
      <c r="AP36" s="95">
        <f>(2*U36*1000000*AF36*F36*F36*E36)/(H36*H36*D36)</f>
        <v/>
      </c>
      <c r="AQ36" s="102">
        <f>(M36*E36)/(AI36*F36)</f>
        <v/>
      </c>
      <c r="AR36" s="95">
        <f>AI36*AJ36*1000/AK36</f>
        <v/>
      </c>
      <c r="AS36" s="95">
        <f>AW36*E36/AK36</f>
        <v/>
      </c>
      <c r="AT36" s="95">
        <f>(2*Y36*1000000*AL36*F36*F36*E36)/(M36*M36*D36)</f>
        <v/>
      </c>
      <c r="AU36" s="95">
        <f>(AA36+AG36)/2</f>
        <v/>
      </c>
      <c r="AV36" s="95">
        <f>T36*1000/(G36*(AA36-AU36))</f>
        <v/>
      </c>
      <c r="AW36" s="95">
        <f>X36*1000/(G36*(AU36-AG36))</f>
        <v/>
      </c>
    </row>
    <row r="37" ht="15.6" customHeight="1">
      <c r="C37" s="13" t="n">
        <v>33</v>
      </c>
      <c r="D37" s="60">
        <f>182/1000</f>
        <v/>
      </c>
      <c r="E37" s="60" t="n">
        <v>0.00257</v>
      </c>
      <c r="F37" s="60" t="n">
        <v>0.00059364</v>
      </c>
      <c r="G37" s="60" t="n">
        <v>0.16346304</v>
      </c>
      <c r="H37" s="107" t="n">
        <v>0.09960358828006084</v>
      </c>
      <c r="I37" s="101" t="n">
        <v>209.4123287671233</v>
      </c>
      <c r="J37" s="101" t="n">
        <v>9.677123287671236</v>
      </c>
      <c r="K37" s="101" t="n">
        <v>145.8534246575343</v>
      </c>
      <c r="L37" s="101" t="n">
        <v>9.61439726027397</v>
      </c>
      <c r="M37" s="107" t="n">
        <v>0.1018048249619483</v>
      </c>
      <c r="N37" s="101" t="n">
        <v>130.1630136986302</v>
      </c>
      <c r="O37" s="101" t="n">
        <v>9.881671232876714</v>
      </c>
      <c r="P37" s="101" t="n">
        <v>193.9794520547945</v>
      </c>
      <c r="Q37" s="101" t="n">
        <v>9.851164383561644</v>
      </c>
      <c r="R37" s="95" t="n">
        <v>644.5576246888709</v>
      </c>
      <c r="S37" s="95" t="n">
        <v>568.7300066983978</v>
      </c>
      <c r="T37" s="95">
        <f>(R37-S37)*H37</f>
        <v/>
      </c>
      <c r="U37" s="96">
        <f>J37-L37</f>
        <v/>
      </c>
      <c r="V37" s="95" t="n">
        <v>547.1959094397082</v>
      </c>
      <c r="W37" s="95" t="n">
        <v>625.839487186965</v>
      </c>
      <c r="X37" s="95">
        <f>(W37-V37)*M37</f>
        <v/>
      </c>
      <c r="Y37" s="96">
        <f>O37-Q37</f>
        <v/>
      </c>
      <c r="Z37" s="17">
        <f>(X37-T37)/T37</f>
        <v/>
      </c>
      <c r="AA37" s="95">
        <f>(I37+K37)/2</f>
        <v/>
      </c>
      <c r="AB37" s="95">
        <f>(J37+L37)/2</f>
        <v/>
      </c>
      <c r="AC37" s="60" t="n">
        <v>2.394335576556884e-05</v>
      </c>
      <c r="AD37" s="97" t="n">
        <v>1.192372094419352</v>
      </c>
      <c r="AE37" s="98" t="n">
        <v>0.0338038822369618</v>
      </c>
      <c r="AF37" s="95" t="n">
        <v>126.1647837751208</v>
      </c>
      <c r="AG37" s="95">
        <f>(N37+P37)/2</f>
        <v/>
      </c>
      <c r="AH37" s="95">
        <f>(O37+Q37)/2</f>
        <v/>
      </c>
      <c r="AI37" s="60" t="n">
        <v>2.349018662842049e-05</v>
      </c>
      <c r="AJ37" s="99" t="n">
        <v>1.222445710149267</v>
      </c>
      <c r="AK37" s="100" t="n">
        <v>0.03313574431143851</v>
      </c>
      <c r="AL37" s="101" t="n">
        <v>136.7402222732697</v>
      </c>
      <c r="AM37" s="102">
        <f>(H37*E37)/(AC37*F37)</f>
        <v/>
      </c>
      <c r="AN37" s="95">
        <f>AC37*AD37*1000/AE37</f>
        <v/>
      </c>
      <c r="AO37" s="95">
        <f>AV37*E37/AE37</f>
        <v/>
      </c>
      <c r="AP37" s="95">
        <f>(2*U37*1000000*AF37*F37*F37*E37)/(H37*H37*D37)</f>
        <v/>
      </c>
      <c r="AQ37" s="102">
        <f>(M37*E37)/(AI37*F37)</f>
        <v/>
      </c>
      <c r="AR37" s="95">
        <f>AI37*AJ37*1000/AK37</f>
        <v/>
      </c>
      <c r="AS37" s="95">
        <f>AW37*E37/AK37</f>
        <v/>
      </c>
      <c r="AT37" s="95">
        <f>(2*Y37*1000000*AL37*F37*F37*E37)/(M37*M37*D37)</f>
        <v/>
      </c>
      <c r="AU37" s="95">
        <f>(AA37+AG37)/2</f>
        <v/>
      </c>
      <c r="AV37" s="95">
        <f>T37*1000/(G37*(AA37-AU37))</f>
        <v/>
      </c>
      <c r="AW37" s="95">
        <f>X37*1000/(G37*(AU37-AG37))</f>
        <v/>
      </c>
    </row>
    <row r="38" ht="15.6" customHeight="1">
      <c r="C38" s="13" t="n">
        <v>34</v>
      </c>
      <c r="D38" s="60">
        <f>182/1000</f>
        <v/>
      </c>
      <c r="E38" s="60" t="n">
        <v>0.00257</v>
      </c>
      <c r="F38" s="60" t="n">
        <v>0.00059364</v>
      </c>
      <c r="G38" s="60" t="n">
        <v>0.16346304</v>
      </c>
      <c r="H38" s="107" t="n">
        <v>0.1293984982638889</v>
      </c>
      <c r="I38" s="101" t="n">
        <v>221.1375</v>
      </c>
      <c r="J38" s="101" t="n">
        <v>9.274999999999997</v>
      </c>
      <c r="K38" s="101" t="n">
        <v>147.3765624999999</v>
      </c>
      <c r="L38" s="101" t="n">
        <v>9.162593750000001</v>
      </c>
      <c r="M38" s="107" t="n">
        <v>0.1315078255208334</v>
      </c>
      <c r="N38" s="101" t="n">
        <v>124.4140625</v>
      </c>
      <c r="O38" s="101" t="n">
        <v>9.885968750000002</v>
      </c>
      <c r="P38" s="101" t="n">
        <v>200.646875</v>
      </c>
      <c r="Q38" s="101" t="n">
        <v>9.827031250000001</v>
      </c>
      <c r="R38" s="95" t="n">
        <v>659.4866614321336</v>
      </c>
      <c r="S38" s="95" t="n">
        <v>572.9395329530926</v>
      </c>
      <c r="T38" s="95">
        <f>(R38-S38)*H38</f>
        <v/>
      </c>
      <c r="U38" s="96">
        <f>J38-L38</f>
        <v/>
      </c>
      <c r="V38" s="95" t="n">
        <v>539.5553895251986</v>
      </c>
      <c r="W38" s="95" t="n">
        <v>633.776521337202</v>
      </c>
      <c r="X38" s="95">
        <f>(W38-V38)*M38</f>
        <v/>
      </c>
      <c r="Y38" s="96">
        <f>O38-Q38</f>
        <v/>
      </c>
      <c r="Z38" s="17">
        <f>(X38-T38)/T38</f>
        <v/>
      </c>
      <c r="AA38" s="95">
        <f>(I38+K38)/2</f>
        <v/>
      </c>
      <c r="AB38" s="95">
        <f>(J38+L38)/2</f>
        <v/>
      </c>
      <c r="AC38" s="60" t="n">
        <v>2.404421747245319e-05</v>
      </c>
      <c r="AD38" s="97" t="n">
        <v>1.17442381627528</v>
      </c>
      <c r="AE38" s="98" t="n">
        <v>0.03388988929754323</v>
      </c>
      <c r="AF38" s="95" t="n">
        <v>117.4709326652727</v>
      </c>
      <c r="AG38" s="95">
        <f>(N38+P38)/2</f>
        <v/>
      </c>
      <c r="AH38" s="95">
        <f>(O38+Q38)/2</f>
        <v/>
      </c>
      <c r="AI38" s="60" t="n">
        <v>2.350180396794161e-05</v>
      </c>
      <c r="AJ38" s="99" t="n">
        <v>1.221283314334219</v>
      </c>
      <c r="AK38" s="100" t="n">
        <v>0.03315126510241266</v>
      </c>
      <c r="AL38" s="101" t="n">
        <v>136.3512772952852</v>
      </c>
      <c r="AM38" s="102">
        <f>(H38*E38)/(AC38*F38)</f>
        <v/>
      </c>
      <c r="AN38" s="95">
        <f>AC38*AD38*1000/AE38</f>
        <v/>
      </c>
      <c r="AO38" s="95">
        <f>AV38*E38/AE38</f>
        <v/>
      </c>
      <c r="AP38" s="95">
        <f>(2*U38*1000000*AF38*F38*F38*E38)/(H38*H38*D38)</f>
        <v/>
      </c>
      <c r="AQ38" s="102">
        <f>(M38*E38)/(AI38*F38)</f>
        <v/>
      </c>
      <c r="AR38" s="95">
        <f>AI38*AJ38*1000/AK38</f>
        <v/>
      </c>
      <c r="AS38" s="95">
        <f>AW38*E38/AK38</f>
        <v/>
      </c>
      <c r="AT38" s="95">
        <f>(2*Y38*1000000*AL38*F38*F38*E38)/(M38*M38*D38)</f>
        <v/>
      </c>
      <c r="AU38" s="95">
        <f>(AA38+AG38)/2</f>
        <v/>
      </c>
      <c r="AV38" s="95">
        <f>T38*1000/(G38*(AA38-AU38))</f>
        <v/>
      </c>
      <c r="AW38" s="95">
        <f>X38*1000/(G38*(AU38-AG38))</f>
        <v/>
      </c>
    </row>
    <row r="39" ht="15.6" customHeight="1">
      <c r="C39" s="13" t="n">
        <v>35</v>
      </c>
      <c r="D39" s="60">
        <f>182/1000</f>
        <v/>
      </c>
      <c r="E39" s="60" t="n">
        <v>0.00257</v>
      </c>
      <c r="F39" s="60" t="n">
        <v>0.00059364</v>
      </c>
      <c r="G39" s="60" t="n">
        <v>0.16346304</v>
      </c>
      <c r="H39" s="107" t="n">
        <v>0.1493766725768322</v>
      </c>
      <c r="I39" s="101" t="n">
        <v>214.8936170212766</v>
      </c>
      <c r="J39" s="101" t="n">
        <v>9.680765957446807</v>
      </c>
      <c r="K39" s="101" t="n">
        <v>145.2446808510639</v>
      </c>
      <c r="L39" s="101" t="n">
        <v>9.539744680851069</v>
      </c>
      <c r="M39" s="107" t="n">
        <v>0.1515265366430261</v>
      </c>
      <c r="N39" s="101" t="n">
        <v>122.2510638297872</v>
      </c>
      <c r="O39" s="101" t="n">
        <v>9.869021276595745</v>
      </c>
      <c r="P39" s="101" t="n">
        <v>194.8468085106383</v>
      </c>
      <c r="Q39" s="101" t="n">
        <v>9.794893617021275</v>
      </c>
      <c r="R39" s="95" t="n">
        <v>650.9246475272271</v>
      </c>
      <c r="S39" s="95" t="n">
        <v>568.3577889954781</v>
      </c>
      <c r="T39" s="95">
        <f>(R39-S39)*H39</f>
        <v/>
      </c>
      <c r="U39" s="96">
        <f>J39-L39</f>
        <v/>
      </c>
      <c r="V39" s="95" t="n">
        <v>536.7585049711382</v>
      </c>
      <c r="W39" s="95" t="n">
        <v>627.0731796537397</v>
      </c>
      <c r="X39" s="95">
        <f>(W39-V39)*M39</f>
        <v/>
      </c>
      <c r="Y39" s="96">
        <f>O39-Q39</f>
        <v/>
      </c>
      <c r="Z39" s="17">
        <f>(X39-T39)/T39</f>
        <v/>
      </c>
      <c r="AA39" s="95">
        <f>(I39+K39)/2</f>
        <v/>
      </c>
      <c r="AB39" s="95">
        <f>(J39+L39)/2</f>
        <v/>
      </c>
      <c r="AC39" s="60" t="n">
        <v>2.401676893089235e-05</v>
      </c>
      <c r="AD39" s="97" t="n">
        <v>1.188546982547129</v>
      </c>
      <c r="AE39" s="98" t="n">
        <v>0.0339131772384289</v>
      </c>
      <c r="AF39" s="95" t="n">
        <v>124.6312753402567</v>
      </c>
      <c r="AG39" s="95">
        <f>(N39+P39)/2</f>
        <v/>
      </c>
      <c r="AH39" s="95">
        <f>(O39+Q39)/2</f>
        <v/>
      </c>
      <c r="AI39" s="60" t="n">
        <v>2.336111376853786e-05</v>
      </c>
      <c r="AJ39" s="99" t="n">
        <v>1.2280859888695</v>
      </c>
      <c r="AK39" s="100" t="n">
        <v>0.03293441996206069</v>
      </c>
      <c r="AL39" s="101" t="n">
        <v>138.0296598029169</v>
      </c>
      <c r="AM39" s="102">
        <f>(H39*E39)/(AC39*F39)</f>
        <v/>
      </c>
      <c r="AN39" s="95">
        <f>AC39*AD39*1000/AE39</f>
        <v/>
      </c>
      <c r="AO39" s="95">
        <f>AV39*E39/AE39</f>
        <v/>
      </c>
      <c r="AP39" s="95">
        <f>(2*U39*1000000*AF39*F39*F39*E39)/(H39*H39*D39)</f>
        <v/>
      </c>
      <c r="AQ39" s="102">
        <f>(M39*E39)/(AI39*F39)</f>
        <v/>
      </c>
      <c r="AR39" s="95">
        <f>AI39*AJ39*1000/AK39</f>
        <v/>
      </c>
      <c r="AS39" s="95">
        <f>AW39*E39/AK39</f>
        <v/>
      </c>
      <c r="AT39" s="95">
        <f>(2*Y39*1000000*AL39*F39*F39*E39)/(M39*M39*D39)</f>
        <v/>
      </c>
      <c r="AU39" s="95">
        <f>(AA39+AG39)/2</f>
        <v/>
      </c>
      <c r="AV39" s="95">
        <f>T39*1000/(G39*(AA39-AU39))</f>
        <v/>
      </c>
      <c r="AW39" s="95">
        <f>X39*1000/(G39*(AU39-AG39))</f>
        <v/>
      </c>
    </row>
    <row r="40" ht="15.6" customHeight="1">
      <c r="C40" s="13" t="n">
        <v>36</v>
      </c>
      <c r="D40" s="60">
        <f>182/1000</f>
        <v/>
      </c>
      <c r="E40" s="60" t="n">
        <v>0.00257</v>
      </c>
      <c r="F40" s="60" t="n">
        <v>0.00059364</v>
      </c>
      <c r="G40" s="60" t="n">
        <v>0.16346304</v>
      </c>
      <c r="H40" s="107" t="n">
        <v>0.1766349547803618</v>
      </c>
      <c r="I40" s="101" t="n">
        <v>165.8151162790697</v>
      </c>
      <c r="J40" s="101" t="n">
        <v>9.442523255813954</v>
      </c>
      <c r="K40" s="101" t="n">
        <v>134.2313953488372</v>
      </c>
      <c r="L40" s="101" t="n">
        <v>9.265034883720931</v>
      </c>
      <c r="M40" s="107" t="n">
        <v>0.1780539050387598</v>
      </c>
      <c r="N40" s="101" t="n">
        <v>126.0825581395349</v>
      </c>
      <c r="O40" s="101" t="n">
        <v>10.07459302325582</v>
      </c>
      <c r="P40" s="101" t="n">
        <v>159.953488372093</v>
      </c>
      <c r="Q40" s="101" t="n">
        <v>9.980395348837211</v>
      </c>
      <c r="R40" s="95" t="n">
        <v>593.9924998896469</v>
      </c>
      <c r="S40" s="95" t="n">
        <v>556.0080761321801</v>
      </c>
      <c r="T40" s="95">
        <f>(R40-S40)*H40</f>
        <v/>
      </c>
      <c r="U40" s="96">
        <f>J40-L40</f>
        <v/>
      </c>
      <c r="V40" s="95" t="n">
        <v>540.6225973391901</v>
      </c>
      <c r="W40" s="95" t="n">
        <v>584.3999061877173</v>
      </c>
      <c r="X40" s="95">
        <f>(W40-V40)*M40</f>
        <v/>
      </c>
      <c r="Y40" s="96">
        <f>O40-Q40</f>
        <v/>
      </c>
      <c r="Z40" s="17">
        <f>(X40-T40)/T40</f>
        <v/>
      </c>
      <c r="AA40" s="95">
        <f>(I40+K40)/2</f>
        <v/>
      </c>
      <c r="AB40" s="95">
        <f>(J40+L40)/2</f>
        <v/>
      </c>
      <c r="AC40" s="60" t="n">
        <v>2.289767070610529e-05</v>
      </c>
      <c r="AD40" s="97" t="n">
        <v>1.228992536027381</v>
      </c>
      <c r="AE40" s="98" t="n">
        <v>0.03213328741072394</v>
      </c>
      <c r="AF40" s="95" t="n">
        <v>134.8294111081849</v>
      </c>
      <c r="AG40" s="95">
        <f>(N40+P40)/2</f>
        <v/>
      </c>
      <c r="AH40" s="95">
        <f>(O40+Q40)/2</f>
        <v/>
      </c>
      <c r="AI40" s="60" t="n">
        <v>2.294805264726082e-05</v>
      </c>
      <c r="AJ40" s="99" t="n">
        <v>1.273790361731011</v>
      </c>
      <c r="AK40" s="100" t="n">
        <v>0.0324137286181918</v>
      </c>
      <c r="AL40" s="101" t="n">
        <v>150.3782673766015</v>
      </c>
      <c r="AM40" s="102">
        <f>(H40*E40)/(AC40*F40)</f>
        <v/>
      </c>
      <c r="AN40" s="95">
        <f>AC40*AD40*1000/AE40</f>
        <v/>
      </c>
      <c r="AO40" s="95">
        <f>AV40*E40/AE40</f>
        <v/>
      </c>
      <c r="AP40" s="95">
        <f>(2*U40*1000000*AF40*F40*F40*E40)/(H40*H40*D40)</f>
        <v/>
      </c>
      <c r="AQ40" s="102">
        <f>(M40*E40)/(AI40*F40)</f>
        <v/>
      </c>
      <c r="AR40" s="95">
        <f>AI40*AJ40*1000/AK40</f>
        <v/>
      </c>
      <c r="AS40" s="95">
        <f>AW40*E40/AK40</f>
        <v/>
      </c>
      <c r="AT40" s="95">
        <f>(2*Y40*1000000*AL40*F40*F40*E40)/(M40*M40*D40)</f>
        <v/>
      </c>
      <c r="AU40" s="95">
        <f>(AA40+AG40)/2</f>
        <v/>
      </c>
      <c r="AV40" s="95">
        <f>T40*1000/(G40*(AA40-AU40))</f>
        <v/>
      </c>
      <c r="AW40" s="95">
        <f>X40*1000/(G40*(AU40-AG40))</f>
        <v/>
      </c>
    </row>
    <row r="41" ht="15.6" customHeight="1">
      <c r="C41" s="13" t="n">
        <v>37</v>
      </c>
      <c r="D41" s="60">
        <f>182/1000</f>
        <v/>
      </c>
      <c r="E41" s="60" t="n">
        <v>0.00257</v>
      </c>
      <c r="F41" s="60" t="n">
        <v>0.00059364</v>
      </c>
      <c r="G41" s="60" t="n">
        <v>0.16346304</v>
      </c>
      <c r="H41" s="107" t="n">
        <v>0.04859173611111111</v>
      </c>
      <c r="I41" s="101" t="n">
        <v>220.7375</v>
      </c>
      <c r="J41" s="101" t="n">
        <v>8.425104166666669</v>
      </c>
      <c r="K41" s="101" t="n">
        <v>145.6291666666667</v>
      </c>
      <c r="L41" s="101" t="n">
        <v>8.405479166666668</v>
      </c>
      <c r="M41" s="107" t="n">
        <v>0.05091256944444442</v>
      </c>
      <c r="N41" s="101" t="n">
        <v>134.8291666666666</v>
      </c>
      <c r="O41" s="101" t="n">
        <v>9.185770833333331</v>
      </c>
      <c r="P41" s="101" t="n">
        <v>203.96875</v>
      </c>
      <c r="Q41" s="101" t="n">
        <v>9.175270833333332</v>
      </c>
      <c r="R41" s="95" t="n">
        <v>661.7902149673077</v>
      </c>
      <c r="S41" s="95" t="n">
        <v>574.6945021504453</v>
      </c>
      <c r="T41" s="95">
        <f>(R41-S41)*H41</f>
        <v/>
      </c>
      <c r="U41" s="96">
        <f>J41-L41</f>
        <v/>
      </c>
      <c r="V41" s="95" t="n">
        <v>557.2116118559007</v>
      </c>
      <c r="W41" s="95" t="n">
        <v>639.9880375504434</v>
      </c>
      <c r="X41" s="95">
        <f>(W41-V41)*M41</f>
        <v/>
      </c>
      <c r="Y41" s="96">
        <f>O41-Q41</f>
        <v/>
      </c>
      <c r="Z41" s="17">
        <f>(X41-T41)/T41</f>
        <v/>
      </c>
      <c r="AA41" s="95">
        <f>(I41+K41)/2</f>
        <v/>
      </c>
      <c r="AB41" s="95">
        <f>(J41+L41)/2</f>
        <v/>
      </c>
      <c r="AC41" s="60" t="n">
        <v>2.37716631223222e-05</v>
      </c>
      <c r="AD41" s="97" t="n">
        <v>1.155986120839267</v>
      </c>
      <c r="AE41" s="98" t="n">
        <v>0.03334121562339944</v>
      </c>
      <c r="AF41" s="95" t="n">
        <v>106.745855990183</v>
      </c>
      <c r="AG41" s="95">
        <f>(N41+P41)/2</f>
        <v/>
      </c>
      <c r="AH41" s="95">
        <f>(O41+Q41)/2</f>
        <v/>
      </c>
      <c r="AI41" s="60" t="n">
        <v>2.350430834601662e-05</v>
      </c>
      <c r="AJ41" s="99" t="n">
        <v>1.190108012809342</v>
      </c>
      <c r="AK41" s="100" t="n">
        <v>0.033030493969933</v>
      </c>
      <c r="AL41" s="101" t="n">
        <v>122.8818034119825</v>
      </c>
      <c r="AM41" s="102">
        <f>(H41*E41)/(AC41*F41)</f>
        <v/>
      </c>
      <c r="AN41" s="95">
        <f>AC41*AD41*1000/AE41</f>
        <v/>
      </c>
      <c r="AO41" s="95">
        <f>AV41*E41/AE41</f>
        <v/>
      </c>
      <c r="AP41" s="95">
        <f>(2*U41*1000000*AF41*F41*F41*E41)/(H41*H41*D41)</f>
        <v/>
      </c>
      <c r="AQ41" s="102">
        <f>(M41*E41)/(AI41*F41)</f>
        <v/>
      </c>
      <c r="AR41" s="95">
        <f>AI41*AJ41*1000/AK41</f>
        <v/>
      </c>
      <c r="AS41" s="95">
        <f>AW41*E41/AK41</f>
        <v/>
      </c>
      <c r="AT41" s="95">
        <f>(2*Y41*1000000*AL41*F41*F41*E41)/(M41*M41*D41)</f>
        <v/>
      </c>
      <c r="AU41" s="95">
        <f>(AA41+AG41)/2</f>
        <v/>
      </c>
      <c r="AV41" s="95">
        <f>T41*1000/(G41*(AA41-AU41))</f>
        <v/>
      </c>
      <c r="AW41" s="95">
        <f>X41*1000/(G41*(AU41-AG41))</f>
        <v/>
      </c>
    </row>
    <row r="42" ht="15.6" customHeight="1">
      <c r="C42" s="13" t="n">
        <v>38</v>
      </c>
      <c r="D42" s="60">
        <f>182/1000</f>
        <v/>
      </c>
      <c r="E42" s="60" t="n">
        <v>0.00257</v>
      </c>
      <c r="F42" s="60" t="n">
        <v>0.00059364</v>
      </c>
      <c r="G42" s="60" t="n">
        <v>0.16346304</v>
      </c>
      <c r="H42" s="107" t="n">
        <v>0.07454945454545456</v>
      </c>
      <c r="I42" s="101" t="n">
        <v>228.9090909090909</v>
      </c>
      <c r="J42" s="101" t="n">
        <v>8.920981818181819</v>
      </c>
      <c r="K42" s="101" t="n">
        <v>151.2636363636363</v>
      </c>
      <c r="L42" s="101" t="n">
        <v>8.880036363636364</v>
      </c>
      <c r="M42" s="107" t="n">
        <v>0.07593170707070709</v>
      </c>
      <c r="N42" s="101" t="n">
        <v>135.5890909090909</v>
      </c>
      <c r="O42" s="101" t="n">
        <v>9.734799999999998</v>
      </c>
      <c r="P42" s="101" t="n">
        <v>211.3454545454544</v>
      </c>
      <c r="Q42" s="101" t="n">
        <v>9.713018181818184</v>
      </c>
      <c r="R42" s="95" t="n">
        <v>669.5367975394234</v>
      </c>
      <c r="S42" s="95" t="n">
        <v>579.0954114017647</v>
      </c>
      <c r="T42" s="95">
        <f>(R42-S42)*H42</f>
        <v/>
      </c>
      <c r="U42" s="96">
        <f>J42-L42</f>
        <v/>
      </c>
      <c r="V42" s="95" t="n">
        <v>555.0859036952666</v>
      </c>
      <c r="W42" s="95" t="n">
        <v>646.6869886129634</v>
      </c>
      <c r="X42" s="95">
        <f>(W42-V42)*M42</f>
        <v/>
      </c>
      <c r="Y42" s="96">
        <f>O42-Q42</f>
        <v/>
      </c>
      <c r="Z42" s="17">
        <f>(X42-T42)/T42</f>
        <v/>
      </c>
      <c r="AA42" s="95">
        <f>(I42+K42)/2</f>
        <v/>
      </c>
      <c r="AB42" s="95">
        <f>(J42+L42)/2</f>
        <v/>
      </c>
      <c r="AC42" s="60" t="n">
        <v>2.416203572902427e-05</v>
      </c>
      <c r="AD42" s="97" t="n">
        <v>1.162074928288521</v>
      </c>
      <c r="AE42" s="98" t="n">
        <v>0.03408260447475562</v>
      </c>
      <c r="AF42" s="95" t="n">
        <v>111.0213049741722</v>
      </c>
      <c r="AG42" s="95">
        <f>(N42+P42)/2</f>
        <v/>
      </c>
      <c r="AH42" s="95">
        <f>(O42+Q42)/2</f>
        <v/>
      </c>
      <c r="AI42" s="60" t="n">
        <v>2.382522469176589e-05</v>
      </c>
      <c r="AJ42" s="99" t="n">
        <v>1.199914815579568</v>
      </c>
      <c r="AK42" s="100" t="n">
        <v>0.03362942081421229</v>
      </c>
      <c r="AL42" s="101" t="n">
        <v>129.1233754376406</v>
      </c>
      <c r="AM42" s="102">
        <f>(H42*E42)/(AC42*F42)</f>
        <v/>
      </c>
      <c r="AN42" s="95">
        <f>AC42*AD42*1000/AE42</f>
        <v/>
      </c>
      <c r="AO42" s="95">
        <f>AV42*E42/AE42</f>
        <v/>
      </c>
      <c r="AP42" s="95">
        <f>(2*U42*1000000*AF42*F42*F42*E42)/(H42*H42*D42)</f>
        <v/>
      </c>
      <c r="AQ42" s="102">
        <f>(M42*E42)/(AI42*F42)</f>
        <v/>
      </c>
      <c r="AR42" s="95">
        <f>AI42*AJ42*1000/AK42</f>
        <v/>
      </c>
      <c r="AS42" s="95">
        <f>AW42*E42/AK42</f>
        <v/>
      </c>
      <c r="AT42" s="95">
        <f>(2*Y42*1000000*AL42*F42*F42*E42)/(M42*M42*D42)</f>
        <v/>
      </c>
      <c r="AU42" s="95">
        <f>(AA42+AG42)/2</f>
        <v/>
      </c>
      <c r="AV42" s="95">
        <f>T42*1000/(G42*(AA42-AU42))</f>
        <v/>
      </c>
      <c r="AW42" s="95">
        <f>X42*1000/(G42*(AU42-AG42))</f>
        <v/>
      </c>
    </row>
    <row r="43" ht="15.6" customHeight="1">
      <c r="C43" s="13" t="n">
        <v>39</v>
      </c>
      <c r="D43" s="60">
        <f>182/1000</f>
        <v/>
      </c>
      <c r="E43" s="60" t="n">
        <v>0.00257</v>
      </c>
      <c r="F43" s="60" t="n">
        <v>0.00059364</v>
      </c>
      <c r="G43" s="60" t="n">
        <v>0.16346304</v>
      </c>
      <c r="H43" s="107" t="n">
        <v>0.09908756038647344</v>
      </c>
      <c r="I43" s="101" t="n">
        <v>226.0565217391304</v>
      </c>
      <c r="J43" s="101" t="n">
        <v>9.324282608695652</v>
      </c>
      <c r="K43" s="101" t="n">
        <v>150.5065217391304</v>
      </c>
      <c r="L43" s="101" t="n">
        <v>9.25654347826087</v>
      </c>
      <c r="M43" s="107" t="n">
        <v>0.1018618780193237</v>
      </c>
      <c r="N43" s="101" t="n">
        <v>131.0891304347826</v>
      </c>
      <c r="O43" s="101" t="n">
        <v>9.227369565217387</v>
      </c>
      <c r="P43" s="101" t="n">
        <v>207.9065217391303</v>
      </c>
      <c r="Q43" s="101" t="n">
        <v>9.18413043478261</v>
      </c>
      <c r="R43" s="95" t="n">
        <v>664.9964268149988</v>
      </c>
      <c r="S43" s="95" t="n">
        <v>576.3025491944605</v>
      </c>
      <c r="T43" s="95">
        <f>(R43-S43)*H43</f>
        <v/>
      </c>
      <c r="U43" s="96">
        <f>J43-L43</f>
        <v/>
      </c>
      <c r="V43" s="95" t="n">
        <v>552.2304030521924</v>
      </c>
      <c r="W43" s="95" t="n">
        <v>644.5159029389871</v>
      </c>
      <c r="X43" s="95">
        <f>(W43-V43)*M43</f>
        <v/>
      </c>
      <c r="Y43" s="96">
        <f>O43-Q43</f>
        <v/>
      </c>
      <c r="Z43" s="17">
        <f>(X43-T43)/T43</f>
        <v/>
      </c>
      <c r="AA43" s="95">
        <f>(I43+K43)/2</f>
        <v/>
      </c>
      <c r="AB43" s="95">
        <f>(J43+L43)/2</f>
        <v/>
      </c>
      <c r="AC43" s="60" t="n">
        <v>2.420930703114095e-05</v>
      </c>
      <c r="AD43" s="97" t="n">
        <v>1.172464333157153</v>
      </c>
      <c r="AE43" s="98" t="n">
        <v>0.0341925331780402</v>
      </c>
      <c r="AF43" s="95" t="n">
        <v>116.9567303004491</v>
      </c>
      <c r="AG43" s="95">
        <f>(N43+P43)/2</f>
        <v/>
      </c>
      <c r="AH43" s="95">
        <f>(O43+Q43)/2</f>
        <v/>
      </c>
      <c r="AI43" s="60" t="n">
        <v>2.351603977142788e-05</v>
      </c>
      <c r="AJ43" s="99" t="n">
        <v>1.190699089124685</v>
      </c>
      <c r="AK43" s="100" t="n">
        <v>0.03305343758409287</v>
      </c>
      <c r="AL43" s="101" t="n">
        <v>123.2135995560986</v>
      </c>
      <c r="AM43" s="102">
        <f>(H43*E43)/(AC43*F43)</f>
        <v/>
      </c>
      <c r="AN43" s="95">
        <f>AC43*AD43*1000/AE43</f>
        <v/>
      </c>
      <c r="AO43" s="95">
        <f>AV43*E43/AE43</f>
        <v/>
      </c>
      <c r="AP43" s="95">
        <f>(2*U43*1000000*AF43*F43*F43*E43)/(H43*H43*D43)</f>
        <v/>
      </c>
      <c r="AQ43" s="102">
        <f>(M43*E43)/(AI43*F43)</f>
        <v/>
      </c>
      <c r="AR43" s="95">
        <f>AI43*AJ43*1000/AK43</f>
        <v/>
      </c>
      <c r="AS43" s="95">
        <f>AW43*E43/AK43</f>
        <v/>
      </c>
      <c r="AT43" s="95">
        <f>(2*Y43*1000000*AL43*F43*F43*E43)/(M43*M43*D43)</f>
        <v/>
      </c>
      <c r="AU43" s="95">
        <f>(AA43+AG43)/2</f>
        <v/>
      </c>
      <c r="AV43" s="95">
        <f>T43*1000/(G43*(AA43-AU43))</f>
        <v/>
      </c>
      <c r="AW43" s="95">
        <f>X43*1000/(G43*(AU43-AG43))</f>
        <v/>
      </c>
    </row>
    <row r="44" ht="15.6" customHeight="1">
      <c r="C44" s="13" t="n">
        <v>40</v>
      </c>
      <c r="D44" s="60">
        <f>182/1000</f>
        <v/>
      </c>
      <c r="E44" s="60" t="n">
        <v>0.00257</v>
      </c>
      <c r="F44" s="60" t="n">
        <v>0.00059364</v>
      </c>
      <c r="G44" s="60" t="n">
        <v>0.16346304</v>
      </c>
      <c r="H44" s="107" t="n">
        <v>0.1238773353909465</v>
      </c>
      <c r="I44" s="101" t="n">
        <v>230.6055555555556</v>
      </c>
      <c r="J44" s="101" t="n">
        <v>9.078555555555555</v>
      </c>
      <c r="K44" s="101" t="n">
        <v>153.0185185185185</v>
      </c>
      <c r="L44" s="101" t="n">
        <v>8.969370370370374</v>
      </c>
      <c r="M44" s="107" t="n">
        <v>0.1253820936213992</v>
      </c>
      <c r="N44" s="101" t="n">
        <v>128.9092592592592</v>
      </c>
      <c r="O44" s="101" t="n">
        <v>8.713129629629631</v>
      </c>
      <c r="P44" s="101" t="n">
        <v>211.2925925925925</v>
      </c>
      <c r="Q44" s="101" t="n">
        <v>8.642055555555554</v>
      </c>
      <c r="R44" s="95" t="n">
        <v>670.9909754584233</v>
      </c>
      <c r="S44" s="95" t="n">
        <v>580.7777214835114</v>
      </c>
      <c r="T44" s="95">
        <f>(R44-S44)*H44</f>
        <v/>
      </c>
      <c r="U44" s="96">
        <f>J44-L44</f>
        <v/>
      </c>
      <c r="V44" s="95" t="n">
        <v>552.4786958876649</v>
      </c>
      <c r="W44" s="95" t="n">
        <v>650.2832557464146</v>
      </c>
      <c r="X44" s="95">
        <f>(W44-V44)*M44</f>
        <v/>
      </c>
      <c r="Y44" s="96">
        <f>O44-Q44</f>
        <v/>
      </c>
      <c r="Z44" s="17">
        <f>(X44-T44)/T44</f>
        <v/>
      </c>
      <c r="AA44" s="95">
        <f>(I44+K44)/2</f>
        <v/>
      </c>
      <c r="AB44" s="95">
        <f>(J44+L44)/2</f>
        <v/>
      </c>
      <c r="AC44" s="60" t="n">
        <v>2.425957078134429e-05</v>
      </c>
      <c r="AD44" s="97" t="n">
        <v>1.163557299930606</v>
      </c>
      <c r="AE44" s="98" t="n">
        <v>0.03426798601173885</v>
      </c>
      <c r="AF44" s="95" t="n">
        <v>112.0901418321562</v>
      </c>
      <c r="AG44" s="95">
        <f>(N44+P44)/2</f>
        <v/>
      </c>
      <c r="AH44" s="95">
        <f>(O44+Q44)/2</f>
        <v/>
      </c>
      <c r="AI44" s="60" t="n">
        <v>2.336915833509579e-05</v>
      </c>
      <c r="AJ44" s="99" t="n">
        <v>1.175022165654155</v>
      </c>
      <c r="AK44" s="100" t="n">
        <v>0.03273138350740411</v>
      </c>
      <c r="AL44" s="101" t="n">
        <v>115.1883622151985</v>
      </c>
      <c r="AM44" s="102">
        <f>(H44*E44)/(AC44*F44)</f>
        <v/>
      </c>
      <c r="AN44" s="95">
        <f>AC44*AD44*1000/AE44</f>
        <v/>
      </c>
      <c r="AO44" s="95">
        <f>AV44*E44/AE44</f>
        <v/>
      </c>
      <c r="AP44" s="95">
        <f>(2*U44*1000000*AF44*F44*F44*E44)/(H44*H44*D44)</f>
        <v/>
      </c>
      <c r="AQ44" s="102">
        <f>(M44*E44)/(AI44*F44)</f>
        <v/>
      </c>
      <c r="AR44" s="95">
        <f>AI44*AJ44*1000/AK44</f>
        <v/>
      </c>
      <c r="AS44" s="95">
        <f>AW44*E44/AK44</f>
        <v/>
      </c>
      <c r="AT44" s="95">
        <f>(2*Y44*1000000*AL44*F44*F44*E44)/(M44*M44*D44)</f>
        <v/>
      </c>
      <c r="AU44" s="95">
        <f>(AA44+AG44)/2</f>
        <v/>
      </c>
      <c r="AV44" s="95">
        <f>T44*1000/(G44*(AA44-AU44))</f>
        <v/>
      </c>
      <c r="AW44" s="95">
        <f>X44*1000/(G44*(AU44-AG44))</f>
        <v/>
      </c>
    </row>
    <row r="45" ht="15.6" customHeight="1">
      <c r="C45" s="13" t="n">
        <v>41</v>
      </c>
      <c r="D45" s="60">
        <f>182/1000</f>
        <v/>
      </c>
      <c r="E45" s="60" t="n">
        <v>0.00257</v>
      </c>
      <c r="F45" s="60" t="n">
        <v>0.00059364</v>
      </c>
      <c r="G45" s="60" t="n">
        <v>0.16346304</v>
      </c>
      <c r="H45" s="107" t="n">
        <v>0.1492219141414142</v>
      </c>
      <c r="I45" s="101" t="n">
        <v>213.8218181818182</v>
      </c>
      <c r="J45" s="101" t="n">
        <v>9.491709090909088</v>
      </c>
      <c r="K45" s="101" t="n">
        <v>152.8945454545454</v>
      </c>
      <c r="L45" s="101" t="n">
        <v>9.344836363636366</v>
      </c>
      <c r="M45" s="107" t="n">
        <v>0.1520257828282829</v>
      </c>
      <c r="N45" s="101" t="n">
        <v>133.9290909090909</v>
      </c>
      <c r="O45" s="101" t="n">
        <v>9.013672727272729</v>
      </c>
      <c r="P45" s="101" t="n">
        <v>199.7672727272727</v>
      </c>
      <c r="Q45" s="101" t="n">
        <v>8.919709090909093</v>
      </c>
      <c r="R45" s="95" t="n">
        <v>650.3144044444401</v>
      </c>
      <c r="S45" s="95" t="n">
        <v>578.7872987935599</v>
      </c>
      <c r="T45" s="95">
        <f>(R45-S45)*H45</f>
        <v/>
      </c>
      <c r="U45" s="96">
        <f>J45-L45</f>
        <v/>
      </c>
      <c r="V45" s="95" t="n">
        <v>557.0509938223112</v>
      </c>
      <c r="W45" s="95" t="n">
        <v>636.0449078052144</v>
      </c>
      <c r="X45" s="95">
        <f>(W45-V45)*M45</f>
        <v/>
      </c>
      <c r="Y45" s="96">
        <f>O45-Q45</f>
        <v/>
      </c>
      <c r="Z45" s="17">
        <f>(X45-T45)/T45</f>
        <v/>
      </c>
      <c r="AA45" s="95">
        <f>(I45+K45)/2</f>
        <v/>
      </c>
      <c r="AB45" s="95">
        <f>(J45+L45)/2</f>
        <v/>
      </c>
      <c r="AC45" s="60" t="n">
        <v>2.40725806837102e-05</v>
      </c>
      <c r="AD45" s="97" t="n">
        <v>1.180167736021745</v>
      </c>
      <c r="AE45" s="98" t="n">
        <v>0.03395421481579685</v>
      </c>
      <c r="AF45" s="95" t="n">
        <v>120.5961264367411</v>
      </c>
      <c r="AG45" s="95">
        <f>(N45+P45)/2</f>
        <v/>
      </c>
      <c r="AH45" s="95">
        <f>(O45+Q45)/2</f>
        <v/>
      </c>
      <c r="AI45" s="60" t="n">
        <v>2.334417106141989e-05</v>
      </c>
      <c r="AJ45" s="99" t="n">
        <v>1.187295043642771</v>
      </c>
      <c r="AK45" s="100" t="n">
        <v>0.03273789342135988</v>
      </c>
      <c r="AL45" s="101" t="n">
        <v>120.7820841357904</v>
      </c>
      <c r="AM45" s="102">
        <f>(H45*E45)/(AC45*F45)</f>
        <v/>
      </c>
      <c r="AN45" s="95">
        <f>AC45*AD45*1000/AE45</f>
        <v/>
      </c>
      <c r="AO45" s="95">
        <f>AV45*E45/AE45</f>
        <v/>
      </c>
      <c r="AP45" s="95">
        <f>(2*U45*1000000*AF45*F45*F45*E45)/(H45*H45*D45)</f>
        <v/>
      </c>
      <c r="AQ45" s="102">
        <f>(M45*E45)/(AI45*F45)</f>
        <v/>
      </c>
      <c r="AR45" s="95">
        <f>AI45*AJ45*1000/AK45</f>
        <v/>
      </c>
      <c r="AS45" s="95">
        <f>AW45*E45/AK45</f>
        <v/>
      </c>
      <c r="AT45" s="95">
        <f>(2*Y45*1000000*AL45*F45*F45*E45)/(M45*M45*D45)</f>
        <v/>
      </c>
      <c r="AU45" s="95">
        <f>(AA45+AG45)/2</f>
        <v/>
      </c>
      <c r="AV45" s="95">
        <f>T45*1000/(G45*(AA45-AU45))</f>
        <v/>
      </c>
      <c r="AW45" s="95">
        <f>X45*1000/(G45*(AU45-AG45))</f>
        <v/>
      </c>
    </row>
    <row r="46" ht="15.6" customHeight="1">
      <c r="C46" s="13" t="n">
        <v>42</v>
      </c>
      <c r="D46" s="60">
        <f>182/1000</f>
        <v/>
      </c>
      <c r="E46" s="60" t="n">
        <v>0.00257</v>
      </c>
      <c r="F46" s="60" t="n">
        <v>0.00059364</v>
      </c>
      <c r="G46" s="60" t="n">
        <v>0.16346304</v>
      </c>
      <c r="H46" s="107" t="n">
        <v>0.04848033591731266</v>
      </c>
      <c r="I46" s="101" t="n">
        <v>196.8093023255814</v>
      </c>
      <c r="J46" s="101" t="n">
        <v>8.366348837209301</v>
      </c>
      <c r="K46" s="101" t="n">
        <v>157.4069767441861</v>
      </c>
      <c r="L46" s="101" t="n">
        <v>8.349674418604652</v>
      </c>
      <c r="M46" s="107" t="n">
        <v>0.05067033591731265</v>
      </c>
      <c r="N46" s="101" t="n">
        <v>160.5395348837209</v>
      </c>
      <c r="O46" s="101" t="n">
        <v>9.087116279069766</v>
      </c>
      <c r="P46" s="101" t="n">
        <v>192.9372093023256</v>
      </c>
      <c r="Q46" s="101" t="n">
        <v>9.086511627906978</v>
      </c>
      <c r="R46" s="95" t="n">
        <v>634.6731719317348</v>
      </c>
      <c r="S46" s="95" t="n">
        <v>589.0004803180327</v>
      </c>
      <c r="T46" s="95">
        <f>(R46-S46)*H46</f>
        <v/>
      </c>
      <c r="U46" s="96">
        <f>J46-L46</f>
        <v/>
      </c>
      <c r="V46" s="95" t="n">
        <v>589.2756937513999</v>
      </c>
      <c r="W46" s="95" t="n">
        <v>627.5027033916914</v>
      </c>
      <c r="X46" s="95">
        <f>(W46-V46)*M46</f>
        <v/>
      </c>
      <c r="Y46" s="96">
        <f>O46-Q46</f>
        <v/>
      </c>
      <c r="Z46" s="17">
        <f>(X46-T46)/T46</f>
        <v/>
      </c>
      <c r="AA46" s="95">
        <f>(I46+K46)/2</f>
        <v/>
      </c>
      <c r="AB46" s="95">
        <f>(J46+L46)/2</f>
        <v/>
      </c>
      <c r="AC46" s="60" t="n">
        <v>2.353027240835054e-05</v>
      </c>
      <c r="AD46" s="97" t="n">
        <v>1.159504820706597</v>
      </c>
      <c r="AE46" s="98" t="n">
        <v>0.03295125552726667</v>
      </c>
      <c r="AF46" s="95" t="n">
        <v>108.0187500247105</v>
      </c>
      <c r="AG46" s="95">
        <f>(N46+P46)/2</f>
        <v/>
      </c>
      <c r="AH46" s="95">
        <f>(O46+Q46)/2</f>
        <v/>
      </c>
      <c r="AI46" s="60" t="n">
        <v>2.373523835116594e-05</v>
      </c>
      <c r="AJ46" s="99" t="n">
        <v>1.178720946347928</v>
      </c>
      <c r="AK46" s="100" t="n">
        <v>0.03338884187520306</v>
      </c>
      <c r="AL46" s="101" t="n">
        <v>118.5074797481718</v>
      </c>
      <c r="AM46" s="102">
        <f>(H46*E46)/(AC46*F46)</f>
        <v/>
      </c>
      <c r="AN46" s="95">
        <f>AC46*AD46*1000/AE46</f>
        <v/>
      </c>
      <c r="AO46" s="95">
        <f>AV46*E46/AE46</f>
        <v/>
      </c>
      <c r="AP46" s="95">
        <f>(2*U46*1000000*AF46*F46*F46*E46)/(H46*H46*D46)</f>
        <v/>
      </c>
      <c r="AQ46" s="102">
        <f>(M46*E46)/(AI46*F46)</f>
        <v/>
      </c>
      <c r="AR46" s="95">
        <f>AI46*AJ46*1000/AK46</f>
        <v/>
      </c>
      <c r="AS46" s="95">
        <f>AW46*E46/AK46</f>
        <v/>
      </c>
      <c r="AT46" s="95">
        <f>(2*Y46*1000000*AL46*F46*F46*E46)/(M46*M46*D46)</f>
        <v/>
      </c>
      <c r="AU46" s="95">
        <f>(AA46+AG46)/2</f>
        <v/>
      </c>
      <c r="AV46" s="95">
        <f>T46*1000/(G46*(AA46-AU46))</f>
        <v/>
      </c>
      <c r="AW46" s="95">
        <f>X46*1000/(G46*(AU46-AG46))</f>
        <v/>
      </c>
    </row>
    <row r="47" ht="15.6" customHeight="1">
      <c r="C47" s="13" t="n">
        <v>43</v>
      </c>
      <c r="D47" s="60">
        <f>182/1000</f>
        <v/>
      </c>
      <c r="E47" s="60" t="n">
        <v>0.00257</v>
      </c>
      <c r="F47" s="60" t="n">
        <v>0.00059364</v>
      </c>
      <c r="G47" s="60" t="n">
        <v>0.16346304</v>
      </c>
      <c r="H47" s="107" t="n">
        <v>0.0744628888888889</v>
      </c>
      <c r="I47" s="101" t="n">
        <v>203.154</v>
      </c>
      <c r="J47" s="101" t="n">
        <v>8.878619999999998</v>
      </c>
      <c r="K47" s="101" t="n">
        <v>160.33</v>
      </c>
      <c r="L47" s="101" t="n">
        <v>8.841479999999997</v>
      </c>
      <c r="M47" s="107" t="n">
        <v>0.07563137222222223</v>
      </c>
      <c r="N47" s="101" t="n">
        <v>158.71</v>
      </c>
      <c r="O47" s="101" t="n">
        <v>9.495980000000001</v>
      </c>
      <c r="P47" s="101" t="n">
        <v>198.544</v>
      </c>
      <c r="Q47" s="101" t="n">
        <v>9.4801</v>
      </c>
      <c r="R47" s="95" t="n">
        <v>640.1037740376539</v>
      </c>
      <c r="S47" s="95" t="n">
        <v>590.165844471436</v>
      </c>
      <c r="T47" s="95">
        <f>(R47-S47)*H47</f>
        <v/>
      </c>
      <c r="U47" s="96">
        <f>J47-L47</f>
        <v/>
      </c>
      <c r="V47" s="95" t="n">
        <v>585.1527178406176</v>
      </c>
      <c r="W47" s="95" t="n">
        <v>632.5760315281616</v>
      </c>
      <c r="X47" s="95">
        <f>(W47-V47)*M47</f>
        <v/>
      </c>
      <c r="Y47" s="96">
        <f>O47-Q47</f>
        <v/>
      </c>
      <c r="Z47" s="17">
        <f>(X47-T47)/T47</f>
        <v/>
      </c>
      <c r="AA47" s="95">
        <f>(I47+K47)/2</f>
        <v/>
      </c>
      <c r="AB47" s="95">
        <f>(J47+L47)/2</f>
        <v/>
      </c>
      <c r="AC47" s="60" t="n">
        <v>2.384705146070365e-05</v>
      </c>
      <c r="AD47" s="97" t="n">
        <v>1.167988237662485</v>
      </c>
      <c r="AE47" s="98" t="n">
        <v>0.0335345130434856</v>
      </c>
      <c r="AF47" s="95" t="n">
        <v>113.4098089571626</v>
      </c>
      <c r="AG47" s="95">
        <f>(N47+P47)/2</f>
        <v/>
      </c>
      <c r="AH47" s="95">
        <f>(O47+Q47)/2</f>
        <v/>
      </c>
      <c r="AI47" s="60" t="n">
        <v>2.392765391976643e-05</v>
      </c>
      <c r="AJ47" s="99" t="n">
        <v>1.187063690528416</v>
      </c>
      <c r="AK47" s="100" t="n">
        <v>0.03375533750253901</v>
      </c>
      <c r="AL47" s="101" t="n">
        <v>123.484988038179</v>
      </c>
      <c r="AM47" s="102">
        <f>(H47*E47)/(AC47*F47)</f>
        <v/>
      </c>
      <c r="AN47" s="95">
        <f>AC47*AD47*1000/AE47</f>
        <v/>
      </c>
      <c r="AO47" s="95">
        <f>AV47*E47/AE47</f>
        <v/>
      </c>
      <c r="AP47" s="95">
        <f>(2*U47*1000000*AF47*F47*F47*E47)/(H47*H47*D47)</f>
        <v/>
      </c>
      <c r="AQ47" s="102">
        <f>(M47*E47)/(AI47*F47)</f>
        <v/>
      </c>
      <c r="AR47" s="95">
        <f>AI47*AJ47*1000/AK47</f>
        <v/>
      </c>
      <c r="AS47" s="95">
        <f>AW47*E47/AK47</f>
        <v/>
      </c>
      <c r="AT47" s="95">
        <f>(2*Y47*1000000*AL47*F47*F47*E47)/(M47*M47*D47)</f>
        <v/>
      </c>
      <c r="AU47" s="95">
        <f>(AA47+AG47)/2</f>
        <v/>
      </c>
      <c r="AV47" s="95">
        <f>T47*1000/(G47*(AA47-AU47))</f>
        <v/>
      </c>
      <c r="AW47" s="95">
        <f>X47*1000/(G47*(AU47-AG47))</f>
        <v/>
      </c>
    </row>
    <row r="48" ht="15.6" customHeight="1">
      <c r="C48" s="13" t="n">
        <v>44</v>
      </c>
      <c r="D48" s="60">
        <f>182/1000</f>
        <v/>
      </c>
      <c r="E48" s="60" t="n">
        <v>0.00257</v>
      </c>
      <c r="F48" s="60" t="n">
        <v>0.00059364</v>
      </c>
      <c r="G48" s="60" t="n">
        <v>0.16346304</v>
      </c>
      <c r="H48" s="107" t="n">
        <v>0.09855521739130435</v>
      </c>
      <c r="I48" s="101" t="n">
        <v>194.8086956521739</v>
      </c>
      <c r="J48" s="101" t="n">
        <v>8.435391304347826</v>
      </c>
      <c r="K48" s="101" t="n">
        <v>160.5130434782609</v>
      </c>
      <c r="L48" s="101" t="n">
        <v>8.365086956521738</v>
      </c>
      <c r="M48" s="107" t="n">
        <v>0.101111461352657</v>
      </c>
      <c r="N48" s="101" t="n">
        <v>159.5217391304348</v>
      </c>
      <c r="O48" s="101" t="n">
        <v>8.67917391304348</v>
      </c>
      <c r="P48" s="101" t="n">
        <v>193.6608695652174</v>
      </c>
      <c r="Q48" s="101" t="n">
        <v>8.637695652173914</v>
      </c>
      <c r="R48" s="95" t="n">
        <v>632.1200886032436</v>
      </c>
      <c r="S48" s="95" t="n">
        <v>592.5915244977857</v>
      </c>
      <c r="T48" s="95">
        <f>(R48-S48)*H48</f>
        <v/>
      </c>
      <c r="U48" s="96">
        <f>J48-L48</f>
        <v/>
      </c>
      <c r="V48" s="95" t="n">
        <v>589.9591260577961</v>
      </c>
      <c r="W48" s="95" t="n">
        <v>630.037814681319</v>
      </c>
      <c r="X48" s="95">
        <f>(W48-V48)*M48</f>
        <v/>
      </c>
      <c r="Y48" s="96">
        <f>O48-Q48</f>
        <v/>
      </c>
      <c r="Z48" s="17">
        <f>(X48-T48)/T48</f>
        <v/>
      </c>
      <c r="AA48" s="95">
        <f>(I48+K48)/2</f>
        <v/>
      </c>
      <c r="AB48" s="95">
        <f>(J48+L48)/2</f>
        <v/>
      </c>
      <c r="AC48" s="60" t="n">
        <v>2.356298323094184e-05</v>
      </c>
      <c r="AD48" s="97" t="n">
        <v>1.160100646884687</v>
      </c>
      <c r="AE48" s="98" t="n">
        <v>0.03301119127253996</v>
      </c>
      <c r="AF48" s="95" t="n">
        <v>108.4210364802043</v>
      </c>
      <c r="AG48" s="95">
        <f>(N48+P48)/2</f>
        <v/>
      </c>
      <c r="AH48" s="95">
        <f>(O48+Q48)/2</f>
        <v/>
      </c>
      <c r="AI48" s="60" t="n">
        <v>2.359969584005732e-05</v>
      </c>
      <c r="AJ48" s="99" t="n">
        <v>1.167706187807152</v>
      </c>
      <c r="AK48" s="100" t="n">
        <v>0.03310714987569077</v>
      </c>
      <c r="AL48" s="101" t="n">
        <v>112.4548423984341</v>
      </c>
      <c r="AM48" s="102">
        <f>(H48*E48)/(AC48*F48)</f>
        <v/>
      </c>
      <c r="AN48" s="95">
        <f>AC48*AD48*1000/AE48</f>
        <v/>
      </c>
      <c r="AO48" s="95">
        <f>AV48*E48/AE48</f>
        <v/>
      </c>
      <c r="AP48" s="95">
        <f>(2*U48*1000000*AF48*F48*F48*E48)/(H48*H48*D48)</f>
        <v/>
      </c>
      <c r="AQ48" s="102">
        <f>(M48*E48)/(AI48*F48)</f>
        <v/>
      </c>
      <c r="AR48" s="95">
        <f>AI48*AJ48*1000/AK48</f>
        <v/>
      </c>
      <c r="AS48" s="95">
        <f>AW48*E48/AK48</f>
        <v/>
      </c>
      <c r="AT48" s="95">
        <f>(2*Y48*1000000*AL48*F48*F48*E48)/(M48*M48*D48)</f>
        <v/>
      </c>
      <c r="AU48" s="95">
        <f>(AA48+AG48)/2</f>
        <v/>
      </c>
      <c r="AV48" s="95">
        <f>T48*1000/(G48*(AA48-AU48))</f>
        <v/>
      </c>
      <c r="AW48" s="95">
        <f>X48*1000/(G48*(AU48-AG48))</f>
        <v/>
      </c>
    </row>
    <row r="49" ht="15.6" customHeight="1">
      <c r="C49" s="13" t="n">
        <v>45</v>
      </c>
      <c r="D49" s="60">
        <f>182/1000</f>
        <v/>
      </c>
      <c r="E49" s="60" t="n">
        <v>0.00257</v>
      </c>
      <c r="F49" s="60" t="n">
        <v>0.00059364</v>
      </c>
      <c r="G49" s="60" t="n">
        <v>0.16346304</v>
      </c>
      <c r="H49" s="107" t="n">
        <v>0.1241530620155039</v>
      </c>
      <c r="I49" s="101" t="n">
        <v>199.9325581395349</v>
      </c>
      <c r="J49" s="101" t="n">
        <v>9.309511627906979</v>
      </c>
      <c r="K49" s="101" t="n">
        <v>168.1325581395349</v>
      </c>
      <c r="L49" s="101" t="n">
        <v>9.206093023255814</v>
      </c>
      <c r="M49" s="107" t="n">
        <v>0.125384031007752</v>
      </c>
      <c r="N49" s="101" t="n">
        <v>166.8767441860464</v>
      </c>
      <c r="O49" s="101" t="n">
        <v>8.891976744186046</v>
      </c>
      <c r="P49" s="101" t="n">
        <v>199.8837209302326</v>
      </c>
      <c r="Q49" s="101" t="n">
        <v>8.820837209302328</v>
      </c>
      <c r="R49" s="95" t="n">
        <v>634.8179863631852</v>
      </c>
      <c r="S49" s="95" t="n">
        <v>597.8201581131775</v>
      </c>
      <c r="T49" s="95">
        <f>(R49-S49)*H49</f>
        <v/>
      </c>
      <c r="U49" s="96">
        <f>J49-L49</f>
        <v/>
      </c>
      <c r="V49" s="95" t="n">
        <v>597.7189826413935</v>
      </c>
      <c r="W49" s="95" t="n">
        <v>636.5394778770767</v>
      </c>
      <c r="X49" s="95">
        <f>(W49-V49)*M49</f>
        <v/>
      </c>
      <c r="Y49" s="96">
        <f>O49-Q49</f>
        <v/>
      </c>
      <c r="Z49" s="17">
        <f>(X49-T49)/T49</f>
        <v/>
      </c>
      <c r="AA49" s="95">
        <f>(I49+K49)/2</f>
        <v/>
      </c>
      <c r="AB49" s="95">
        <f>(J49+L49)/2</f>
        <v/>
      </c>
      <c r="AC49" s="60" t="n">
        <v>2.404789819820492e-05</v>
      </c>
      <c r="AD49" s="97" t="n">
        <v>1.175582854087308</v>
      </c>
      <c r="AE49" s="98" t="n">
        <v>0.0338991343022637</v>
      </c>
      <c r="AF49" s="95" t="n">
        <v>118.0979506624922</v>
      </c>
      <c r="AG49" s="95">
        <f>(N49+P49)/2</f>
        <v/>
      </c>
      <c r="AH49" s="95">
        <f>(O49+Q49)/2</f>
        <v/>
      </c>
      <c r="AI49" s="60" t="n">
        <v>2.39054805960924e-05</v>
      </c>
      <c r="AJ49" s="99" t="n">
        <v>1.166447628643406</v>
      </c>
      <c r="AK49" s="100" t="n">
        <v>0.03361501503112346</v>
      </c>
      <c r="AL49" s="101" t="n">
        <v>112.767452088075</v>
      </c>
      <c r="AM49" s="102">
        <f>(H49*E49)/(AC49*F49)</f>
        <v/>
      </c>
      <c r="AN49" s="95">
        <f>AC49*AD49*1000/AE49</f>
        <v/>
      </c>
      <c r="AO49" s="95">
        <f>AV49*E49/AE49</f>
        <v/>
      </c>
      <c r="AP49" s="95">
        <f>(2*U49*1000000*AF49*F49*F49*E49)/(H49*H49*D49)</f>
        <v/>
      </c>
      <c r="AQ49" s="102">
        <f>(M49*E49)/(AI49*F49)</f>
        <v/>
      </c>
      <c r="AR49" s="95">
        <f>AI49*AJ49*1000/AK49</f>
        <v/>
      </c>
      <c r="AS49" s="95">
        <f>AW49*E49/AK49</f>
        <v/>
      </c>
      <c r="AT49" s="95">
        <f>(2*Y49*1000000*AL49*F49*F49*E49)/(M49*M49*D49)</f>
        <v/>
      </c>
      <c r="AU49" s="95">
        <f>(AA49+AG49)/2</f>
        <v/>
      </c>
      <c r="AV49" s="95">
        <f>T49*1000/(G49*(AA49-AU49))</f>
        <v/>
      </c>
      <c r="AW49" s="95">
        <f>X49*1000/(G49*(AU49-AG49))</f>
        <v/>
      </c>
    </row>
    <row r="50" ht="15.6" customHeight="1">
      <c r="C50" s="13" t="n">
        <v>46</v>
      </c>
      <c r="D50" s="60">
        <f>182/1000</f>
        <v/>
      </c>
      <c r="E50" s="60" t="n">
        <v>0.00257</v>
      </c>
      <c r="F50" s="60" t="n">
        <v>0.00059364</v>
      </c>
      <c r="G50" s="60" t="n">
        <v>0.16346304</v>
      </c>
      <c r="H50" s="107" t="n">
        <v>0.1491828096064814</v>
      </c>
      <c r="I50" s="101" t="n">
        <v>200.6281249999999</v>
      </c>
      <c r="J50" s="101" t="n">
        <v>9.545666666666664</v>
      </c>
      <c r="K50" s="101" t="n">
        <v>171.0218749999999</v>
      </c>
      <c r="L50" s="101" t="n">
        <v>9.399083333333332</v>
      </c>
      <c r="M50" s="107" t="n">
        <v>0.1518359288194444</v>
      </c>
      <c r="N50" s="101" t="n">
        <v>167.7770833333333</v>
      </c>
      <c r="O50" s="101" t="n">
        <v>9.521374999999997</v>
      </c>
      <c r="P50" s="101" t="n">
        <v>201.0270833333334</v>
      </c>
      <c r="Q50" s="101" t="n">
        <v>9.428166666666666</v>
      </c>
      <c r="R50" s="95" t="n">
        <v>634.7724284106562</v>
      </c>
      <c r="S50" s="95" t="n">
        <v>600.4240740322676</v>
      </c>
      <c r="T50" s="95">
        <f>(R50-S50)*H50</f>
        <v/>
      </c>
      <c r="U50" s="96">
        <f>J50-L50</f>
        <v/>
      </c>
      <c r="V50" s="95" t="n">
        <v>596.000559280973</v>
      </c>
      <c r="W50" s="95" t="n">
        <v>635.662891261027</v>
      </c>
      <c r="X50" s="95">
        <f>(W50-V50)*M50</f>
        <v/>
      </c>
      <c r="Y50" s="96">
        <f>O50-Q50</f>
        <v/>
      </c>
      <c r="Z50" s="17">
        <f>(X50-T50)/T50</f>
        <v/>
      </c>
      <c r="AA50" s="95">
        <f>(I50+K50)/2</f>
        <v/>
      </c>
      <c r="AB50" s="95">
        <f>(J50+L50)/2</f>
        <v/>
      </c>
      <c r="AC50" s="60" t="n">
        <v>2.417626178655484e-05</v>
      </c>
      <c r="AD50" s="97" t="n">
        <v>1.179023736284681</v>
      </c>
      <c r="AE50" s="98" t="n">
        <v>0.03414408959930488</v>
      </c>
      <c r="AF50" s="95" t="n">
        <v>120.388443810465</v>
      </c>
      <c r="AG50" s="95">
        <f>(N50+P50)/2</f>
        <v/>
      </c>
      <c r="AH50" s="95">
        <f>(O50+Q50)/2</f>
        <v/>
      </c>
      <c r="AI50" s="60" t="n">
        <v>2.412672198194214e-05</v>
      </c>
      <c r="AJ50" s="99" t="n">
        <v>1.180491364788407</v>
      </c>
      <c r="AK50" s="100" t="n">
        <v>0.03405511667672834</v>
      </c>
      <c r="AL50" s="101" t="n">
        <v>120.9757770262268</v>
      </c>
      <c r="AM50" s="102">
        <f>(H50*E50)/(AC50*F50)</f>
        <v/>
      </c>
      <c r="AN50" s="95">
        <f>AC50*AD50*1000/AE50</f>
        <v/>
      </c>
      <c r="AO50" s="95">
        <f>AV50*E50/AE50</f>
        <v/>
      </c>
      <c r="AP50" s="95">
        <f>(2*U50*1000000*AF50*F50*F50*E50)/(H50*H50*D50)</f>
        <v/>
      </c>
      <c r="AQ50" s="102">
        <f>(M50*E50)/(AI50*F50)</f>
        <v/>
      </c>
      <c r="AR50" s="95">
        <f>AI50*AJ50*1000/AK50</f>
        <v/>
      </c>
      <c r="AS50" s="95">
        <f>AW50*E50/AK50</f>
        <v/>
      </c>
      <c r="AT50" s="95">
        <f>(2*Y50*1000000*AL50*F50*F50*E50)/(M50*M50*D50)</f>
        <v/>
      </c>
      <c r="AU50" s="95">
        <f>(AA50+AG50)/2</f>
        <v/>
      </c>
      <c r="AV50" s="95">
        <f>T50*1000/(G50*(AA50-AU50))</f>
        <v/>
      </c>
      <c r="AW50" s="95">
        <f>X50*1000/(G50*(AU50-AG50))</f>
        <v/>
      </c>
    </row>
    <row r="51" ht="15.6" customHeight="1">
      <c r="C51" s="13" t="n">
        <v>47</v>
      </c>
      <c r="D51" s="60">
        <f>182/1000</f>
        <v/>
      </c>
      <c r="E51" s="60" t="n">
        <v>0.00257</v>
      </c>
      <c r="F51" s="60" t="n">
        <v>0.00059364</v>
      </c>
      <c r="G51" s="60" t="n">
        <v>0.16346304</v>
      </c>
      <c r="H51" s="107" t="n">
        <v>0.04845312934027778</v>
      </c>
      <c r="I51" s="101" t="n">
        <v>217.571875</v>
      </c>
      <c r="J51" s="101" t="n">
        <v>8.546093749999999</v>
      </c>
      <c r="K51" s="101" t="n">
        <v>165.053125</v>
      </c>
      <c r="L51" s="101" t="n">
        <v>8.527359375</v>
      </c>
      <c r="M51" s="107" t="n">
        <v>0.05067675781249999</v>
      </c>
      <c r="N51" s="101" t="n">
        <v>164.821875</v>
      </c>
      <c r="O51" s="101" t="n">
        <v>9.158687499999999</v>
      </c>
      <c r="P51" s="101" t="n">
        <v>209.84375</v>
      </c>
      <c r="Q51" s="101" t="n">
        <v>9.159812499999997</v>
      </c>
      <c r="R51" s="95" t="n">
        <v>657.7845596270387</v>
      </c>
      <c r="S51" s="95" t="n">
        <v>597.1955402812198</v>
      </c>
      <c r="T51" s="95">
        <f>(R51-S51)*H51</f>
        <v/>
      </c>
      <c r="U51" s="96">
        <f>J51-L51</f>
        <v/>
      </c>
      <c r="V51" s="95" t="n">
        <v>594.078183578627</v>
      </c>
      <c r="W51" s="95" t="n">
        <v>646.8396495235801</v>
      </c>
      <c r="X51" s="95">
        <f>(W51-V51)*M51</f>
        <v/>
      </c>
      <c r="Y51" s="96">
        <f>O51-Q51</f>
        <v/>
      </c>
      <c r="Z51" s="17">
        <f>(X51-T51)/T51</f>
        <v/>
      </c>
      <c r="AA51" s="95">
        <f>(I51+K51)/2</f>
        <v/>
      </c>
      <c r="AB51" s="95">
        <f>(J51+L51)/2</f>
        <v/>
      </c>
      <c r="AC51" s="60" t="n">
        <v>2.410602681896918e-05</v>
      </c>
      <c r="AD51" s="97" t="n">
        <v>1.153098139840725</v>
      </c>
      <c r="AE51" s="98" t="n">
        <v>0.03395737114005132</v>
      </c>
      <c r="AF51" s="95" t="n">
        <v>105.7348407729544</v>
      </c>
      <c r="AG51" s="95">
        <f>(N51+P51)/2</f>
        <v/>
      </c>
      <c r="AH51" s="95">
        <f>(O51+Q51)/2</f>
        <v/>
      </c>
      <c r="AI51" s="60" t="n">
        <v>2.413683571532565e-05</v>
      </c>
      <c r="AJ51" s="99" t="n">
        <v>1.170231948802679</v>
      </c>
      <c r="AK51" s="100" t="n">
        <v>0.03405311987308635</v>
      </c>
      <c r="AL51" s="101" t="n">
        <v>115.509892066083</v>
      </c>
      <c r="AM51" s="102">
        <f>(H51*E51)/(AC51*F51)</f>
        <v/>
      </c>
      <c r="AN51" s="95">
        <f>AC51*AD51*1000/AE51</f>
        <v/>
      </c>
      <c r="AO51" s="95">
        <f>AV51*E51/AE51</f>
        <v/>
      </c>
      <c r="AP51" s="95">
        <f>(2*U51*1000000*AF51*F51*F51*E51)/(H51*H51*D51)</f>
        <v/>
      </c>
      <c r="AQ51" s="102">
        <f>(M51*E51)/(AI51*F51)</f>
        <v/>
      </c>
      <c r="AR51" s="95">
        <f>AI51*AJ51*1000/AK51</f>
        <v/>
      </c>
      <c r="AS51" s="95">
        <f>AW51*E51/AK51</f>
        <v/>
      </c>
      <c r="AT51" s="95">
        <f>(2*Y51*1000000*AL51*F51*F51*E51)/(M51*M51*D51)</f>
        <v/>
      </c>
      <c r="AU51" s="95">
        <f>(AA51+AG51)/2</f>
        <v/>
      </c>
      <c r="AV51" s="95">
        <f>T51*1000/(G51*(AA51-AU51))</f>
        <v/>
      </c>
      <c r="AW51" s="95">
        <f>X51*1000/(G51*(AU51-AG51))</f>
        <v/>
      </c>
    </row>
    <row r="52" ht="15.6" customHeight="1">
      <c r="C52" s="13" t="n">
        <v>48</v>
      </c>
      <c r="D52" s="60">
        <f>182/1000</f>
        <v/>
      </c>
      <c r="E52" s="60" t="n">
        <v>0.00257</v>
      </c>
      <c r="F52" s="60" t="n">
        <v>0.00059364</v>
      </c>
      <c r="G52" s="60" t="n">
        <v>0.16346304</v>
      </c>
      <c r="H52" s="107" t="n">
        <v>0.0738124888888889</v>
      </c>
      <c r="I52" s="101" t="n">
        <v>230.2199999999999</v>
      </c>
      <c r="J52" s="101" t="n">
        <v>7.925506666666665</v>
      </c>
      <c r="K52" s="101" t="n">
        <v>169.6346666666666</v>
      </c>
      <c r="L52" s="101" t="n">
        <v>7.880853333333333</v>
      </c>
      <c r="M52" s="107" t="n">
        <v>0.07536693333333332</v>
      </c>
      <c r="N52" s="101" t="n">
        <v>162.7133333333334</v>
      </c>
      <c r="O52" s="101" t="n">
        <v>9.204186666666669</v>
      </c>
      <c r="P52" s="101" t="n">
        <v>220.2733333333334</v>
      </c>
      <c r="Q52" s="101" t="n">
        <v>9.19794666666667</v>
      </c>
      <c r="R52" s="95" t="n">
        <v>674.128039303596</v>
      </c>
      <c r="S52" s="95" t="n">
        <v>605.3909818287819</v>
      </c>
      <c r="T52" s="95">
        <f>(R52-S52)*H52</f>
        <v/>
      </c>
      <c r="U52" s="96">
        <f>J52-L52</f>
        <v/>
      </c>
      <c r="V52" s="95" t="n">
        <v>591.3451368472975</v>
      </c>
      <c r="W52" s="95" t="n">
        <v>658.741318990864</v>
      </c>
      <c r="X52" s="95">
        <f>(W52-V52)*M52</f>
        <v/>
      </c>
      <c r="Y52" s="96">
        <f>O52-Q52</f>
        <v/>
      </c>
      <c r="Z52" s="17">
        <f>(X52-T52)/T52</f>
        <v/>
      </c>
      <c r="AA52" s="95">
        <f>(I52+K52)/2</f>
        <v/>
      </c>
      <c r="AB52" s="95">
        <f>(J52+L52)/2</f>
        <v/>
      </c>
      <c r="AC52" s="60" t="n">
        <v>2.4262859233213e-05</v>
      </c>
      <c r="AD52" s="97" t="n">
        <v>1.135383129702896</v>
      </c>
      <c r="AE52" s="98" t="n">
        <v>0.03420777469643912</v>
      </c>
      <c r="AF52" s="95" t="n">
        <v>94.9211564221107</v>
      </c>
      <c r="AG52" s="95">
        <f>(N52+P52)/2</f>
        <v/>
      </c>
      <c r="AH52" s="95">
        <f>(O52+Q52)/2</f>
        <v/>
      </c>
      <c r="AI52" s="60" t="n">
        <v>2.429848610259625e-05</v>
      </c>
      <c r="AJ52" s="99" t="n">
        <v>1.167755896520498</v>
      </c>
      <c r="AK52" s="100" t="n">
        <v>0.03434932278009041</v>
      </c>
      <c r="AL52" s="101" t="n">
        <v>114.5829053618316</v>
      </c>
      <c r="AM52" s="102">
        <f>(H52*E52)/(AC52*F52)</f>
        <v/>
      </c>
      <c r="AN52" s="95">
        <f>AC52*AD52*1000/AE52</f>
        <v/>
      </c>
      <c r="AO52" s="95">
        <f>AV52*E52/AE52</f>
        <v/>
      </c>
      <c r="AP52" s="95">
        <f>(2*U52*1000000*AF52*F52*F52*E52)/(H52*H52*D52)</f>
        <v/>
      </c>
      <c r="AQ52" s="102">
        <f>(M52*E52)/(AI52*F52)</f>
        <v/>
      </c>
      <c r="AR52" s="95">
        <f>AI52*AJ52*1000/AK52</f>
        <v/>
      </c>
      <c r="AS52" s="95">
        <f>AW52*E52/AK52</f>
        <v/>
      </c>
      <c r="AT52" s="95">
        <f>(2*Y52*1000000*AL52*F52*F52*E52)/(M52*M52*D52)</f>
        <v/>
      </c>
      <c r="AU52" s="95">
        <f>(AA52+AG52)/2</f>
        <v/>
      </c>
      <c r="AV52" s="95">
        <f>T52*1000/(G52*(AA52-AU52))</f>
        <v/>
      </c>
      <c r="AW52" s="95">
        <f>X52*1000/(G52*(AU52-AG52))</f>
        <v/>
      </c>
    </row>
    <row r="53" ht="15.6" customHeight="1">
      <c r="C53" s="13" t="n">
        <v>49</v>
      </c>
      <c r="D53" s="60">
        <f>182/1000</f>
        <v/>
      </c>
      <c r="E53" s="60" t="n">
        <v>0.00257</v>
      </c>
      <c r="F53" s="60" t="n">
        <v>0.00059364</v>
      </c>
      <c r="G53" s="60" t="n">
        <v>0.16346304</v>
      </c>
      <c r="H53" s="107" t="n">
        <v>0.09846829487179484</v>
      </c>
      <c r="I53" s="101" t="n">
        <v>238.8784615384616</v>
      </c>
      <c r="J53" s="101" t="n">
        <v>8.487184615384614</v>
      </c>
      <c r="K53" s="101" t="n">
        <v>171.1076923076924</v>
      </c>
      <c r="L53" s="101" t="n">
        <v>8.410061538461541</v>
      </c>
      <c r="M53" s="107" t="n">
        <v>0.1009807435897436</v>
      </c>
      <c r="N53" s="101" t="n">
        <v>155.8369230769231</v>
      </c>
      <c r="O53" s="101" t="n">
        <v>8.537076923076922</v>
      </c>
      <c r="P53" s="101" t="n">
        <v>226.1092307692308</v>
      </c>
      <c r="Q53" s="101" t="n">
        <v>8.503907692307694</v>
      </c>
      <c r="R53" s="95" t="n">
        <v>682.2241626955582</v>
      </c>
      <c r="S53" s="95" t="n">
        <v>604.8051547724056</v>
      </c>
      <c r="T53" s="95">
        <f>(R53-S53)*H53</f>
        <v/>
      </c>
      <c r="U53" s="96">
        <f>J53-L53</f>
        <v/>
      </c>
      <c r="V53" s="95" t="n">
        <v>586.2485027380924</v>
      </c>
      <c r="W53" s="95" t="n">
        <v>667.6520937390374</v>
      </c>
      <c r="X53" s="95">
        <f>(W53-V53)*M53</f>
        <v/>
      </c>
      <c r="Y53" s="96">
        <f>O53-Q53</f>
        <v/>
      </c>
      <c r="Z53" s="17">
        <f>(X53-T53)/T53</f>
        <v/>
      </c>
      <c r="AA53" s="95">
        <f>(I53+K53)/2</f>
        <v/>
      </c>
      <c r="AB53" s="95">
        <f>(J53+L53)/2</f>
        <v/>
      </c>
      <c r="AC53" s="60" t="n">
        <v>2.458952263178127e-05</v>
      </c>
      <c r="AD53" s="97" t="n">
        <v>1.144048544114817</v>
      </c>
      <c r="AE53" s="98" t="n">
        <v>0.03484712257398719</v>
      </c>
      <c r="AF53" s="95" t="n">
        <v>100.4616878488907</v>
      </c>
      <c r="AG53" s="95">
        <f>(N53+P53)/2</f>
        <v/>
      </c>
      <c r="AH53" s="95">
        <f>(O53+Q53)/2</f>
        <v/>
      </c>
      <c r="AI53" s="60" t="n">
        <v>2.408905584389489e-05</v>
      </c>
      <c r="AJ53" s="99" t="n">
        <v>1.152956991325314</v>
      </c>
      <c r="AK53" s="100" t="n">
        <v>0.03392528436388292</v>
      </c>
      <c r="AL53" s="101" t="n">
        <v>105.6265655321516</v>
      </c>
      <c r="AM53" s="102">
        <f>(H53*E53)/(AC53*F53)</f>
        <v/>
      </c>
      <c r="AN53" s="95">
        <f>AC53*AD53*1000/AE53</f>
        <v/>
      </c>
      <c r="AO53" s="95">
        <f>AV53*E53/AE53</f>
        <v/>
      </c>
      <c r="AP53" s="95">
        <f>(2*U53*1000000*AF53*F53*F53*E53)/(H53*H53*D53)</f>
        <v/>
      </c>
      <c r="AQ53" s="102">
        <f>(M53*E53)/(AI53*F53)</f>
        <v/>
      </c>
      <c r="AR53" s="95">
        <f>AI53*AJ53*1000/AK53</f>
        <v/>
      </c>
      <c r="AS53" s="95">
        <f>AW53*E53/AK53</f>
        <v/>
      </c>
      <c r="AT53" s="95">
        <f>(2*Y53*1000000*AL53*F53*F53*E53)/(M53*M53*D53)</f>
        <v/>
      </c>
      <c r="AU53" s="95">
        <f>(AA53+AG53)/2</f>
        <v/>
      </c>
      <c r="AV53" s="95">
        <f>T53*1000/(G53*(AA53-AU53))</f>
        <v/>
      </c>
      <c r="AW53" s="95">
        <f>X53*1000/(G53*(AU53-AG53))</f>
        <v/>
      </c>
    </row>
    <row r="54" ht="15.6" customHeight="1">
      <c r="C54" s="13" t="n">
        <v>50</v>
      </c>
      <c r="D54" s="60">
        <f>182/1000</f>
        <v/>
      </c>
      <c r="E54" s="60" t="n">
        <v>0.00257</v>
      </c>
      <c r="F54" s="60" t="n">
        <v>0.00059364</v>
      </c>
      <c r="G54" s="60" t="n">
        <v>0.16346304</v>
      </c>
      <c r="H54" s="107" t="n">
        <v>0.123663132008155</v>
      </c>
      <c r="I54" s="101" t="n">
        <v>240.7871559633027</v>
      </c>
      <c r="J54" s="101" t="n">
        <v>9.017366972477063</v>
      </c>
      <c r="K54" s="101" t="n">
        <v>174.3394495412844</v>
      </c>
      <c r="L54" s="101" t="n">
        <v>8.902082568807336</v>
      </c>
      <c r="M54" s="107" t="n">
        <v>0.1256812742099898</v>
      </c>
      <c r="N54" s="101" t="n">
        <v>158.3779816513761</v>
      </c>
      <c r="O54" s="101" t="n">
        <v>9.140504587155966</v>
      </c>
      <c r="P54" s="101" t="n">
        <v>228.2192660550459</v>
      </c>
      <c r="Q54" s="101" t="n">
        <v>9.081688073394494</v>
      </c>
      <c r="R54" s="95" t="n">
        <v>682.8324783409753</v>
      </c>
      <c r="S54" s="95" t="n">
        <v>606.4857961483639</v>
      </c>
      <c r="T54" s="95">
        <f>(R54-S54)*H54</f>
        <v/>
      </c>
      <c r="U54" s="96">
        <f>J54-L54</f>
        <v/>
      </c>
      <c r="V54" s="95" t="n">
        <v>586.426026089629</v>
      </c>
      <c r="W54" s="95" t="n">
        <v>668.2445842562337</v>
      </c>
      <c r="X54" s="95">
        <f>(W54-V54)*M54</f>
        <v/>
      </c>
      <c r="Y54" s="96">
        <f>O54-Q54</f>
        <v/>
      </c>
      <c r="Z54" s="17">
        <f>(X54-T54)/T54</f>
        <v/>
      </c>
      <c r="AA54" s="95">
        <f>(I54+K54)/2</f>
        <v/>
      </c>
      <c r="AB54" s="95">
        <f>(J54+L54)/2</f>
        <v/>
      </c>
      <c r="AC54" s="60" t="n">
        <v>2.481512565010356e-05</v>
      </c>
      <c r="AD54" s="97" t="n">
        <v>1.152691388631168</v>
      </c>
      <c r="AE54" s="98" t="n">
        <v>0.03529282534552904</v>
      </c>
      <c r="AF54" s="95" t="n">
        <v>106.1723626546065</v>
      </c>
      <c r="AG54" s="95">
        <f>(N54+P54)/2</f>
        <v/>
      </c>
      <c r="AH54" s="95">
        <f>(O54+Q54)/2</f>
        <v/>
      </c>
      <c r="AI54" s="60" t="n">
        <v>2.43379524063772e-05</v>
      </c>
      <c r="AJ54" s="99" t="n">
        <v>1.164384645056905</v>
      </c>
      <c r="AK54" s="100" t="n">
        <v>0.03441628830278803</v>
      </c>
      <c r="AL54" s="101" t="n">
        <v>112.7448443801649</v>
      </c>
      <c r="AM54" s="102">
        <f>(H54*E54)/(AC54*F54)</f>
        <v/>
      </c>
      <c r="AN54" s="95">
        <f>AC54*AD54*1000/AE54</f>
        <v/>
      </c>
      <c r="AO54" s="95">
        <f>AV54*E54/AE54</f>
        <v/>
      </c>
      <c r="AP54" s="95">
        <f>(2*U54*1000000*AF54*F54*F54*E54)/(H54*H54*D54)</f>
        <v/>
      </c>
      <c r="AQ54" s="102">
        <f>(M54*E54)/(AI54*F54)</f>
        <v/>
      </c>
      <c r="AR54" s="95">
        <f>AI54*AJ54*1000/AK54</f>
        <v/>
      </c>
      <c r="AS54" s="95">
        <f>AW54*E54/AK54</f>
        <v/>
      </c>
      <c r="AT54" s="95">
        <f>(2*Y54*1000000*AL54*F54*F54*E54)/(M54*M54*D54)</f>
        <v/>
      </c>
      <c r="AU54" s="95">
        <f>(AA54+AG54)/2</f>
        <v/>
      </c>
      <c r="AV54" s="95">
        <f>T54*1000/(G54*(AA54-AU54))</f>
        <v/>
      </c>
      <c r="AW54" s="95">
        <f>X54*1000/(G54*(AU54-AG54))</f>
        <v/>
      </c>
    </row>
    <row r="55" ht="15.6" customHeight="1">
      <c r="C55" s="13" t="n">
        <v>51</v>
      </c>
      <c r="D55" s="60">
        <f>182/1000</f>
        <v/>
      </c>
      <c r="E55" s="60" t="n">
        <v>0.00257</v>
      </c>
      <c r="F55" s="60" t="n">
        <v>0.00059364</v>
      </c>
      <c r="G55" s="60" t="n">
        <v>0.16346304</v>
      </c>
      <c r="H55" s="107" t="n">
        <v>0.1490757156862745</v>
      </c>
      <c r="I55" s="101" t="n">
        <v>212.1658823529412</v>
      </c>
      <c r="J55" s="101" t="n">
        <v>9.313870588235297</v>
      </c>
      <c r="K55" s="101" t="n">
        <v>170.5141176470588</v>
      </c>
      <c r="L55" s="101" t="n">
        <v>9.159023529411767</v>
      </c>
      <c r="M55" s="107" t="n">
        <v>0.1518845620915033</v>
      </c>
      <c r="N55" s="101" t="n">
        <v>162.4670588235295</v>
      </c>
      <c r="O55" s="101" t="n">
        <v>9.61077647058824</v>
      </c>
      <c r="P55" s="101" t="n">
        <v>207.6411764705882</v>
      </c>
      <c r="Q55" s="101" t="n">
        <v>9.52262352941176</v>
      </c>
      <c r="R55" s="95" t="n">
        <v>648.9976533700557</v>
      </c>
      <c r="S55" s="95" t="n">
        <v>600.8610317749092</v>
      </c>
      <c r="T55" s="95">
        <f>(R55-S55)*H55</f>
        <v/>
      </c>
      <c r="U55" s="96">
        <f>J55-L55</f>
        <v/>
      </c>
      <c r="V55" s="95" t="n">
        <v>589.1838768948112</v>
      </c>
      <c r="W55" s="95" t="n">
        <v>643.0302180640666</v>
      </c>
      <c r="X55" s="95">
        <f>(W55-V55)*M55</f>
        <v/>
      </c>
      <c r="Y55" s="96">
        <f>O55-Q55</f>
        <v/>
      </c>
      <c r="Z55" s="17">
        <f>(X55-T55)/T55</f>
        <v/>
      </c>
      <c r="AA55" s="95">
        <f>(I55+K55)/2</f>
        <v/>
      </c>
      <c r="AB55" s="95">
        <f>(J55+L55)/2</f>
        <v/>
      </c>
      <c r="AC55" s="60" t="n">
        <v>2.430314567787078e-05</v>
      </c>
      <c r="AD55" s="97" t="n">
        <v>1.168671579305791</v>
      </c>
      <c r="AE55" s="98" t="n">
        <v>0.03435985520777494</v>
      </c>
      <c r="AF55" s="95" t="n">
        <v>115.1143959453884</v>
      </c>
      <c r="AG55" s="95">
        <f>(N55+P55)/2</f>
        <v/>
      </c>
      <c r="AH55" s="95">
        <f>(O55+Q55)/2</f>
        <v/>
      </c>
      <c r="AI55" s="60" t="n">
        <v>2.417779451984827e-05</v>
      </c>
      <c r="AJ55" s="99" t="n">
        <v>1.18206089613758</v>
      </c>
      <c r="AK55" s="100" t="n">
        <v>0.03415277578403819</v>
      </c>
      <c r="AL55" s="101" t="n">
        <v>121.9993835757707</v>
      </c>
      <c r="AM55" s="102">
        <f>(H55*E55)/(AC55*F55)</f>
        <v/>
      </c>
      <c r="AN55" s="95">
        <f>AC55*AD55*1000/AE55</f>
        <v/>
      </c>
      <c r="AO55" s="95">
        <f>AV55*E55/AE55</f>
        <v/>
      </c>
      <c r="AP55" s="95">
        <f>(2*U55*1000000*AF55*F55*F55*E55)/(H55*H55*D55)</f>
        <v/>
      </c>
      <c r="AQ55" s="102">
        <f>(M55*E55)/(AI55*F55)</f>
        <v/>
      </c>
      <c r="AR55" s="95">
        <f>AI55*AJ55*1000/AK55</f>
        <v/>
      </c>
      <c r="AS55" s="95">
        <f>AW55*E55/AK55</f>
        <v/>
      </c>
      <c r="AT55" s="95">
        <f>(2*Y55*1000000*AL55*F55*F55*E55)/(M55*M55*D55)</f>
        <v/>
      </c>
      <c r="AU55" s="95">
        <f>(AA55+AG55)/2</f>
        <v/>
      </c>
      <c r="AV55" s="95">
        <f>T55*1000/(G55*(AA55-AU55))</f>
        <v/>
      </c>
      <c r="AW55" s="95">
        <f>X55*1000/(G55*(AU55-AG55))</f>
        <v/>
      </c>
    </row>
    <row r="58">
      <c r="Z58" s="42" t="n"/>
    </row>
  </sheetData>
  <mergeCells count="9">
    <mergeCell ref="R3:U3"/>
    <mergeCell ref="H3:L3"/>
    <mergeCell ref="V3:Y3"/>
    <mergeCell ref="AQ3:AT3"/>
    <mergeCell ref="E3:G3"/>
    <mergeCell ref="AM3:AP3"/>
    <mergeCell ref="AA3:AF3"/>
    <mergeCell ref="AG3:AL3"/>
    <mergeCell ref="M3:Q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汪楷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2026-06-26T05:52:54Z</dcterms:modified>
  <cp:lastModifiedBy>楷 汪</cp:lastModifiedBy>
</cp:coreProperties>
</file>