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\Desktop\"/>
    </mc:Choice>
  </mc:AlternateContent>
  <xr:revisionPtr revIDLastSave="0" documentId="13_ncr:1_{09472106-E4AB-4FEE-AFD0-EC86E98F5B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5" r:id="rId1"/>
    <sheet name="Sheet3" sheetId="7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3" i="7" l="1"/>
  <c r="Z13" i="7"/>
  <c r="AA13" i="7"/>
  <c r="AB13" i="7"/>
  <c r="AC13" i="7"/>
  <c r="AD13" i="7"/>
  <c r="AE13" i="7"/>
  <c r="AF13" i="7"/>
  <c r="AG13" i="7"/>
  <c r="AH13" i="7"/>
  <c r="AI13" i="7"/>
  <c r="X21" i="7"/>
  <c r="W21" i="7"/>
  <c r="V21" i="7"/>
  <c r="U21" i="7"/>
  <c r="T21" i="7"/>
  <c r="S21" i="7"/>
  <c r="R21" i="7"/>
  <c r="Q21" i="7"/>
  <c r="P21" i="7"/>
  <c r="O21" i="7"/>
  <c r="N21" i="7"/>
  <c r="M21" i="7"/>
  <c r="AG18" i="7"/>
  <c r="AF18" i="7"/>
  <c r="AE18" i="7"/>
  <c r="AD18" i="7"/>
  <c r="AC18" i="7"/>
  <c r="AB18" i="7"/>
  <c r="AA18" i="7"/>
  <c r="Z18" i="7"/>
  <c r="Y18" i="7"/>
  <c r="E18" i="7"/>
  <c r="H18" i="7" s="1"/>
  <c r="J18" i="7" s="1"/>
  <c r="AI18" i="7" s="1"/>
  <c r="D18" i="7"/>
  <c r="F18" i="7" s="1"/>
  <c r="AF17" i="7"/>
  <c r="AE17" i="7"/>
  <c r="AD17" i="7"/>
  <c r="AC17" i="7"/>
  <c r="AB17" i="7"/>
  <c r="AA17" i="7"/>
  <c r="AG17" i="7" s="1"/>
  <c r="Z17" i="7"/>
  <c r="Y17" i="7"/>
  <c r="H17" i="7"/>
  <c r="J17" i="7" s="1"/>
  <c r="AI17" i="7" s="1"/>
  <c r="F17" i="7"/>
  <c r="I17" i="7" s="1"/>
  <c r="E17" i="7"/>
  <c r="D17" i="7"/>
  <c r="AF16" i="7"/>
  <c r="AE16" i="7"/>
  <c r="AD16" i="7"/>
  <c r="AC16" i="7"/>
  <c r="AB16" i="7"/>
  <c r="AA16" i="7"/>
  <c r="AG16" i="7" s="1"/>
  <c r="Z16" i="7"/>
  <c r="Y16" i="7"/>
  <c r="E16" i="7"/>
  <c r="H16" i="7" s="1"/>
  <c r="J16" i="7" s="1"/>
  <c r="AI16" i="7" s="1"/>
  <c r="D16" i="7"/>
  <c r="F16" i="7" s="1"/>
  <c r="AF15" i="7"/>
  <c r="AE15" i="7"/>
  <c r="AD15" i="7"/>
  <c r="AC15" i="7"/>
  <c r="AB15" i="7"/>
  <c r="AA15" i="7"/>
  <c r="Z15" i="7"/>
  <c r="Y15" i="7"/>
  <c r="H15" i="7"/>
  <c r="J15" i="7" s="1"/>
  <c r="AI15" i="7" s="1"/>
  <c r="F15" i="7"/>
  <c r="I15" i="7" s="1"/>
  <c r="E15" i="7"/>
  <c r="D15" i="7"/>
  <c r="AG14" i="7"/>
  <c r="AF14" i="7"/>
  <c r="AE14" i="7"/>
  <c r="AD14" i="7"/>
  <c r="AC14" i="7"/>
  <c r="AB14" i="7"/>
  <c r="AA14" i="7"/>
  <c r="Z14" i="7"/>
  <c r="Y14" i="7"/>
  <c r="E14" i="7"/>
  <c r="H14" i="7" s="1"/>
  <c r="J14" i="7" s="1"/>
  <c r="AI14" i="7" s="1"/>
  <c r="D14" i="7"/>
  <c r="F14" i="7" s="1"/>
  <c r="E13" i="7"/>
  <c r="H13" i="7" s="1"/>
  <c r="J13" i="7" s="1"/>
  <c r="D13" i="7"/>
  <c r="F13" i="7" s="1"/>
  <c r="AF12" i="7"/>
  <c r="AE12" i="7"/>
  <c r="AD12" i="7"/>
  <c r="AC12" i="7"/>
  <c r="AB12" i="7"/>
  <c r="AA12" i="7"/>
  <c r="AG12" i="7" s="1"/>
  <c r="Z12" i="7"/>
  <c r="Y12" i="7"/>
  <c r="G12" i="7"/>
  <c r="F12" i="7"/>
  <c r="I12" i="7" s="1"/>
  <c r="E12" i="7"/>
  <c r="H12" i="7" s="1"/>
  <c r="J12" i="7" s="1"/>
  <c r="AI12" i="7" s="1"/>
  <c r="D12" i="7"/>
  <c r="AG11" i="7"/>
  <c r="AF11" i="7"/>
  <c r="AE11" i="7"/>
  <c r="AD11" i="7"/>
  <c r="AC11" i="7"/>
  <c r="AB11" i="7"/>
  <c r="AA11" i="7"/>
  <c r="Z11" i="7"/>
  <c r="Y11" i="7"/>
  <c r="H11" i="7"/>
  <c r="J11" i="7" s="1"/>
  <c r="AI11" i="7" s="1"/>
  <c r="E11" i="7"/>
  <c r="D11" i="7"/>
  <c r="F11" i="7" s="1"/>
  <c r="AF10" i="7"/>
  <c r="AE10" i="7"/>
  <c r="AD10" i="7"/>
  <c r="AC10" i="7"/>
  <c r="AB10" i="7"/>
  <c r="AA10" i="7"/>
  <c r="AG10" i="7" s="1"/>
  <c r="Z10" i="7"/>
  <c r="Y10" i="7"/>
  <c r="F10" i="7"/>
  <c r="I10" i="7" s="1"/>
  <c r="E10" i="7"/>
  <c r="H10" i="7" s="1"/>
  <c r="J10" i="7" s="1"/>
  <c r="AI10" i="7" s="1"/>
  <c r="D10" i="7"/>
  <c r="AF9" i="7"/>
  <c r="AE9" i="7"/>
  <c r="AD9" i="7"/>
  <c r="AC9" i="7"/>
  <c r="AB9" i="7"/>
  <c r="AA9" i="7"/>
  <c r="Z9" i="7"/>
  <c r="Y9" i="7"/>
  <c r="H9" i="7"/>
  <c r="J9" i="7" s="1"/>
  <c r="AI9" i="7" s="1"/>
  <c r="E9" i="7"/>
  <c r="D9" i="7"/>
  <c r="F9" i="7" s="1"/>
  <c r="AF8" i="7"/>
  <c r="AE8" i="7"/>
  <c r="AD8" i="7"/>
  <c r="AC8" i="7"/>
  <c r="AB8" i="7"/>
  <c r="AA8" i="7"/>
  <c r="AG8" i="7" s="1"/>
  <c r="Z8" i="7"/>
  <c r="Y8" i="7"/>
  <c r="E8" i="7"/>
  <c r="H8" i="7" s="1"/>
  <c r="J8" i="7" s="1"/>
  <c r="AI8" i="7" s="1"/>
  <c r="D8" i="7"/>
  <c r="F8" i="7" s="1"/>
  <c r="AF7" i="7"/>
  <c r="AE7" i="7"/>
  <c r="AD7" i="7"/>
  <c r="AC7" i="7"/>
  <c r="AB7" i="7"/>
  <c r="AA7" i="7"/>
  <c r="Z7" i="7"/>
  <c r="Y7" i="7"/>
  <c r="E7" i="7"/>
  <c r="H7" i="7" s="1"/>
  <c r="J7" i="7" s="1"/>
  <c r="AI7" i="7" s="1"/>
  <c r="D7" i="7"/>
  <c r="F7" i="7" s="1"/>
  <c r="AF6" i="7"/>
  <c r="AE6" i="7"/>
  <c r="AD6" i="7"/>
  <c r="AC6" i="7"/>
  <c r="AB6" i="7"/>
  <c r="AA6" i="7"/>
  <c r="AG6" i="7" s="1"/>
  <c r="Z6" i="7"/>
  <c r="Y6" i="7"/>
  <c r="H6" i="7"/>
  <c r="J6" i="7" s="1"/>
  <c r="AI6" i="7" s="1"/>
  <c r="E6" i="7"/>
  <c r="D6" i="7"/>
  <c r="F6" i="7" s="1"/>
  <c r="AF5" i="7"/>
  <c r="AE5" i="7"/>
  <c r="AD5" i="7"/>
  <c r="AC5" i="7"/>
  <c r="AB5" i="7"/>
  <c r="AA5" i="7"/>
  <c r="Z5" i="7"/>
  <c r="Y5" i="7"/>
  <c r="E5" i="7"/>
  <c r="H5" i="7" s="1"/>
  <c r="J5" i="7" s="1"/>
  <c r="AI5" i="7" s="1"/>
  <c r="D5" i="7"/>
  <c r="F5" i="7" s="1"/>
  <c r="AF4" i="7"/>
  <c r="AE4" i="7"/>
  <c r="AD4" i="7"/>
  <c r="AC4" i="7"/>
  <c r="AB4" i="7"/>
  <c r="AA4" i="7"/>
  <c r="Z4" i="7"/>
  <c r="Y4" i="7"/>
  <c r="H4" i="7"/>
  <c r="J4" i="7" s="1"/>
  <c r="AI4" i="7" s="1"/>
  <c r="E4" i="7"/>
  <c r="D4" i="7"/>
  <c r="F4" i="7" s="1"/>
  <c r="AF3" i="7"/>
  <c r="AE3" i="7"/>
  <c r="AD3" i="7"/>
  <c r="AC3" i="7"/>
  <c r="AB3" i="7"/>
  <c r="AA3" i="7"/>
  <c r="AG3" i="7" s="1"/>
  <c r="Z3" i="7"/>
  <c r="Y3" i="7"/>
  <c r="E3" i="7"/>
  <c r="H3" i="7" s="1"/>
  <c r="J3" i="7" s="1"/>
  <c r="AI3" i="7" s="1"/>
  <c r="D3" i="7"/>
  <c r="F3" i="7" s="1"/>
  <c r="AH13" i="5"/>
  <c r="I13" i="5"/>
  <c r="AD9" i="5"/>
  <c r="AC9" i="5"/>
  <c r="Y4" i="5"/>
  <c r="Z4" i="5"/>
  <c r="AA4" i="5"/>
  <c r="AB4" i="5"/>
  <c r="AC4" i="5"/>
  <c r="AD4" i="5"/>
  <c r="AE4" i="5"/>
  <c r="AF4" i="5"/>
  <c r="AG4" i="5"/>
  <c r="AH4" i="5"/>
  <c r="AI4" i="5"/>
  <c r="Y5" i="5"/>
  <c r="Z5" i="5"/>
  <c r="AA5" i="5"/>
  <c r="AB5" i="5"/>
  <c r="AC5" i="5"/>
  <c r="AH5" i="5" s="1"/>
  <c r="AD5" i="5"/>
  <c r="AE5" i="5"/>
  <c r="AF5" i="5"/>
  <c r="AI5" i="5"/>
  <c r="Y6" i="5"/>
  <c r="Z6" i="5"/>
  <c r="AA6" i="5"/>
  <c r="AG6" i="5" s="1"/>
  <c r="AB6" i="5"/>
  <c r="AC6" i="5"/>
  <c r="AD6" i="5"/>
  <c r="AE6" i="5"/>
  <c r="AF6" i="5"/>
  <c r="AI6" i="5"/>
  <c r="Y7" i="5"/>
  <c r="Z7" i="5"/>
  <c r="AA7" i="5"/>
  <c r="AG7" i="5" s="1"/>
  <c r="AB7" i="5"/>
  <c r="AC7" i="5"/>
  <c r="AD7" i="5"/>
  <c r="AE7" i="5"/>
  <c r="AF7" i="5"/>
  <c r="AH7" i="5"/>
  <c r="AI7" i="5"/>
  <c r="Y8" i="5"/>
  <c r="Z8" i="5"/>
  <c r="AA8" i="5"/>
  <c r="AB8" i="5"/>
  <c r="AC8" i="5"/>
  <c r="AH8" i="5" s="1"/>
  <c r="AD8" i="5"/>
  <c r="AE8" i="5"/>
  <c r="AF8" i="5"/>
  <c r="AG8" i="5"/>
  <c r="AI8" i="5"/>
  <c r="Y9" i="5"/>
  <c r="Z9" i="5"/>
  <c r="AA9" i="5"/>
  <c r="AG9" i="5" s="1"/>
  <c r="AB9" i="5"/>
  <c r="AE9" i="5"/>
  <c r="AF9" i="5"/>
  <c r="AI9" i="5"/>
  <c r="Y10" i="5"/>
  <c r="Z10" i="5"/>
  <c r="AA10" i="5"/>
  <c r="AB10" i="5"/>
  <c r="AC10" i="5"/>
  <c r="AD10" i="5"/>
  <c r="AE10" i="5"/>
  <c r="AF10" i="5"/>
  <c r="AI10" i="5"/>
  <c r="Y11" i="5"/>
  <c r="Z11" i="5"/>
  <c r="AA11" i="5"/>
  <c r="AB11" i="5"/>
  <c r="AC11" i="5"/>
  <c r="AD11" i="5"/>
  <c r="AE11" i="5"/>
  <c r="AF11" i="5"/>
  <c r="AG11" i="5"/>
  <c r="AH11" i="5"/>
  <c r="AI11" i="5"/>
  <c r="Y12" i="5"/>
  <c r="Z12" i="5"/>
  <c r="AA12" i="5"/>
  <c r="AG12" i="5" s="1"/>
  <c r="AB12" i="5"/>
  <c r="AC12" i="5"/>
  <c r="AH12" i="5" s="1"/>
  <c r="AD12" i="5"/>
  <c r="AE12" i="5"/>
  <c r="AF12" i="5"/>
  <c r="AI12" i="5"/>
  <c r="Y13" i="5"/>
  <c r="Z13" i="5"/>
  <c r="AA13" i="5"/>
  <c r="AB13" i="5"/>
  <c r="AC13" i="5"/>
  <c r="AD13" i="5"/>
  <c r="AE13" i="5"/>
  <c r="AF13" i="5"/>
  <c r="AI13" i="5"/>
  <c r="Y14" i="5"/>
  <c r="Z14" i="5"/>
  <c r="AA14" i="5"/>
  <c r="AB14" i="5"/>
  <c r="AC14" i="5"/>
  <c r="AD14" i="5"/>
  <c r="AE14" i="5"/>
  <c r="AF14" i="5"/>
  <c r="Y15" i="5"/>
  <c r="Z15" i="5"/>
  <c r="AA15" i="5"/>
  <c r="AG15" i="5" s="1"/>
  <c r="AB15" i="5"/>
  <c r="AC15" i="5"/>
  <c r="AH15" i="5" s="1"/>
  <c r="AD15" i="5"/>
  <c r="AE15" i="5"/>
  <c r="AF15" i="5"/>
  <c r="Y16" i="5"/>
  <c r="Z16" i="5"/>
  <c r="AA16" i="5"/>
  <c r="AG16" i="5" s="1"/>
  <c r="AB16" i="5"/>
  <c r="AC16" i="5"/>
  <c r="AD16" i="5"/>
  <c r="AE16" i="5"/>
  <c r="AF16" i="5"/>
  <c r="AH16" i="5"/>
  <c r="Y17" i="5"/>
  <c r="Z17" i="5"/>
  <c r="AA17" i="5"/>
  <c r="AB17" i="5"/>
  <c r="AC17" i="5"/>
  <c r="AH17" i="5" s="1"/>
  <c r="AD17" i="5"/>
  <c r="AE17" i="5"/>
  <c r="AF17" i="5"/>
  <c r="Y18" i="5"/>
  <c r="Z18" i="5"/>
  <c r="AA18" i="5"/>
  <c r="AB18" i="5"/>
  <c r="AC18" i="5"/>
  <c r="AH18" i="5" s="1"/>
  <c r="AD18" i="5"/>
  <c r="AE18" i="5"/>
  <c r="AF18" i="5"/>
  <c r="AL3" i="5"/>
  <c r="E4" i="5"/>
  <c r="H4" i="5" s="1"/>
  <c r="E5" i="5"/>
  <c r="H5" i="5" s="1"/>
  <c r="E6" i="5"/>
  <c r="H6" i="5" s="1"/>
  <c r="E7" i="5"/>
  <c r="E8" i="5"/>
  <c r="E9" i="5"/>
  <c r="E10" i="5"/>
  <c r="E11" i="5"/>
  <c r="E12" i="5"/>
  <c r="E13" i="5"/>
  <c r="E14" i="5"/>
  <c r="H14" i="5" s="1"/>
  <c r="E15" i="5"/>
  <c r="H15" i="5" s="1"/>
  <c r="E16" i="5"/>
  <c r="H16" i="5" s="1"/>
  <c r="E17" i="5"/>
  <c r="H17" i="5" s="1"/>
  <c r="E18" i="5"/>
  <c r="H18" i="5" s="1"/>
  <c r="E3" i="5"/>
  <c r="D4" i="5"/>
  <c r="D5" i="5"/>
  <c r="D6" i="5"/>
  <c r="D7" i="5"/>
  <c r="D8" i="5"/>
  <c r="D9" i="5"/>
  <c r="F9" i="5" s="1"/>
  <c r="D10" i="5"/>
  <c r="F10" i="5" s="1"/>
  <c r="D11" i="5"/>
  <c r="D12" i="5"/>
  <c r="F12" i="5" s="1"/>
  <c r="D13" i="5"/>
  <c r="F13" i="5" s="1"/>
  <c r="D14" i="5"/>
  <c r="F14" i="5" s="1"/>
  <c r="D15" i="5"/>
  <c r="F15" i="5" s="1"/>
  <c r="D16" i="5"/>
  <c r="F16" i="5" s="1"/>
  <c r="D17" i="5"/>
  <c r="F17" i="5" s="1"/>
  <c r="D18" i="5"/>
  <c r="F18" i="5" s="1"/>
  <c r="D3" i="5"/>
  <c r="X21" i="5"/>
  <c r="N21" i="5"/>
  <c r="O21" i="5"/>
  <c r="P21" i="5"/>
  <c r="Q21" i="5"/>
  <c r="R21" i="5"/>
  <c r="S21" i="5"/>
  <c r="T21" i="5"/>
  <c r="U21" i="5"/>
  <c r="V21" i="5"/>
  <c r="W21" i="5"/>
  <c r="M21" i="5"/>
  <c r="AF3" i="5"/>
  <c r="AE3" i="5"/>
  <c r="AD3" i="5"/>
  <c r="AC3" i="5"/>
  <c r="AB3" i="5"/>
  <c r="AA3" i="5"/>
  <c r="Z3" i="5"/>
  <c r="Y3" i="5"/>
  <c r="H7" i="5"/>
  <c r="H8" i="5"/>
  <c r="H9" i="5"/>
  <c r="H10" i="5"/>
  <c r="H11" i="5"/>
  <c r="H12" i="5"/>
  <c r="H13" i="5"/>
  <c r="F7" i="5"/>
  <c r="F8" i="5"/>
  <c r="F11" i="5"/>
  <c r="F3" i="5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J17" i="6" s="1"/>
  <c r="H18" i="6"/>
  <c r="H3" i="6"/>
  <c r="D4" i="6"/>
  <c r="D5" i="6"/>
  <c r="D6" i="6"/>
  <c r="D7" i="6"/>
  <c r="D8" i="6"/>
  <c r="F8" i="6" s="1"/>
  <c r="D9" i="6"/>
  <c r="F9" i="6" s="1"/>
  <c r="I9" i="6" s="1"/>
  <c r="D10" i="6"/>
  <c r="D11" i="6"/>
  <c r="D12" i="6"/>
  <c r="F12" i="6" s="1"/>
  <c r="I12" i="6" s="1"/>
  <c r="D13" i="6"/>
  <c r="F13" i="6" s="1"/>
  <c r="D14" i="6"/>
  <c r="F14" i="6" s="1"/>
  <c r="D15" i="6"/>
  <c r="F15" i="6" s="1"/>
  <c r="D16" i="6"/>
  <c r="F16" i="6" s="1"/>
  <c r="D17" i="6"/>
  <c r="F17" i="6" s="1"/>
  <c r="I17" i="6" s="1"/>
  <c r="D18" i="6"/>
  <c r="F18" i="6" s="1"/>
  <c r="D3" i="6"/>
  <c r="F3" i="6" s="1"/>
  <c r="E18" i="6"/>
  <c r="E17" i="6"/>
  <c r="E16" i="6"/>
  <c r="E15" i="6"/>
  <c r="E14" i="6"/>
  <c r="E13" i="6"/>
  <c r="J13" i="6" s="1"/>
  <c r="E12" i="6"/>
  <c r="J12" i="6" s="1"/>
  <c r="E11" i="6"/>
  <c r="J11" i="6" s="1"/>
  <c r="F11" i="6"/>
  <c r="V10" i="6"/>
  <c r="U10" i="6"/>
  <c r="E10" i="6"/>
  <c r="J10" i="6" s="1"/>
  <c r="F10" i="6"/>
  <c r="V9" i="6"/>
  <c r="U9" i="6"/>
  <c r="E9" i="6"/>
  <c r="V8" i="6"/>
  <c r="U8" i="6"/>
  <c r="E8" i="6"/>
  <c r="J8" i="6" s="1"/>
  <c r="V7" i="6"/>
  <c r="U7" i="6"/>
  <c r="E7" i="6"/>
  <c r="J7" i="6" s="1"/>
  <c r="F7" i="6"/>
  <c r="V6" i="6"/>
  <c r="U6" i="6"/>
  <c r="E6" i="6"/>
  <c r="J6" i="6" s="1"/>
  <c r="F6" i="6"/>
  <c r="V5" i="6"/>
  <c r="U5" i="6"/>
  <c r="E5" i="6"/>
  <c r="J5" i="6" s="1"/>
  <c r="F5" i="6"/>
  <c r="I5" i="6" s="1"/>
  <c r="V4" i="6"/>
  <c r="U4" i="6"/>
  <c r="E4" i="6"/>
  <c r="J4" i="6" s="1"/>
  <c r="F4" i="6"/>
  <c r="V3" i="6"/>
  <c r="U3" i="6"/>
  <c r="E3" i="6"/>
  <c r="F4" i="5"/>
  <c r="F5" i="5"/>
  <c r="F6" i="5"/>
  <c r="H3" i="5"/>
  <c r="AH15" i="7" l="1"/>
  <c r="AL15" i="7" s="1"/>
  <c r="AH12" i="7"/>
  <c r="AL12" i="7" s="1"/>
  <c r="AG4" i="7"/>
  <c r="AG7" i="7"/>
  <c r="AG5" i="7"/>
  <c r="AG9" i="7"/>
  <c r="AG15" i="7"/>
  <c r="AH10" i="7"/>
  <c r="AL10" i="7" s="1"/>
  <c r="AH17" i="7"/>
  <c r="AL17" i="7" s="1"/>
  <c r="I9" i="7"/>
  <c r="AH9" i="7" s="1"/>
  <c r="AL9" i="7" s="1"/>
  <c r="G9" i="7"/>
  <c r="G16" i="7"/>
  <c r="I16" i="7"/>
  <c r="AH16" i="7" s="1"/>
  <c r="AL16" i="7" s="1"/>
  <c r="I3" i="7"/>
  <c r="AH3" i="7" s="1"/>
  <c r="AL3" i="7" s="1"/>
  <c r="G3" i="7"/>
  <c r="I5" i="7"/>
  <c r="AH5" i="7" s="1"/>
  <c r="AL5" i="7" s="1"/>
  <c r="G5" i="7"/>
  <c r="I8" i="7"/>
  <c r="AH8" i="7" s="1"/>
  <c r="AL8" i="7" s="1"/>
  <c r="G8" i="7"/>
  <c r="G6" i="7"/>
  <c r="I6" i="7"/>
  <c r="AH6" i="7" s="1"/>
  <c r="AL6" i="7" s="1"/>
  <c r="G11" i="7"/>
  <c r="I11" i="7"/>
  <c r="AH11" i="7" s="1"/>
  <c r="AL11" i="7"/>
  <c r="I18" i="7"/>
  <c r="AH18" i="7" s="1"/>
  <c r="AL18" i="7" s="1"/>
  <c r="G18" i="7"/>
  <c r="I14" i="7"/>
  <c r="G14" i="7"/>
  <c r="G7" i="7"/>
  <c r="I7" i="7"/>
  <c r="AH7" i="7" s="1"/>
  <c r="AL7" i="7" s="1"/>
  <c r="I4" i="7"/>
  <c r="AH4" i="7" s="1"/>
  <c r="AL4" i="7" s="1"/>
  <c r="G4" i="7"/>
  <c r="G13" i="7"/>
  <c r="I13" i="7"/>
  <c r="G17" i="7"/>
  <c r="G15" i="7"/>
  <c r="G10" i="7"/>
  <c r="AG18" i="5"/>
  <c r="AG17" i="5"/>
  <c r="AG14" i="5"/>
  <c r="AH14" i="5"/>
  <c r="AG13" i="5"/>
  <c r="AL12" i="5"/>
  <c r="AL11" i="5"/>
  <c r="AH10" i="5"/>
  <c r="AL10" i="5" s="1"/>
  <c r="AG10" i="5"/>
  <c r="AH9" i="5"/>
  <c r="AL9" i="5" s="1"/>
  <c r="AL8" i="5"/>
  <c r="AL7" i="5"/>
  <c r="AH6" i="5"/>
  <c r="AL6" i="5" s="1"/>
  <c r="AG5" i="5"/>
  <c r="AL5" i="5"/>
  <c r="AL4" i="5"/>
  <c r="AL13" i="5"/>
  <c r="AG3" i="5"/>
  <c r="J14" i="6"/>
  <c r="J15" i="6"/>
  <c r="J16" i="6"/>
  <c r="J18" i="6"/>
  <c r="J9" i="6"/>
  <c r="J3" i="6"/>
  <c r="I18" i="5"/>
  <c r="I17" i="5"/>
  <c r="G18" i="5"/>
  <c r="G17" i="5"/>
  <c r="G10" i="6"/>
  <c r="I10" i="6"/>
  <c r="G15" i="6"/>
  <c r="I15" i="6"/>
  <c r="I8" i="6"/>
  <c r="G8" i="6"/>
  <c r="I3" i="6"/>
  <c r="G3" i="6"/>
  <c r="I16" i="6"/>
  <c r="G16" i="6"/>
  <c r="I11" i="6"/>
  <c r="G11" i="6"/>
  <c r="G6" i="6"/>
  <c r="I6" i="6"/>
  <c r="G4" i="6"/>
  <c r="I4" i="6"/>
  <c r="I13" i="6"/>
  <c r="G13" i="6"/>
  <c r="I7" i="6"/>
  <c r="G7" i="6"/>
  <c r="G18" i="6"/>
  <c r="I18" i="6"/>
  <c r="I14" i="6"/>
  <c r="G14" i="6"/>
  <c r="G17" i="6"/>
  <c r="G12" i="6"/>
  <c r="G5" i="6"/>
  <c r="G9" i="6"/>
  <c r="J4" i="5"/>
  <c r="J5" i="5"/>
  <c r="J6" i="5"/>
  <c r="J7" i="5"/>
  <c r="J8" i="5"/>
  <c r="J9" i="5"/>
  <c r="J10" i="5"/>
  <c r="J11" i="5"/>
  <c r="J12" i="5"/>
  <c r="J13" i="5"/>
  <c r="J14" i="5"/>
  <c r="AI14" i="5" s="1"/>
  <c r="J15" i="5"/>
  <c r="AI15" i="5" s="1"/>
  <c r="AL15" i="5" s="1"/>
  <c r="J16" i="5"/>
  <c r="AI16" i="5" s="1"/>
  <c r="AL16" i="5" s="1"/>
  <c r="J17" i="5"/>
  <c r="AI17" i="5" s="1"/>
  <c r="AL17" i="5" s="1"/>
  <c r="J18" i="5"/>
  <c r="AI18" i="5" s="1"/>
  <c r="AL18" i="5" s="1"/>
  <c r="AL13" i="7" l="1"/>
  <c r="AH14" i="7"/>
  <c r="AL14" i="7" s="1"/>
  <c r="AL14" i="5"/>
  <c r="I16" i="5"/>
  <c r="G16" i="5"/>
  <c r="I9" i="5"/>
  <c r="G9" i="5"/>
  <c r="I12" i="5"/>
  <c r="G12" i="5"/>
  <c r="I15" i="5"/>
  <c r="G15" i="5"/>
  <c r="I14" i="5"/>
  <c r="G14" i="5"/>
  <c r="G13" i="5"/>
  <c r="I8" i="5"/>
  <c r="G8" i="5"/>
  <c r="I7" i="5"/>
  <c r="G7" i="5"/>
  <c r="I3" i="5"/>
  <c r="AH3" i="5" s="1"/>
  <c r="G3" i="5"/>
  <c r="I4" i="5"/>
  <c r="G4" i="5"/>
  <c r="I5" i="5"/>
  <c r="G5" i="5"/>
  <c r="I6" i="5"/>
  <c r="G6" i="5"/>
  <c r="I10" i="5"/>
  <c r="G10" i="5"/>
  <c r="I11" i="5"/>
  <c r="G11" i="5"/>
  <c r="J3" i="5"/>
  <c r="AI3" i="5" s="1"/>
</calcChain>
</file>

<file path=xl/sharedStrings.xml><?xml version="1.0" encoding="utf-8"?>
<sst xmlns="http://schemas.openxmlformats.org/spreadsheetml/2006/main" count="143" uniqueCount="56">
  <si>
    <t>热气进气温度150度</t>
    <phoneticPr fontId="1" type="noConversion"/>
  </si>
  <si>
    <t>单个空气流量kg/s</t>
    <phoneticPr fontId="1" type="noConversion"/>
  </si>
  <si>
    <t>单个水流量kg/s</t>
    <phoneticPr fontId="1" type="noConversion"/>
  </si>
  <si>
    <t>样机空气流量kg/s</t>
    <phoneticPr fontId="1" type="noConversion"/>
  </si>
  <si>
    <t>样机水流量kg/s</t>
    <phoneticPr fontId="1" type="noConversion"/>
  </si>
  <si>
    <t>空气流量/SLM</t>
    <phoneticPr fontId="1" type="noConversion"/>
  </si>
  <si>
    <t>水流量ml/mim</t>
    <phoneticPr fontId="1" type="noConversion"/>
  </si>
  <si>
    <t>实际空气流量/SLM</t>
    <phoneticPr fontId="1" type="noConversion"/>
  </si>
  <si>
    <t>实际水流量ml/min</t>
    <phoneticPr fontId="1" type="noConversion"/>
  </si>
  <si>
    <t>空气进口温度/℃</t>
    <phoneticPr fontId="1" type="noConversion"/>
  </si>
  <si>
    <t>空气出口温度/℃</t>
    <phoneticPr fontId="1" type="noConversion"/>
  </si>
  <si>
    <t>空气进口压力/Pa</t>
    <phoneticPr fontId="1" type="noConversion"/>
  </si>
  <si>
    <t>空气出口压力/Pa</t>
    <phoneticPr fontId="1" type="noConversion"/>
  </si>
  <si>
    <t>水进口温度/℃</t>
    <phoneticPr fontId="1" type="noConversion"/>
  </si>
  <si>
    <t>水出口温度/℃</t>
    <phoneticPr fontId="1" type="noConversion"/>
  </si>
  <si>
    <t>水进口压力/kPa</t>
    <phoneticPr fontId="1" type="noConversion"/>
  </si>
  <si>
    <t>水出口压力/kPa</t>
    <phoneticPr fontId="1" type="noConversion"/>
  </si>
  <si>
    <t>工况1</t>
    <phoneticPr fontId="1" type="noConversion"/>
  </si>
  <si>
    <t>工况2</t>
  </si>
  <si>
    <t>工况3</t>
  </si>
  <si>
    <t>工况4</t>
  </si>
  <si>
    <t>工况5</t>
  </si>
  <si>
    <t>工况6</t>
  </si>
  <si>
    <t>工况7</t>
  </si>
  <si>
    <t>工况8</t>
  </si>
  <si>
    <t>工况9</t>
  </si>
  <si>
    <t>工况10</t>
  </si>
  <si>
    <t>工况11</t>
  </si>
  <si>
    <t>工况12</t>
  </si>
  <si>
    <t>工况13</t>
  </si>
  <si>
    <t>工况14</t>
  </si>
  <si>
    <t>工况15</t>
  </si>
  <si>
    <t>工况16</t>
  </si>
  <si>
    <t>水Re</t>
    <phoneticPr fontId="1" type="noConversion"/>
  </si>
  <si>
    <t>空气Re</t>
    <phoneticPr fontId="1" type="noConversion"/>
  </si>
  <si>
    <t>水侧压差/kPa</t>
    <phoneticPr fontId="1" type="noConversion"/>
  </si>
  <si>
    <t>样机空气流量kg/h</t>
    <phoneticPr fontId="1" type="noConversion"/>
  </si>
  <si>
    <t>水换热量/W</t>
    <phoneticPr fontId="1" type="noConversion"/>
  </si>
  <si>
    <t>水进口H/kj/kg</t>
    <phoneticPr fontId="1" type="noConversion"/>
  </si>
  <si>
    <t>热电偶1/℃</t>
    <phoneticPr fontId="1" type="noConversion"/>
  </si>
  <si>
    <t>热电偶2/℃</t>
    <phoneticPr fontId="1" type="noConversion"/>
  </si>
  <si>
    <t>热电偶3/℃</t>
    <phoneticPr fontId="1" type="noConversion"/>
  </si>
  <si>
    <t>热电偶4/℃</t>
    <phoneticPr fontId="1" type="noConversion"/>
  </si>
  <si>
    <t>热电偶5/℃</t>
    <phoneticPr fontId="1" type="noConversion"/>
  </si>
  <si>
    <t>热电偶6/℃</t>
    <phoneticPr fontId="1" type="noConversion"/>
  </si>
  <si>
    <t>热电偶7/℃</t>
    <phoneticPr fontId="1" type="noConversion"/>
  </si>
  <si>
    <t>热电偶8/℃</t>
    <phoneticPr fontId="1" type="noConversion"/>
  </si>
  <si>
    <t>压力1/Pa</t>
    <phoneticPr fontId="1" type="noConversion"/>
  </si>
  <si>
    <t>压力2/Pa</t>
    <phoneticPr fontId="1" type="noConversion"/>
  </si>
  <si>
    <t>压力3/Pa</t>
    <phoneticPr fontId="1" type="noConversion"/>
  </si>
  <si>
    <t>压力4/Pa</t>
    <phoneticPr fontId="1" type="noConversion"/>
  </si>
  <si>
    <t>水进口压力/Pa</t>
    <phoneticPr fontId="1" type="noConversion"/>
  </si>
  <si>
    <t>水出口压力/Pa</t>
    <phoneticPr fontId="1" type="noConversion"/>
  </si>
  <si>
    <t>空气换热量/W</t>
    <phoneticPr fontId="1" type="noConversion"/>
  </si>
  <si>
    <t>水侧压差/Pa</t>
    <phoneticPr fontId="1" type="noConversion"/>
  </si>
  <si>
    <t>水出口H/kj/kg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</si>
</sst>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14">
    <xf numFmtId="0" fontId="0" fillId="0" borderId="0" xfId="0"/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0" fontId="3" fillId="0" borderId="0" xfId="2" applyNumberFormat="1">
      <alignment vertical="center"/>
    </xf>
    <xf numFmtId="176" fontId="0" fillId="0" borderId="0" xfId="0" applyNumberFormat="1"/>
    <xf numFmtId="0" fontId="0" fillId="0" borderId="0" xfId="0" applyNumberFormat="1"/>
    <xf numFmtId="11" fontId="3" fillId="0" borderId="0" xfId="2" applyNumberFormat="1">
      <alignment vertical="center"/>
    </xf>
    <xf numFmtId="11" fontId="3" fillId="0" borderId="0" xfId="2" applyNumberFormat="1">
      <alignment vertical="center"/>
    </xf>
    <xf numFmtId="0" fontId="0" fillId="2" borderId="0" xfId="0" applyFill="1"/>
    <xf numFmtId="0" fontId="2" fillId="0" borderId="0" xfId="0" applyFont="1" applyFill="1"/>
    <xf numFmtId="0" fontId="3" fillId="0" borderId="0" xfId="2" applyNumberFormat="1" applyFill="1">
      <alignment vertical="center"/>
    </xf>
  </cellXfs>
  <cellStyles count="3">
    <cellStyle name="常规" xfId="0" builtinId="0"/>
    <cellStyle name="常规 2" xfId="1" xr:uid="{91CDBF36-676F-44E1-989F-89823EB69452}"/>
    <cellStyle name="常规 3" xfId="2" xr:uid="{C4AC9A27-F47E-46DB-AF19-F74E3A80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720-D3B9-4854-9F92-399485C07B8D}">
  <dimension ref="A1:AL56"/>
  <sheetViews>
    <sheetView tabSelected="1" zoomScale="70" zoomScaleNormal="70" workbookViewId="0">
      <selection activeCell="I19" sqref="I19"/>
    </sheetView>
  </sheetViews>
  <sheetFormatPr defaultRowHeight="14" x14ac:dyDescent="0.3"/>
  <cols>
    <col min="1" max="3" width="9" style="1"/>
    <col min="4" max="4" width="18.08203125" customWidth="1"/>
    <col min="5" max="5" width="14.83203125" bestFit="1" customWidth="1"/>
    <col min="6" max="6" width="16.83203125" bestFit="1" customWidth="1"/>
    <col min="7" max="7" width="16.83203125" style="1" customWidth="1"/>
    <col min="8" max="8" width="14.83203125" bestFit="1" customWidth="1"/>
    <col min="9" max="9" width="13.58203125" bestFit="1" customWidth="1"/>
    <col min="10" max="10" width="13.08203125" bestFit="1" customWidth="1"/>
    <col min="11" max="11" width="17.75" bestFit="1" customWidth="1"/>
    <col min="12" max="12" width="17.33203125" bestFit="1" customWidth="1"/>
    <col min="13" max="28" width="17.33203125" style="1" customWidth="1"/>
    <col min="29" max="30" width="16" bestFit="1" customWidth="1"/>
    <col min="31" max="32" width="16.08203125" bestFit="1" customWidth="1"/>
    <col min="33" max="34" width="13.83203125" bestFit="1" customWidth="1"/>
    <col min="35" max="36" width="15" bestFit="1" customWidth="1"/>
  </cols>
  <sheetData>
    <row r="1" spans="1:38" x14ac:dyDescent="0.3">
      <c r="A1" s="2" t="s">
        <v>0</v>
      </c>
    </row>
    <row r="2" spans="1:38" x14ac:dyDescent="0.3">
      <c r="B2" s="2" t="s">
        <v>33</v>
      </c>
      <c r="C2" s="2" t="s">
        <v>34</v>
      </c>
      <c r="D2" s="2" t="s">
        <v>1</v>
      </c>
      <c r="E2" s="2" t="s">
        <v>2</v>
      </c>
      <c r="F2" s="2" t="s">
        <v>3</v>
      </c>
      <c r="G2" s="2" t="s">
        <v>36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13</v>
      </c>
      <c r="Z2" s="2" t="s">
        <v>14</v>
      </c>
      <c r="AA2" s="2" t="s">
        <v>51</v>
      </c>
      <c r="AB2" s="2" t="s">
        <v>52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54</v>
      </c>
      <c r="AH2" s="2" t="s">
        <v>53</v>
      </c>
      <c r="AI2" s="2" t="s">
        <v>37</v>
      </c>
      <c r="AJ2" s="2" t="s">
        <v>38</v>
      </c>
      <c r="AK2" s="2" t="s">
        <v>55</v>
      </c>
    </row>
    <row r="3" spans="1:38" x14ac:dyDescent="0.3">
      <c r="A3" s="2" t="s">
        <v>17</v>
      </c>
      <c r="B3" s="2">
        <v>50</v>
      </c>
      <c r="C3" s="2">
        <v>500</v>
      </c>
      <c r="D3" s="1">
        <f>C3*0.000024085*18.0565/3.438/1000</f>
        <v>6.3247644342641078E-5</v>
      </c>
      <c r="E3">
        <f>B3*0.001137568*18.0565/3.438/1000</f>
        <v>2.987274082606166E-4</v>
      </c>
      <c r="F3" s="4">
        <f>D3*36</f>
        <v>2.2769151963350789E-3</v>
      </c>
      <c r="G3" s="4">
        <f>F3*3600</f>
        <v>8.1968947068062832</v>
      </c>
      <c r="H3" s="4">
        <f>E3*36</f>
        <v>1.0754186697382198E-2</v>
      </c>
      <c r="I3" s="5">
        <f t="shared" ref="I3:I18" si="0">F3*1000/1.292*60</f>
        <v>105.73909580503461</v>
      </c>
      <c r="J3" s="3">
        <f>H3/999.102*1000000*60</f>
        <v>645.83115822301613</v>
      </c>
      <c r="K3">
        <v>106</v>
      </c>
      <c r="L3">
        <v>632</v>
      </c>
      <c r="M3" s="1">
        <v>18.119641209636089</v>
      </c>
      <c r="N3" s="1">
        <v>18.135095289129151</v>
      </c>
      <c r="O3" s="1">
        <v>23.569693397325349</v>
      </c>
      <c r="P3" s="1">
        <v>23.531497134336718</v>
      </c>
      <c r="Q3" s="1">
        <v>125.59342155537959</v>
      </c>
      <c r="R3" s="1">
        <v>126.47194702017562</v>
      </c>
      <c r="S3" s="1">
        <v>18.385270723638239</v>
      </c>
      <c r="T3" s="1">
        <v>18.396531149526918</v>
      </c>
      <c r="U3" s="1">
        <v>1155.7019477191184</v>
      </c>
      <c r="V3" s="1">
        <v>6.5753459764223408</v>
      </c>
      <c r="W3" s="1">
        <v>2214.0672731932345</v>
      </c>
      <c r="X3" s="1">
        <v>2126.2191184008198</v>
      </c>
      <c r="Y3" s="6">
        <f>M3/2+N3/2</f>
        <v>18.12736824938262</v>
      </c>
      <c r="Z3" s="6">
        <f>O3/2+P3/2</f>
        <v>23.550595265831035</v>
      </c>
      <c r="AA3" s="6">
        <f>W3</f>
        <v>2214.0672731932345</v>
      </c>
      <c r="AB3" s="6">
        <f>X3</f>
        <v>2126.2191184008198</v>
      </c>
      <c r="AC3" s="6">
        <f>Q3/2+R3/2</f>
        <v>126.03268428777761</v>
      </c>
      <c r="AD3" s="6">
        <f>S3/2+T3/2</f>
        <v>18.390900936582579</v>
      </c>
      <c r="AE3" s="6">
        <f>U3</f>
        <v>1155.7019477191184</v>
      </c>
      <c r="AF3" s="6">
        <f>V3</f>
        <v>6.5753459764223408</v>
      </c>
      <c r="AG3" s="1">
        <f>AA3-AB3</f>
        <v>87.848154792414789</v>
      </c>
      <c r="AH3" s="1">
        <f>1011*K3/I3*F3*(AC3-AD3)</f>
        <v>248.39861410269177</v>
      </c>
      <c r="AI3">
        <f>L3/J3*H3*(AK3-AJ3)*1000</f>
        <v>238.76566238720005</v>
      </c>
      <c r="AJ3">
        <v>76.17</v>
      </c>
      <c r="AK3">
        <v>98.858000000000004</v>
      </c>
      <c r="AL3">
        <f>AI3/AH3</f>
        <v>0.96121978477903547</v>
      </c>
    </row>
    <row r="4" spans="1:38" x14ac:dyDescent="0.3">
      <c r="A4" s="2" t="s">
        <v>18</v>
      </c>
      <c r="B4" s="2">
        <v>100</v>
      </c>
      <c r="C4" s="2">
        <v>1000</v>
      </c>
      <c r="D4" s="1">
        <f t="shared" ref="D4:D18" si="1">C4*0.000024085*18.0565/3.438/1000</f>
        <v>1.2649528868528216E-4</v>
      </c>
      <c r="E4" s="1">
        <f t="shared" ref="E4:E18" si="2">B4*0.001137568*18.0565/3.438/1000</f>
        <v>5.974548165212332E-4</v>
      </c>
      <c r="F4" s="4">
        <f t="shared" ref="F4:F18" si="3">D4*36</f>
        <v>4.5538303926701577E-3</v>
      </c>
      <c r="G4" s="4">
        <f t="shared" ref="G4:G18" si="4">F4*3600</f>
        <v>16.393789413612566</v>
      </c>
      <c r="H4" s="4">
        <f t="shared" ref="H4:H18" si="5">E4*36</f>
        <v>2.1508373394764396E-2</v>
      </c>
      <c r="I4" s="5">
        <f t="shared" si="0"/>
        <v>211.47819161006922</v>
      </c>
      <c r="J4" s="3">
        <f t="shared" ref="J4:J18" si="6">H4/999.102*1000000*60</f>
        <v>1291.6623164460323</v>
      </c>
      <c r="K4">
        <v>211</v>
      </c>
      <c r="L4">
        <v>1255</v>
      </c>
      <c r="M4" s="1">
        <v>18.1313931183312</v>
      </c>
      <c r="N4" s="1">
        <v>18.144789375592683</v>
      </c>
      <c r="O4" s="1">
        <v>24.945700319342443</v>
      </c>
      <c r="P4" s="1">
        <v>25.21091454044095</v>
      </c>
      <c r="Q4" s="1">
        <v>153.13782269403021</v>
      </c>
      <c r="R4" s="1">
        <v>153.99122440082334</v>
      </c>
      <c r="S4" s="1">
        <v>18.349704308399577</v>
      </c>
      <c r="T4" s="1">
        <v>18.361512463078437</v>
      </c>
      <c r="U4" s="1">
        <v>5593.6167126243854</v>
      </c>
      <c r="V4" s="1">
        <v>398.44455101306801</v>
      </c>
      <c r="W4" s="1">
        <v>2020.3907205371061</v>
      </c>
      <c r="X4" s="1">
        <v>1805.5261359549213</v>
      </c>
      <c r="Y4" s="6">
        <f t="shared" ref="Y4:Y18" si="7">M4/2+N4/2</f>
        <v>18.138091246961942</v>
      </c>
      <c r="Z4" s="6">
        <f t="shared" ref="Z4:Z18" si="8">O4/2+P4/2</f>
        <v>25.078307429891694</v>
      </c>
      <c r="AA4" s="6">
        <f t="shared" ref="AA4:AA18" si="9">W4</f>
        <v>2020.3907205371061</v>
      </c>
      <c r="AB4" s="6">
        <f t="shared" ref="AB4:AB18" si="10">X4</f>
        <v>1805.5261359549213</v>
      </c>
      <c r="AC4" s="6">
        <f t="shared" ref="AC4:AC18" si="11">Q4/2+R4/2</f>
        <v>153.56452354742677</v>
      </c>
      <c r="AD4" s="6">
        <f t="shared" ref="AD4:AD18" si="12">S4/2+T4/2</f>
        <v>18.355608385739007</v>
      </c>
      <c r="AE4" s="6">
        <f t="shared" ref="AE4:AE18" si="13">U4</f>
        <v>5593.6167126243854</v>
      </c>
      <c r="AF4" s="6">
        <f t="shared" ref="AF4:AF18" si="14">V4</f>
        <v>398.44455101306801</v>
      </c>
      <c r="AG4" s="1">
        <f t="shared" ref="AG4:AG18" si="15">AA4-AB4</f>
        <v>214.86458458218476</v>
      </c>
      <c r="AH4" s="1">
        <f t="shared" ref="AH4:AH18" si="16">1011*K4/I4*F4*(AC4-AD4)</f>
        <v>621.08380134397771</v>
      </c>
      <c r="AI4" s="1">
        <f t="shared" ref="AI4:AI18" si="17">L4/J4*H4*(AK4-AJ4)*1000</f>
        <v>606.68645588850018</v>
      </c>
      <c r="AJ4" s="1">
        <v>76.216999999999999</v>
      </c>
      <c r="AK4" s="1">
        <v>105.248</v>
      </c>
      <c r="AL4" s="1">
        <f t="shared" ref="AL4:AL18" si="18">AI4/AH4</f>
        <v>0.97681899701083363</v>
      </c>
    </row>
    <row r="5" spans="1:38" x14ac:dyDescent="0.3">
      <c r="A5" s="2" t="s">
        <v>19</v>
      </c>
      <c r="B5" s="2">
        <v>150</v>
      </c>
      <c r="C5" s="2">
        <v>1500</v>
      </c>
      <c r="D5" s="1">
        <f t="shared" si="1"/>
        <v>1.8974293302792319E-4</v>
      </c>
      <c r="E5" s="1">
        <f t="shared" si="2"/>
        <v>8.9618222478184996E-4</v>
      </c>
      <c r="F5" s="4">
        <f t="shared" si="3"/>
        <v>6.8307455890052353E-3</v>
      </c>
      <c r="G5" s="4">
        <f t="shared" si="4"/>
        <v>24.590684120418846</v>
      </c>
      <c r="H5" s="4">
        <f t="shared" si="5"/>
        <v>3.2262560092146599E-2</v>
      </c>
      <c r="I5" s="5">
        <f t="shared" si="0"/>
        <v>317.21728741510378</v>
      </c>
      <c r="J5" s="3">
        <f t="shared" si="6"/>
        <v>1937.4934746690487</v>
      </c>
      <c r="K5">
        <v>317</v>
      </c>
      <c r="L5">
        <v>1938</v>
      </c>
      <c r="M5" s="1">
        <v>22.161014760147818</v>
      </c>
      <c r="N5" s="1">
        <v>22.156291233366872</v>
      </c>
      <c r="O5" s="1">
        <v>28.888543413843152</v>
      </c>
      <c r="P5" s="1">
        <v>28.764952057474968</v>
      </c>
      <c r="Q5" s="1">
        <v>162.7910269204975</v>
      </c>
      <c r="R5" s="1">
        <v>163.58562311304971</v>
      </c>
      <c r="S5" s="1">
        <v>21.912245331544302</v>
      </c>
      <c r="T5" s="1">
        <v>21.835757296209152</v>
      </c>
      <c r="U5" s="1">
        <v>12118.501383763838</v>
      </c>
      <c r="V5" s="1">
        <v>1015.4718634686346</v>
      </c>
      <c r="W5" s="1">
        <v>-2765.3907595325954</v>
      </c>
      <c r="X5" s="1">
        <v>-3189.5492773677734</v>
      </c>
      <c r="Y5" s="6">
        <f t="shared" si="7"/>
        <v>22.158652996757347</v>
      </c>
      <c r="Z5" s="6">
        <f t="shared" si="8"/>
        <v>28.826747735659062</v>
      </c>
      <c r="AA5" s="6">
        <f t="shared" si="9"/>
        <v>-2765.3907595325954</v>
      </c>
      <c r="AB5" s="6">
        <f t="shared" si="10"/>
        <v>-3189.5492773677734</v>
      </c>
      <c r="AC5" s="6">
        <f t="shared" si="11"/>
        <v>163.1883250167736</v>
      </c>
      <c r="AD5" s="6">
        <f t="shared" si="12"/>
        <v>21.874001313876725</v>
      </c>
      <c r="AE5" s="6">
        <f t="shared" si="13"/>
        <v>12118.501383763838</v>
      </c>
      <c r="AF5" s="6">
        <f t="shared" si="14"/>
        <v>1015.4718634686346</v>
      </c>
      <c r="AG5" s="1">
        <f t="shared" si="15"/>
        <v>424.15851783517792</v>
      </c>
      <c r="AH5" s="1">
        <f t="shared" si="16"/>
        <v>975.23182549094736</v>
      </c>
      <c r="AI5" s="1">
        <f t="shared" si="17"/>
        <v>899.74760044259995</v>
      </c>
      <c r="AJ5" s="1">
        <v>93.037000000000006</v>
      </c>
      <c r="AK5" s="1">
        <v>120.91800000000001</v>
      </c>
      <c r="AL5" s="1">
        <f t="shared" si="18"/>
        <v>0.92259868569163295</v>
      </c>
    </row>
    <row r="6" spans="1:38" x14ac:dyDescent="0.3">
      <c r="A6" s="2" t="s">
        <v>20</v>
      </c>
      <c r="B6" s="2">
        <v>200</v>
      </c>
      <c r="C6" s="2">
        <v>2000</v>
      </c>
      <c r="D6" s="1">
        <f t="shared" si="1"/>
        <v>2.5299057737056431E-4</v>
      </c>
      <c r="E6" s="1">
        <f t="shared" si="2"/>
        <v>1.1949096330424664E-3</v>
      </c>
      <c r="F6" s="4">
        <f t="shared" si="3"/>
        <v>9.1076607853403154E-3</v>
      </c>
      <c r="G6" s="4">
        <f t="shared" si="4"/>
        <v>32.787578827225133</v>
      </c>
      <c r="H6" s="4">
        <f t="shared" si="5"/>
        <v>4.3016746789528791E-2</v>
      </c>
      <c r="I6" s="5">
        <f t="shared" si="0"/>
        <v>422.95638322013843</v>
      </c>
      <c r="J6" s="3">
        <f t="shared" si="6"/>
        <v>2583.3246328920645</v>
      </c>
      <c r="K6">
        <v>423</v>
      </c>
      <c r="L6">
        <v>2570</v>
      </c>
      <c r="M6" s="1">
        <v>23.898936700260222</v>
      </c>
      <c r="N6" s="1">
        <v>23.898780947283473</v>
      </c>
      <c r="O6" s="1">
        <v>30.569146086616424</v>
      </c>
      <c r="P6" s="1">
        <v>30.375904715825364</v>
      </c>
      <c r="Q6" s="1">
        <v>161.34669881924378</v>
      </c>
      <c r="R6" s="1">
        <v>162.27610669027621</v>
      </c>
      <c r="S6" s="1">
        <v>24.043829793806044</v>
      </c>
      <c r="T6" s="1">
        <v>23.952396825232533</v>
      </c>
      <c r="U6" s="1">
        <v>20262.854376627787</v>
      </c>
      <c r="V6" s="1">
        <v>1806.7926622126602</v>
      </c>
      <c r="W6" s="1">
        <v>-881.37736383195579</v>
      </c>
      <c r="X6" s="1">
        <v>-1522.1329973955385</v>
      </c>
      <c r="Y6" s="6">
        <f t="shared" si="7"/>
        <v>23.898858823771846</v>
      </c>
      <c r="Z6" s="6">
        <f t="shared" si="8"/>
        <v>30.472525401220892</v>
      </c>
      <c r="AA6" s="6">
        <f t="shared" si="9"/>
        <v>-881.37736383195579</v>
      </c>
      <c r="AB6" s="6">
        <f t="shared" si="10"/>
        <v>-1522.1329973955385</v>
      </c>
      <c r="AC6" s="6">
        <f t="shared" si="11"/>
        <v>161.81140275476</v>
      </c>
      <c r="AD6" s="6">
        <f t="shared" si="12"/>
        <v>23.99811330951929</v>
      </c>
      <c r="AE6" s="6">
        <f t="shared" si="13"/>
        <v>20262.854376627787</v>
      </c>
      <c r="AF6" s="6">
        <f t="shared" si="14"/>
        <v>1806.7926622126602</v>
      </c>
      <c r="AG6" s="1">
        <f t="shared" si="15"/>
        <v>640.75563356358271</v>
      </c>
      <c r="AH6" s="1">
        <f t="shared" si="16"/>
        <v>1269.0942756515699</v>
      </c>
      <c r="AI6" s="1">
        <f t="shared" si="17"/>
        <v>1176.088589858</v>
      </c>
      <c r="AJ6" s="1">
        <v>100.315</v>
      </c>
      <c r="AK6" s="1">
        <v>127.797</v>
      </c>
      <c r="AL6" s="1">
        <f t="shared" si="18"/>
        <v>0.92671491190375155</v>
      </c>
    </row>
    <row r="7" spans="1:38" x14ac:dyDescent="0.3">
      <c r="A7" s="2" t="s">
        <v>21</v>
      </c>
      <c r="B7" s="2">
        <v>250</v>
      </c>
      <c r="C7" s="2">
        <v>3000</v>
      </c>
      <c r="D7" s="1">
        <f t="shared" si="1"/>
        <v>3.7948586605584639E-4</v>
      </c>
      <c r="E7" s="1">
        <f t="shared" si="2"/>
        <v>1.4936370413030833E-3</v>
      </c>
      <c r="F7" s="4">
        <f t="shared" si="3"/>
        <v>1.3661491178010471E-2</v>
      </c>
      <c r="G7" s="4">
        <f t="shared" si="4"/>
        <v>49.181368240837692</v>
      </c>
      <c r="H7" s="4">
        <f t="shared" si="5"/>
        <v>5.3770933486910998E-2</v>
      </c>
      <c r="I7" s="5">
        <f t="shared" si="0"/>
        <v>634.43457483020757</v>
      </c>
      <c r="J7" s="3">
        <f t="shared" si="6"/>
        <v>3229.1557911150817</v>
      </c>
      <c r="K7">
        <v>634</v>
      </c>
      <c r="L7">
        <v>3233</v>
      </c>
      <c r="M7" s="1">
        <v>26.577533603238532</v>
      </c>
      <c r="N7" s="1">
        <v>26.556847110784592</v>
      </c>
      <c r="O7" s="1">
        <v>34.152197865292578</v>
      </c>
      <c r="P7" s="1">
        <v>34.20901715126999</v>
      </c>
      <c r="Q7" s="1">
        <v>163.41994258373234</v>
      </c>
      <c r="R7" s="1">
        <v>164.36099006256941</v>
      </c>
      <c r="S7" s="1">
        <v>26.925849098269367</v>
      </c>
      <c r="T7" s="1">
        <v>26.830052999632052</v>
      </c>
      <c r="U7" s="1">
        <v>40044.293927125509</v>
      </c>
      <c r="V7" s="1">
        <v>3784.1546558704449</v>
      </c>
      <c r="W7" s="1">
        <v>-1977.0850202429151</v>
      </c>
      <c r="X7" s="1">
        <v>-2996.7425101214576</v>
      </c>
      <c r="Y7" s="6">
        <f t="shared" si="7"/>
        <v>26.567190357011562</v>
      </c>
      <c r="Z7" s="6">
        <f t="shared" si="8"/>
        <v>34.180607508281284</v>
      </c>
      <c r="AA7" s="6">
        <f t="shared" si="9"/>
        <v>-1977.0850202429151</v>
      </c>
      <c r="AB7" s="6">
        <f t="shared" si="10"/>
        <v>-2996.7425101214576</v>
      </c>
      <c r="AC7" s="6">
        <f t="shared" si="11"/>
        <v>163.89046632315086</v>
      </c>
      <c r="AD7" s="6">
        <f t="shared" si="12"/>
        <v>26.87795104895071</v>
      </c>
      <c r="AE7" s="6">
        <f t="shared" si="13"/>
        <v>40044.293927125509</v>
      </c>
      <c r="AF7" s="6">
        <f t="shared" si="14"/>
        <v>3784.1546558704449</v>
      </c>
      <c r="AG7" s="1">
        <f t="shared" si="15"/>
        <v>1019.6574898785425</v>
      </c>
      <c r="AH7" s="1">
        <f t="shared" si="16"/>
        <v>1891.0887712541967</v>
      </c>
      <c r="AI7" s="1">
        <f t="shared" si="17"/>
        <v>1713.1894897402992</v>
      </c>
      <c r="AJ7" s="1">
        <v>111.47199999999999</v>
      </c>
      <c r="AK7" s="1">
        <v>143.29499999999999</v>
      </c>
      <c r="AL7" s="1">
        <f t="shared" si="18"/>
        <v>0.90592758826656661</v>
      </c>
    </row>
    <row r="8" spans="1:38" x14ac:dyDescent="0.3">
      <c r="A8" s="2" t="s">
        <v>22</v>
      </c>
      <c r="B8" s="2">
        <v>300</v>
      </c>
      <c r="C8" s="2">
        <v>4000</v>
      </c>
      <c r="D8" s="1">
        <f t="shared" si="1"/>
        <v>5.0598115474112862E-4</v>
      </c>
      <c r="E8" s="1">
        <f t="shared" si="2"/>
        <v>1.7923644495636999E-3</v>
      </c>
      <c r="F8" s="4">
        <f t="shared" si="3"/>
        <v>1.8215321570680631E-2</v>
      </c>
      <c r="G8" s="4">
        <f t="shared" si="4"/>
        <v>65.575157654450265</v>
      </c>
      <c r="H8" s="4">
        <f t="shared" si="5"/>
        <v>6.4525120184293197E-2</v>
      </c>
      <c r="I8" s="5">
        <f t="shared" si="0"/>
        <v>845.91276644027687</v>
      </c>
      <c r="J8" s="3">
        <f t="shared" si="6"/>
        <v>3874.9869493380975</v>
      </c>
      <c r="K8">
        <v>846</v>
      </c>
      <c r="L8">
        <v>3940</v>
      </c>
      <c r="M8" s="1">
        <v>29.679342828586023</v>
      </c>
      <c r="N8" s="1">
        <v>29.753876698014377</v>
      </c>
      <c r="O8" s="1">
        <v>37.762908318568194</v>
      </c>
      <c r="P8" s="1">
        <v>37.908117077824656</v>
      </c>
      <c r="Q8" s="1">
        <v>165.92541660987564</v>
      </c>
      <c r="R8" s="1">
        <v>166.66330039525667</v>
      </c>
      <c r="S8" s="1">
        <v>29.858041206669075</v>
      </c>
      <c r="T8" s="1">
        <v>29.738155013402658</v>
      </c>
      <c r="U8" s="1">
        <v>64986.857571214394</v>
      </c>
      <c r="V8" s="1">
        <v>6284.1371814092954</v>
      </c>
      <c r="W8" s="1">
        <v>-444.65317341329319</v>
      </c>
      <c r="X8" s="1">
        <v>-1991.9147926036981</v>
      </c>
      <c r="Y8" s="6">
        <f t="shared" si="7"/>
        <v>29.716609763300198</v>
      </c>
      <c r="Z8" s="6">
        <f t="shared" si="8"/>
        <v>37.835512698196425</v>
      </c>
      <c r="AA8" s="6">
        <f t="shared" si="9"/>
        <v>-444.65317341329319</v>
      </c>
      <c r="AB8" s="6">
        <f t="shared" si="10"/>
        <v>-1991.9147926036981</v>
      </c>
      <c r="AC8" s="6">
        <f t="shared" si="11"/>
        <v>166.29435850256615</v>
      </c>
      <c r="AD8" s="6">
        <f t="shared" si="12"/>
        <v>29.798098110035866</v>
      </c>
      <c r="AE8" s="6">
        <f t="shared" si="13"/>
        <v>64986.857571214394</v>
      </c>
      <c r="AF8" s="6">
        <f t="shared" si="14"/>
        <v>6284.1371814092954</v>
      </c>
      <c r="AG8" s="1">
        <f t="shared" si="15"/>
        <v>1547.2616191904049</v>
      </c>
      <c r="AH8" s="1">
        <f t="shared" si="16"/>
        <v>2513.9320512458539</v>
      </c>
      <c r="AI8" s="1">
        <f t="shared" si="17"/>
        <v>2226.200408535999</v>
      </c>
      <c r="AJ8" s="1">
        <v>124.63800000000001</v>
      </c>
      <c r="AK8" s="1">
        <v>158.57</v>
      </c>
      <c r="AL8" s="1">
        <f t="shared" si="18"/>
        <v>0.88554517908816954</v>
      </c>
    </row>
    <row r="9" spans="1:38" x14ac:dyDescent="0.3">
      <c r="A9" s="2" t="s">
        <v>23</v>
      </c>
      <c r="B9" s="2">
        <v>350</v>
      </c>
      <c r="C9" s="2">
        <v>4500</v>
      </c>
      <c r="D9" s="1">
        <f t="shared" si="1"/>
        <v>5.6922879908376971E-4</v>
      </c>
      <c r="E9" s="1">
        <f t="shared" si="2"/>
        <v>2.0910918578243166E-3</v>
      </c>
      <c r="F9" s="4">
        <f t="shared" si="3"/>
        <v>2.0492236767015708E-2</v>
      </c>
      <c r="G9" s="4">
        <f t="shared" si="4"/>
        <v>73.772052361256556</v>
      </c>
      <c r="H9" s="4">
        <f t="shared" si="5"/>
        <v>7.527930688167539E-2</v>
      </c>
      <c r="I9" s="5">
        <f t="shared" si="0"/>
        <v>951.65186224531146</v>
      </c>
      <c r="J9" s="3">
        <f t="shared" si="6"/>
        <v>4520.8181075611128</v>
      </c>
      <c r="K9">
        <v>952</v>
      </c>
      <c r="L9">
        <v>4520</v>
      </c>
      <c r="M9" s="1">
        <v>34.843241017964004</v>
      </c>
      <c r="N9" s="1">
        <v>34.848413400471415</v>
      </c>
      <c r="O9" s="1">
        <v>41.989486481582126</v>
      </c>
      <c r="P9" s="1">
        <v>42.080514198875044</v>
      </c>
      <c r="Q9" s="1">
        <v>160.23955974414903</v>
      </c>
      <c r="R9" s="1">
        <v>160.82448943023326</v>
      </c>
      <c r="S9" s="1">
        <v>34.885997550354091</v>
      </c>
      <c r="T9" s="1">
        <v>34.728509798583858</v>
      </c>
      <c r="U9" s="1">
        <v>78818.642964071856</v>
      </c>
      <c r="V9" s="1">
        <v>7751.3517964071852</v>
      </c>
      <c r="W9" s="1">
        <v>-897.94860279441127</v>
      </c>
      <c r="X9" s="1">
        <v>-2923.2122005988022</v>
      </c>
      <c r="Y9" s="6">
        <f t="shared" si="7"/>
        <v>34.84582720921771</v>
      </c>
      <c r="Z9" s="6">
        <f t="shared" si="8"/>
        <v>42.035000340228585</v>
      </c>
      <c r="AA9" s="6">
        <f t="shared" si="9"/>
        <v>-897.94860279441127</v>
      </c>
      <c r="AB9" s="6">
        <f t="shared" si="10"/>
        <v>-2923.2122005988022</v>
      </c>
      <c r="AC9" s="6">
        <f t="shared" si="11"/>
        <v>160.53202458719113</v>
      </c>
      <c r="AD9" s="6">
        <f t="shared" si="12"/>
        <v>34.807253674468974</v>
      </c>
      <c r="AE9" s="6">
        <f t="shared" si="13"/>
        <v>78818.642964071856</v>
      </c>
      <c r="AF9" s="6">
        <f t="shared" si="14"/>
        <v>7751.3517964071852</v>
      </c>
      <c r="AG9" s="1">
        <f t="shared" si="15"/>
        <v>2025.2635978043909</v>
      </c>
      <c r="AH9" s="1">
        <f t="shared" si="16"/>
        <v>2605.674844153385</v>
      </c>
      <c r="AI9" s="1">
        <f t="shared" si="17"/>
        <v>2261.508007148002</v>
      </c>
      <c r="AJ9" s="1">
        <v>146.07499999999999</v>
      </c>
      <c r="AK9" s="1">
        <v>176.12200000000001</v>
      </c>
      <c r="AL9" s="1">
        <f t="shared" si="18"/>
        <v>0.86791642948941816</v>
      </c>
    </row>
    <row r="10" spans="1:38" x14ac:dyDescent="0.3">
      <c r="A10" s="2" t="s">
        <v>24</v>
      </c>
      <c r="B10" s="2">
        <v>400</v>
      </c>
      <c r="C10" s="2">
        <v>5000</v>
      </c>
      <c r="D10" s="1">
        <f t="shared" si="1"/>
        <v>6.3247644342641059E-4</v>
      </c>
      <c r="E10" s="1">
        <f t="shared" si="2"/>
        <v>2.3898192660849328E-3</v>
      </c>
      <c r="F10" s="4">
        <f t="shared" si="3"/>
        <v>2.2769151963350782E-2</v>
      </c>
      <c r="G10" s="4">
        <f t="shared" si="4"/>
        <v>81.968947068062818</v>
      </c>
      <c r="H10" s="4">
        <f t="shared" si="5"/>
        <v>8.6033493579057582E-2</v>
      </c>
      <c r="I10" s="5">
        <f t="shared" si="0"/>
        <v>1057.3909580503459</v>
      </c>
      <c r="J10" s="3">
        <f t="shared" si="6"/>
        <v>5166.6492657841291</v>
      </c>
      <c r="K10">
        <v>1057</v>
      </c>
      <c r="L10">
        <v>5193</v>
      </c>
      <c r="M10" s="1">
        <v>26.89347691247405</v>
      </c>
      <c r="N10" s="1">
        <v>26.884687989473811</v>
      </c>
      <c r="O10" s="1">
        <v>33.58239803270466</v>
      </c>
      <c r="P10" s="1">
        <v>33.539152152120856</v>
      </c>
      <c r="Q10" s="1">
        <v>148.67479919804899</v>
      </c>
      <c r="R10" s="1">
        <v>149.14187738863637</v>
      </c>
      <c r="S10" s="1">
        <v>27.440698107887165</v>
      </c>
      <c r="T10" s="1">
        <v>27.386973247288942</v>
      </c>
      <c r="U10" s="1">
        <v>91037.401447277734</v>
      </c>
      <c r="V10" s="1">
        <v>9040.8242591316339</v>
      </c>
      <c r="W10" s="1">
        <v>647.60139558924857</v>
      </c>
      <c r="X10" s="1">
        <v>-2015.0833046175053</v>
      </c>
      <c r="Y10" s="6">
        <f t="shared" si="7"/>
        <v>26.88908245097393</v>
      </c>
      <c r="Z10" s="6">
        <f t="shared" si="8"/>
        <v>33.560775092412754</v>
      </c>
      <c r="AA10" s="6">
        <f t="shared" si="9"/>
        <v>647.60139558924857</v>
      </c>
      <c r="AB10" s="6">
        <f t="shared" si="10"/>
        <v>-2015.0833046175053</v>
      </c>
      <c r="AC10" s="6">
        <f t="shared" si="11"/>
        <v>148.90833829334269</v>
      </c>
      <c r="AD10" s="6">
        <f t="shared" si="12"/>
        <v>27.413835677588054</v>
      </c>
      <c r="AE10" s="6">
        <f t="shared" si="13"/>
        <v>91037.401447277734</v>
      </c>
      <c r="AF10" s="6">
        <f t="shared" si="14"/>
        <v>9040.8242591316339</v>
      </c>
      <c r="AG10" s="1">
        <f t="shared" si="15"/>
        <v>2662.6847002067539</v>
      </c>
      <c r="AH10" s="1">
        <f t="shared" si="16"/>
        <v>2795.7223192336955</v>
      </c>
      <c r="AI10" s="1">
        <f t="shared" si="17"/>
        <v>2411.4524193747011</v>
      </c>
      <c r="AJ10" s="1">
        <v>112.818</v>
      </c>
      <c r="AK10" s="1">
        <v>140.70500000000001</v>
      </c>
      <c r="AL10" s="1">
        <f t="shared" si="18"/>
        <v>0.86255076292257726</v>
      </c>
    </row>
    <row r="11" spans="1:38" x14ac:dyDescent="0.3">
      <c r="A11" s="2" t="s">
        <v>25</v>
      </c>
      <c r="B11" s="2">
        <v>450</v>
      </c>
      <c r="C11" s="2">
        <v>5500</v>
      </c>
      <c r="D11" s="1">
        <f t="shared" si="1"/>
        <v>6.9572408776905168E-4</v>
      </c>
      <c r="E11" s="1">
        <f t="shared" si="2"/>
        <v>2.6885466743455503E-3</v>
      </c>
      <c r="F11" s="4">
        <f t="shared" si="3"/>
        <v>2.504606715968586E-2</v>
      </c>
      <c r="G11" s="4">
        <f t="shared" si="4"/>
        <v>90.165841774869094</v>
      </c>
      <c r="H11" s="4">
        <f t="shared" si="5"/>
        <v>9.6787680276439816E-2</v>
      </c>
      <c r="I11" s="5">
        <f t="shared" si="0"/>
        <v>1163.1300538553805</v>
      </c>
      <c r="J11" s="3">
        <f t="shared" si="6"/>
        <v>5812.4804240071471</v>
      </c>
      <c r="K11">
        <v>1163</v>
      </c>
      <c r="L11">
        <v>5817</v>
      </c>
      <c r="M11" s="1">
        <v>29.951769793745928</v>
      </c>
      <c r="N11" s="1">
        <v>29.939535877739441</v>
      </c>
      <c r="O11" s="1">
        <v>35.990083066190685</v>
      </c>
      <c r="P11" s="1">
        <v>35.816107179580328</v>
      </c>
      <c r="Q11" s="1">
        <v>139.67884090405417</v>
      </c>
      <c r="R11" s="1">
        <v>140.16728300973753</v>
      </c>
      <c r="S11" s="1">
        <v>30.035190830460806</v>
      </c>
      <c r="T11" s="1">
        <v>29.964457347930548</v>
      </c>
      <c r="U11" s="1">
        <v>105298.07119095144</v>
      </c>
      <c r="V11" s="1">
        <v>10801.036593479706</v>
      </c>
      <c r="W11" s="1">
        <v>916.52661343978707</v>
      </c>
      <c r="X11" s="1">
        <v>-2362.6992681304059</v>
      </c>
      <c r="Y11" s="6">
        <f t="shared" si="7"/>
        <v>29.945652835742685</v>
      </c>
      <c r="Z11" s="6">
        <f t="shared" si="8"/>
        <v>35.903095122885503</v>
      </c>
      <c r="AA11" s="6">
        <f t="shared" si="9"/>
        <v>916.52661343978707</v>
      </c>
      <c r="AB11" s="6">
        <f t="shared" si="10"/>
        <v>-2362.6992681304059</v>
      </c>
      <c r="AC11" s="6">
        <f t="shared" si="11"/>
        <v>139.92306195689585</v>
      </c>
      <c r="AD11" s="6">
        <f t="shared" si="12"/>
        <v>29.999824089195677</v>
      </c>
      <c r="AE11" s="6">
        <f t="shared" si="13"/>
        <v>105298.07119095144</v>
      </c>
      <c r="AF11" s="6">
        <f t="shared" si="14"/>
        <v>10801.036593479706</v>
      </c>
      <c r="AG11" s="1">
        <f t="shared" si="15"/>
        <v>3279.225881570193</v>
      </c>
      <c r="AH11" s="1">
        <f t="shared" si="16"/>
        <v>2783.1181653308736</v>
      </c>
      <c r="AI11" s="1">
        <f t="shared" si="17"/>
        <v>2411.7903156711004</v>
      </c>
      <c r="AJ11" s="1">
        <v>125.595</v>
      </c>
      <c r="AK11" s="1">
        <v>150.494</v>
      </c>
      <c r="AL11" s="1">
        <f t="shared" si="18"/>
        <v>0.86657848226303125</v>
      </c>
    </row>
    <row r="12" spans="1:38" x14ac:dyDescent="0.3">
      <c r="A12" s="2" t="s">
        <v>26</v>
      </c>
      <c r="B12" s="2">
        <v>500</v>
      </c>
      <c r="C12" s="2">
        <v>6000</v>
      </c>
      <c r="D12" s="1">
        <f t="shared" si="1"/>
        <v>7.5897173211169277E-4</v>
      </c>
      <c r="E12" s="1">
        <f t="shared" si="2"/>
        <v>2.9872740826061665E-3</v>
      </c>
      <c r="F12" s="4">
        <f t="shared" si="3"/>
        <v>2.7322982356020941E-2</v>
      </c>
      <c r="G12" s="4">
        <f t="shared" si="4"/>
        <v>98.362736481675384</v>
      </c>
      <c r="H12" s="4">
        <f t="shared" si="5"/>
        <v>0.107541866973822</v>
      </c>
      <c r="I12" s="5">
        <f t="shared" si="0"/>
        <v>1268.8691496604151</v>
      </c>
      <c r="J12" s="3">
        <f t="shared" si="6"/>
        <v>6458.3115822301634</v>
      </c>
      <c r="K12">
        <v>1269</v>
      </c>
      <c r="L12">
        <v>6436</v>
      </c>
      <c r="M12" s="1">
        <v>30.898382895593887</v>
      </c>
      <c r="N12" s="1">
        <v>30.872162914142521</v>
      </c>
      <c r="O12" s="1">
        <v>36.178977445389386</v>
      </c>
      <c r="P12" s="1">
        <v>35.976573593543165</v>
      </c>
      <c r="Q12" s="1">
        <v>131.07579059533802</v>
      </c>
      <c r="R12" s="1">
        <v>131.39733626694607</v>
      </c>
      <c r="S12" s="1">
        <v>30.792637488407625</v>
      </c>
      <c r="T12" s="1">
        <v>30.730398602916733</v>
      </c>
      <c r="U12" s="1">
        <v>119142.12372476666</v>
      </c>
      <c r="V12" s="1">
        <v>12536.856305621879</v>
      </c>
      <c r="W12" s="1">
        <v>1792.0366833080097</v>
      </c>
      <c r="X12" s="1">
        <v>-2140.7685044497503</v>
      </c>
      <c r="Y12" s="6">
        <f t="shared" si="7"/>
        <v>30.885272904868202</v>
      </c>
      <c r="Z12" s="6">
        <f t="shared" si="8"/>
        <v>36.077775519466272</v>
      </c>
      <c r="AA12" s="6">
        <f t="shared" si="9"/>
        <v>1792.0366833080097</v>
      </c>
      <c r="AB12" s="6">
        <f t="shared" si="10"/>
        <v>-2140.7685044497503</v>
      </c>
      <c r="AC12" s="6">
        <f t="shared" si="11"/>
        <v>131.23656343114203</v>
      </c>
      <c r="AD12" s="6">
        <f t="shared" si="12"/>
        <v>30.761518045662179</v>
      </c>
      <c r="AE12" s="6">
        <f t="shared" si="13"/>
        <v>119142.12372476666</v>
      </c>
      <c r="AF12" s="6">
        <f t="shared" si="14"/>
        <v>12536.856305621879</v>
      </c>
      <c r="AG12" s="1">
        <f t="shared" si="15"/>
        <v>3932.80518775776</v>
      </c>
      <c r="AH12" s="1">
        <f t="shared" si="16"/>
        <v>2775.7621661416856</v>
      </c>
      <c r="AI12" s="1">
        <f t="shared" si="17"/>
        <v>2325.8107447223992</v>
      </c>
      <c r="AJ12" s="1">
        <v>129.52199999999999</v>
      </c>
      <c r="AK12" s="1">
        <v>151.22399999999999</v>
      </c>
      <c r="AL12" s="1">
        <f t="shared" si="18"/>
        <v>0.83789986515857751</v>
      </c>
    </row>
    <row r="13" spans="1:38" x14ac:dyDescent="0.3">
      <c r="A13" s="2" t="s">
        <v>27</v>
      </c>
      <c r="B13" s="2">
        <v>550</v>
      </c>
      <c r="C13" s="2">
        <v>6500</v>
      </c>
      <c r="D13" s="1">
        <f t="shared" si="1"/>
        <v>8.2221937645433386E-4</v>
      </c>
      <c r="E13" s="1">
        <f t="shared" si="2"/>
        <v>3.2860014908667828E-3</v>
      </c>
      <c r="F13" s="4">
        <f t="shared" si="3"/>
        <v>2.9599897552356019E-2</v>
      </c>
      <c r="G13" s="4">
        <f t="shared" si="4"/>
        <v>106.55963118848166</v>
      </c>
      <c r="H13" s="4">
        <f t="shared" si="5"/>
        <v>0.11829605367120417</v>
      </c>
      <c r="I13" s="5">
        <f t="shared" si="0"/>
        <v>1374.6082454654497</v>
      </c>
      <c r="J13" s="3">
        <f t="shared" si="6"/>
        <v>7104.1427404531769</v>
      </c>
      <c r="K13">
        <v>1375</v>
      </c>
      <c r="L13">
        <v>7094</v>
      </c>
      <c r="M13" s="1">
        <v>31.211409631507284</v>
      </c>
      <c r="N13" s="1">
        <v>31.178202024140798</v>
      </c>
      <c r="O13" s="1">
        <v>35.86410340488105</v>
      </c>
      <c r="P13" s="1">
        <v>35.823628033109635</v>
      </c>
      <c r="Q13" s="1">
        <v>123.67183448838017</v>
      </c>
      <c r="R13" s="1">
        <v>123.94721051418838</v>
      </c>
      <c r="S13" s="1">
        <v>30.965157659653904</v>
      </c>
      <c r="T13" s="1">
        <v>30.912705294316194</v>
      </c>
      <c r="U13" s="1">
        <v>132580.25404562292</v>
      </c>
      <c r="V13" s="1">
        <v>14293.360109183077</v>
      </c>
      <c r="W13" s="1">
        <v>3101.7612595047767</v>
      </c>
      <c r="X13" s="1">
        <v>-1548.2059855722364</v>
      </c>
      <c r="Y13" s="6">
        <f t="shared" si="7"/>
        <v>31.194805827824041</v>
      </c>
      <c r="Z13" s="6">
        <f t="shared" si="8"/>
        <v>35.843865718995346</v>
      </c>
      <c r="AA13" s="6">
        <f t="shared" si="9"/>
        <v>3101.7612595047767</v>
      </c>
      <c r="AB13" s="6">
        <f t="shared" si="10"/>
        <v>-1548.2059855722364</v>
      </c>
      <c r="AC13" s="6">
        <f t="shared" si="11"/>
        <v>123.80952250128428</v>
      </c>
      <c r="AD13" s="6">
        <f t="shared" si="12"/>
        <v>30.938931476985047</v>
      </c>
      <c r="AE13" s="6">
        <f t="shared" si="13"/>
        <v>132580.25404562292</v>
      </c>
      <c r="AF13" s="6">
        <f t="shared" si="14"/>
        <v>14293.360109183077</v>
      </c>
      <c r="AG13" s="1">
        <f t="shared" si="15"/>
        <v>4649.9672450770131</v>
      </c>
      <c r="AH13" s="1">
        <f t="shared" si="16"/>
        <v>2779.9905934861486</v>
      </c>
      <c r="AI13" s="1">
        <f t="shared" si="17"/>
        <v>2295.2107149140011</v>
      </c>
      <c r="AJ13" s="1">
        <v>130.816</v>
      </c>
      <c r="AK13" s="1">
        <v>150.24600000000001</v>
      </c>
      <c r="AL13" s="1">
        <f t="shared" si="18"/>
        <v>0.82561815867001676</v>
      </c>
    </row>
    <row r="14" spans="1:38" x14ac:dyDescent="0.3">
      <c r="A14" s="2" t="s">
        <v>28</v>
      </c>
      <c r="B14" s="2">
        <v>575</v>
      </c>
      <c r="C14" s="2">
        <v>7000</v>
      </c>
      <c r="D14" s="1">
        <f t="shared" si="1"/>
        <v>8.8546702079697495E-4</v>
      </c>
      <c r="E14" s="1">
        <f t="shared" si="2"/>
        <v>3.4353651949970915E-3</v>
      </c>
      <c r="F14" s="4">
        <f t="shared" si="3"/>
        <v>3.18768127486911E-2</v>
      </c>
      <c r="G14" s="4">
        <f t="shared" si="4"/>
        <v>114.75652589528796</v>
      </c>
      <c r="H14" s="4">
        <f t="shared" si="5"/>
        <v>0.12367314701989529</v>
      </c>
      <c r="I14" s="5">
        <f t="shared" si="0"/>
        <v>1480.3473412704845</v>
      </c>
      <c r="J14" s="3">
        <f t="shared" si="6"/>
        <v>7427.0583195646868</v>
      </c>
      <c r="K14">
        <v>1480</v>
      </c>
      <c r="L14">
        <v>7463</v>
      </c>
      <c r="M14" s="1">
        <v>32.785352337111483</v>
      </c>
      <c r="N14" s="1">
        <v>32.761103689158382</v>
      </c>
      <c r="O14" s="1">
        <v>37.128044842904615</v>
      </c>
      <c r="P14" s="1">
        <v>37.073076068761715</v>
      </c>
      <c r="Q14" s="1">
        <v>116.98690542106793</v>
      </c>
      <c r="R14" s="1">
        <v>117.21061341102177</v>
      </c>
      <c r="S14" s="1">
        <v>32.376333698171422</v>
      </c>
      <c r="T14" s="1">
        <v>32.342421935360242</v>
      </c>
      <c r="U14" s="1">
        <v>145241.46352691218</v>
      </c>
      <c r="V14" s="1">
        <v>16028.949716713882</v>
      </c>
      <c r="W14" s="1">
        <v>3654.7241501416429</v>
      </c>
      <c r="X14" s="1">
        <v>-1389.6298689801702</v>
      </c>
      <c r="Y14" s="6">
        <f t="shared" si="7"/>
        <v>32.773228013134933</v>
      </c>
      <c r="Z14" s="6">
        <f t="shared" si="8"/>
        <v>37.100560455833161</v>
      </c>
      <c r="AA14" s="6">
        <f t="shared" si="9"/>
        <v>3654.7241501416429</v>
      </c>
      <c r="AB14" s="6">
        <f t="shared" si="10"/>
        <v>-1389.6298689801702</v>
      </c>
      <c r="AC14" s="6">
        <f t="shared" si="11"/>
        <v>117.09875941604486</v>
      </c>
      <c r="AD14" s="6">
        <f t="shared" si="12"/>
        <v>32.359377816765829</v>
      </c>
      <c r="AE14" s="6">
        <f t="shared" si="13"/>
        <v>145241.46352691218</v>
      </c>
      <c r="AF14" s="6">
        <f t="shared" si="14"/>
        <v>16028.949716713882</v>
      </c>
      <c r="AG14" s="1">
        <f t="shared" si="15"/>
        <v>5044.3540191218126</v>
      </c>
      <c r="AH14" s="1">
        <f>1011*I13/I14*F14*(AC14-AD14)</f>
        <v>2535.868061142537</v>
      </c>
      <c r="AI14" s="1">
        <f t="shared" si="17"/>
        <v>2247.4525569534976</v>
      </c>
      <c r="AJ14" s="1">
        <v>137.41300000000001</v>
      </c>
      <c r="AK14" s="1">
        <v>155.49799999999999</v>
      </c>
      <c r="AL14" s="1">
        <f t="shared" si="18"/>
        <v>0.88626557169575548</v>
      </c>
    </row>
    <row r="15" spans="1:38" x14ac:dyDescent="0.3">
      <c r="A15" s="2" t="s">
        <v>29</v>
      </c>
      <c r="B15" s="2">
        <v>600</v>
      </c>
      <c r="C15" s="2">
        <v>7500</v>
      </c>
      <c r="D15" s="1">
        <f t="shared" si="1"/>
        <v>9.4871466513961604E-4</v>
      </c>
      <c r="E15" s="1">
        <f t="shared" si="2"/>
        <v>3.5847288991273998E-3</v>
      </c>
      <c r="F15" s="4">
        <f t="shared" si="3"/>
        <v>3.4153727945026177E-2</v>
      </c>
      <c r="G15" s="4">
        <f t="shared" si="4"/>
        <v>122.95342060209424</v>
      </c>
      <c r="H15" s="4">
        <f t="shared" si="5"/>
        <v>0.12905024036858639</v>
      </c>
      <c r="I15" s="5">
        <f t="shared" si="0"/>
        <v>1586.0864370755189</v>
      </c>
      <c r="J15" s="3">
        <f t="shared" si="6"/>
        <v>7749.9738986761949</v>
      </c>
      <c r="K15">
        <v>1586</v>
      </c>
      <c r="L15">
        <v>7775</v>
      </c>
      <c r="M15" s="1">
        <v>34.512974549310528</v>
      </c>
      <c r="N15" s="1">
        <v>34.486764918538405</v>
      </c>
      <c r="O15" s="1">
        <v>38.554139593174888</v>
      </c>
      <c r="P15" s="1">
        <v>38.665876795526955</v>
      </c>
      <c r="Q15" s="1">
        <v>112.71834666923537</v>
      </c>
      <c r="R15" s="1">
        <v>112.98745203894354</v>
      </c>
      <c r="S15" s="1">
        <v>33.910454786465095</v>
      </c>
      <c r="T15" s="1">
        <v>33.838355827628689</v>
      </c>
      <c r="U15" s="1">
        <v>158099.74787910923</v>
      </c>
      <c r="V15" s="1">
        <v>17840.842258748675</v>
      </c>
      <c r="W15" s="1">
        <v>3986.5974284199365</v>
      </c>
      <c r="X15" s="1">
        <v>-1406.814819724284</v>
      </c>
      <c r="Y15" s="6">
        <f t="shared" si="7"/>
        <v>34.49986973392447</v>
      </c>
      <c r="Z15" s="6">
        <f t="shared" si="8"/>
        <v>38.610008194350925</v>
      </c>
      <c r="AA15" s="6">
        <f t="shared" si="9"/>
        <v>3986.5974284199365</v>
      </c>
      <c r="AB15" s="6">
        <f t="shared" si="10"/>
        <v>-1406.814819724284</v>
      </c>
      <c r="AC15" s="6">
        <f t="shared" si="11"/>
        <v>112.85289935408946</v>
      </c>
      <c r="AD15" s="6">
        <f t="shared" si="12"/>
        <v>33.874405307046892</v>
      </c>
      <c r="AE15" s="6">
        <f t="shared" si="13"/>
        <v>158099.74787910923</v>
      </c>
      <c r="AF15" s="6">
        <f t="shared" si="14"/>
        <v>17840.842258748675</v>
      </c>
      <c r="AG15" s="1">
        <f t="shared" si="15"/>
        <v>5393.4122481442209</v>
      </c>
      <c r="AH15" s="1">
        <f t="shared" si="16"/>
        <v>2726.9328912092415</v>
      </c>
      <c r="AI15" s="1">
        <f t="shared" si="17"/>
        <v>2223.9835677149995</v>
      </c>
      <c r="AJ15" s="1">
        <v>144.62899999999999</v>
      </c>
      <c r="AK15" s="1">
        <v>161.80699999999999</v>
      </c>
      <c r="AL15" s="1">
        <f t="shared" si="18"/>
        <v>0.81556226590115599</v>
      </c>
    </row>
    <row r="16" spans="1:38" x14ac:dyDescent="0.3">
      <c r="A16" s="2" t="s">
        <v>30</v>
      </c>
      <c r="B16" s="2">
        <v>625</v>
      </c>
      <c r="C16" s="2">
        <v>8000</v>
      </c>
      <c r="D16" s="1">
        <f t="shared" si="1"/>
        <v>1.0119623094822572E-3</v>
      </c>
      <c r="E16" s="1">
        <f t="shared" si="2"/>
        <v>3.7340926032577082E-3</v>
      </c>
      <c r="F16" s="4">
        <f t="shared" si="3"/>
        <v>3.6430643141361262E-2</v>
      </c>
      <c r="G16" s="4">
        <f t="shared" si="4"/>
        <v>131.15031530890053</v>
      </c>
      <c r="H16" s="4">
        <f t="shared" si="5"/>
        <v>0.1344273337172775</v>
      </c>
      <c r="I16" s="5">
        <f t="shared" si="0"/>
        <v>1691.8255328805537</v>
      </c>
      <c r="J16" s="3">
        <f t="shared" si="6"/>
        <v>8072.8894777877022</v>
      </c>
      <c r="K16">
        <v>1692</v>
      </c>
      <c r="L16">
        <v>8056</v>
      </c>
      <c r="M16" s="1">
        <v>35.57803665578723</v>
      </c>
      <c r="N16" s="1">
        <v>35.543535708579583</v>
      </c>
      <c r="O16" s="1">
        <v>39.333220048844012</v>
      </c>
      <c r="P16" s="1">
        <v>39.365330837879107</v>
      </c>
      <c r="Q16" s="1">
        <v>106.66913039508918</v>
      </c>
      <c r="R16" s="1">
        <v>106.8773615137051</v>
      </c>
      <c r="S16" s="1">
        <v>34.900317485676695</v>
      </c>
      <c r="T16" s="1">
        <v>34.868408691483538</v>
      </c>
      <c r="U16" s="1">
        <v>171769.08385638965</v>
      </c>
      <c r="V16" s="1">
        <v>19852.030630178258</v>
      </c>
      <c r="W16" s="1">
        <v>5662.8538789856884</v>
      </c>
      <c r="X16" s="1">
        <v>-97.739015817222935</v>
      </c>
      <c r="Y16" s="6">
        <f t="shared" si="7"/>
        <v>35.560786182183406</v>
      </c>
      <c r="Z16" s="6">
        <f t="shared" si="8"/>
        <v>39.349275443361563</v>
      </c>
      <c r="AA16" s="6">
        <f t="shared" si="9"/>
        <v>5662.8538789856884</v>
      </c>
      <c r="AB16" s="6">
        <f t="shared" si="10"/>
        <v>-97.739015817222935</v>
      </c>
      <c r="AC16" s="6">
        <f t="shared" si="11"/>
        <v>106.77324595439714</v>
      </c>
      <c r="AD16" s="6">
        <f t="shared" si="12"/>
        <v>34.884363088580116</v>
      </c>
      <c r="AE16" s="6">
        <f t="shared" si="13"/>
        <v>171769.08385638965</v>
      </c>
      <c r="AF16" s="6">
        <f t="shared" si="14"/>
        <v>19852.030630178258</v>
      </c>
      <c r="AG16" s="1">
        <f t="shared" si="15"/>
        <v>5760.5928948029114</v>
      </c>
      <c r="AH16" s="1">
        <f t="shared" si="16"/>
        <v>2648.0398253390736</v>
      </c>
      <c r="AI16" s="1">
        <f t="shared" si="17"/>
        <v>2123.9351253016007</v>
      </c>
      <c r="AJ16" s="1">
        <v>149.06299999999999</v>
      </c>
      <c r="AK16" s="1">
        <v>164.89599999999999</v>
      </c>
      <c r="AL16" s="1">
        <f t="shared" si="18"/>
        <v>0.8020782410361359</v>
      </c>
    </row>
    <row r="17" spans="1:38" x14ac:dyDescent="0.3">
      <c r="A17" s="2" t="s">
        <v>31</v>
      </c>
      <c r="B17" s="2">
        <v>650</v>
      </c>
      <c r="C17" s="2">
        <v>8500</v>
      </c>
      <c r="D17" s="1">
        <f t="shared" si="1"/>
        <v>1.0752099538248983E-3</v>
      </c>
      <c r="E17" s="1">
        <f t="shared" si="2"/>
        <v>3.8834563073880161E-3</v>
      </c>
      <c r="F17" s="4">
        <f t="shared" si="3"/>
        <v>3.8707558337696339E-2</v>
      </c>
      <c r="G17" s="4">
        <f t="shared" si="4"/>
        <v>139.34721001570682</v>
      </c>
      <c r="H17" s="4">
        <f t="shared" si="5"/>
        <v>0.13980442706596857</v>
      </c>
      <c r="I17" s="5">
        <f t="shared" si="0"/>
        <v>1797.5646286855886</v>
      </c>
      <c r="J17" s="3">
        <f t="shared" si="6"/>
        <v>8395.8050568992112</v>
      </c>
      <c r="K17">
        <v>1798</v>
      </c>
      <c r="L17">
        <v>8381</v>
      </c>
      <c r="M17" s="1">
        <v>37.519818599897967</v>
      </c>
      <c r="N17" s="1">
        <v>37.483090072931553</v>
      </c>
      <c r="O17" s="1">
        <v>40.97761090723214</v>
      </c>
      <c r="P17" s="1">
        <v>41.029043062200401</v>
      </c>
      <c r="Q17" s="1">
        <v>101.84513471454527</v>
      </c>
      <c r="R17" s="1">
        <v>102.07449876898758</v>
      </c>
      <c r="S17" s="1">
        <v>36.560569981883688</v>
      </c>
      <c r="T17" s="1">
        <v>36.529230036698443</v>
      </c>
      <c r="U17" s="1">
        <v>187279.7414409811</v>
      </c>
      <c r="V17" s="1">
        <v>22212.835717935617</v>
      </c>
      <c r="W17" s="1">
        <v>5494.6636433316307</v>
      </c>
      <c r="X17" s="1">
        <v>-673.00868676545724</v>
      </c>
      <c r="Y17" s="6">
        <f t="shared" si="7"/>
        <v>37.50145433641476</v>
      </c>
      <c r="Z17" s="6">
        <f t="shared" si="8"/>
        <v>41.003326984716267</v>
      </c>
      <c r="AA17" s="6">
        <f t="shared" si="9"/>
        <v>5494.6636433316307</v>
      </c>
      <c r="AB17" s="6">
        <f t="shared" si="10"/>
        <v>-673.00868676545724</v>
      </c>
      <c r="AC17" s="6">
        <f t="shared" si="11"/>
        <v>101.95981674176642</v>
      </c>
      <c r="AD17" s="6">
        <f t="shared" si="12"/>
        <v>36.544900009291069</v>
      </c>
      <c r="AE17" s="6">
        <f t="shared" si="13"/>
        <v>187279.7414409811</v>
      </c>
      <c r="AF17" s="6">
        <f t="shared" si="14"/>
        <v>22212.835717935617</v>
      </c>
      <c r="AG17" s="1">
        <f t="shared" si="15"/>
        <v>6167.672330097088</v>
      </c>
      <c r="AH17" s="1">
        <f t="shared" si="16"/>
        <v>2560.5242848083044</v>
      </c>
      <c r="AI17" s="1">
        <f t="shared" si="17"/>
        <v>2042.5693907371992</v>
      </c>
      <c r="AJ17" s="1">
        <v>157.17400000000001</v>
      </c>
      <c r="AK17" s="1">
        <v>171.81</v>
      </c>
      <c r="AL17" s="1">
        <f t="shared" si="18"/>
        <v>0.79771529715841683</v>
      </c>
    </row>
    <row r="18" spans="1:38" x14ac:dyDescent="0.3">
      <c r="A18" s="2" t="s">
        <v>32</v>
      </c>
      <c r="B18" s="2">
        <v>675</v>
      </c>
      <c r="C18" s="2">
        <v>9000</v>
      </c>
      <c r="D18" s="1">
        <f t="shared" si="1"/>
        <v>1.1384575981675394E-3</v>
      </c>
      <c r="E18" s="1">
        <f t="shared" si="2"/>
        <v>4.0328200115183239E-3</v>
      </c>
      <c r="F18" s="4">
        <f t="shared" si="3"/>
        <v>4.0984473534031417E-2</v>
      </c>
      <c r="G18" s="4">
        <f t="shared" si="4"/>
        <v>147.54410472251311</v>
      </c>
      <c r="H18" s="4">
        <f t="shared" si="5"/>
        <v>0.14518152041465965</v>
      </c>
      <c r="I18" s="5">
        <f t="shared" si="0"/>
        <v>1903.3037244906229</v>
      </c>
      <c r="J18" s="3">
        <f t="shared" si="6"/>
        <v>8718.7206360107157</v>
      </c>
      <c r="K18" s="1">
        <v>1903</v>
      </c>
      <c r="L18" s="1">
        <v>8743</v>
      </c>
      <c r="M18" s="1">
        <v>38.769263664684374</v>
      </c>
      <c r="N18" s="1">
        <v>38.727383177570118</v>
      </c>
      <c r="O18" s="1">
        <v>41.967182101387309</v>
      </c>
      <c r="P18" s="1">
        <v>42.039311809685245</v>
      </c>
      <c r="Q18" s="1">
        <v>97.408827527611109</v>
      </c>
      <c r="R18" s="1">
        <v>97.611294250921546</v>
      </c>
      <c r="S18" s="1">
        <v>37.628892664966294</v>
      </c>
      <c r="T18" s="1">
        <v>37.602727272725765</v>
      </c>
      <c r="U18" s="1">
        <v>203420.51741716228</v>
      </c>
      <c r="V18" s="1">
        <v>24736.199660152932</v>
      </c>
      <c r="W18" s="1">
        <v>5432.9549702633813</v>
      </c>
      <c r="X18" s="1">
        <v>-1251.5346927216087</v>
      </c>
      <c r="Y18" s="6">
        <f t="shared" si="7"/>
        <v>38.748323421127246</v>
      </c>
      <c r="Z18" s="6">
        <f t="shared" si="8"/>
        <v>42.003246955536277</v>
      </c>
      <c r="AA18" s="6">
        <f t="shared" si="9"/>
        <v>5432.9549702633813</v>
      </c>
      <c r="AB18" s="6">
        <f t="shared" si="10"/>
        <v>-1251.5346927216087</v>
      </c>
      <c r="AC18" s="6">
        <f t="shared" si="11"/>
        <v>97.510060889266327</v>
      </c>
      <c r="AD18" s="6">
        <f t="shared" si="12"/>
        <v>37.61580996884603</v>
      </c>
      <c r="AE18" s="6">
        <f t="shared" si="13"/>
        <v>203420.51741716228</v>
      </c>
      <c r="AF18" s="6">
        <f t="shared" si="14"/>
        <v>24736.199660152932</v>
      </c>
      <c r="AG18" s="1">
        <f t="shared" si="15"/>
        <v>6684.48966298499</v>
      </c>
      <c r="AH18" s="1">
        <f t="shared" si="16"/>
        <v>2481.3403901008578</v>
      </c>
      <c r="AI18" s="1">
        <f t="shared" si="17"/>
        <v>1980.5494014124022</v>
      </c>
      <c r="AJ18" s="1">
        <v>162.38499999999999</v>
      </c>
      <c r="AK18" s="1">
        <v>175.989</v>
      </c>
      <c r="AL18" s="1">
        <f t="shared" si="18"/>
        <v>0.79817723086831294</v>
      </c>
    </row>
    <row r="19" spans="1:38" x14ac:dyDescent="0.3">
      <c r="A19" s="2"/>
      <c r="B19" s="2"/>
      <c r="E19" s="1"/>
      <c r="H19" s="1"/>
      <c r="I19" s="3"/>
      <c r="J19" s="7"/>
      <c r="M19" s="1">
        <v>-0.56000000000000005</v>
      </c>
      <c r="N19" s="1">
        <v>-0.59272727272727233</v>
      </c>
      <c r="O19" s="1">
        <v>-0.55545454545454509</v>
      </c>
      <c r="P19" s="1">
        <v>-0.61272727272727356</v>
      </c>
      <c r="Q19" s="1">
        <v>-0.70636363636363697</v>
      </c>
      <c r="R19" s="1">
        <v>-0.77090909090909132</v>
      </c>
      <c r="S19" s="1">
        <v>-0.72454545454545471</v>
      </c>
      <c r="T19" s="1">
        <v>-0.71181818181818202</v>
      </c>
      <c r="U19" s="1">
        <v>558</v>
      </c>
      <c r="V19" s="1">
        <v>334</v>
      </c>
      <c r="W19" s="1">
        <v>4391</v>
      </c>
      <c r="X19" s="1">
        <v>4519</v>
      </c>
      <c r="Y19" s="6"/>
      <c r="Z19" s="6"/>
      <c r="AA19" s="6"/>
      <c r="AB19" s="6"/>
      <c r="AC19" s="6"/>
      <c r="AD19" s="6"/>
      <c r="AE19" s="6"/>
      <c r="AF19" s="6"/>
      <c r="AG19" s="1"/>
      <c r="AH19" s="1"/>
      <c r="AI19" s="1"/>
      <c r="AJ19" s="1"/>
      <c r="AK19" s="1"/>
      <c r="AL19" s="1"/>
    </row>
    <row r="20" spans="1:38" x14ac:dyDescent="0.3">
      <c r="A20" s="2"/>
      <c r="B20" s="2"/>
      <c r="E20" s="1"/>
      <c r="H20" s="1"/>
      <c r="J20" s="3"/>
      <c r="K20" s="1"/>
      <c r="L20" s="1"/>
      <c r="M20" s="9">
        <v>38.209263664684372</v>
      </c>
      <c r="N20" s="9">
        <v>38.134655904842845</v>
      </c>
      <c r="O20" s="9">
        <v>41.411727555932764</v>
      </c>
      <c r="P20" s="9">
        <v>41.426584536957968</v>
      </c>
      <c r="Q20" s="9">
        <v>96.702463891247476</v>
      </c>
      <c r="R20" s="9">
        <v>96.84038516001246</v>
      </c>
      <c r="S20" s="9">
        <v>36.904347210420838</v>
      </c>
      <c r="T20" s="9">
        <v>36.890909090907584</v>
      </c>
      <c r="U20" s="9">
        <v>203978.51741716228</v>
      </c>
      <c r="V20" s="9">
        <v>25070.199660152932</v>
      </c>
      <c r="W20" s="9">
        <v>9823.9549702633813</v>
      </c>
      <c r="X20" s="9">
        <v>3267.4653072783913</v>
      </c>
      <c r="Y20" s="6"/>
      <c r="Z20" s="6"/>
      <c r="AA20" s="6"/>
      <c r="AB20" s="6"/>
      <c r="AC20" s="6"/>
      <c r="AD20" s="6"/>
      <c r="AE20" s="6"/>
      <c r="AF20" s="6"/>
      <c r="AG20" s="1"/>
      <c r="AH20" s="1"/>
      <c r="AI20" s="1"/>
      <c r="AJ20" s="1"/>
      <c r="AK20" s="1"/>
      <c r="AL20" s="1"/>
    </row>
    <row r="21" spans="1:38" x14ac:dyDescent="0.3">
      <c r="D21" s="2"/>
      <c r="E21" s="2"/>
      <c r="F21" s="2"/>
      <c r="G21" s="2"/>
      <c r="H21" s="2"/>
      <c r="I21" s="2"/>
      <c r="J21" s="2"/>
      <c r="K21" s="2"/>
      <c r="L21" s="1"/>
      <c r="M21" s="8">
        <f>M20-M19</f>
        <v>38.769263664684374</v>
      </c>
      <c r="N21" s="8">
        <f t="shared" ref="N21:X21" si="19">N20-N19</f>
        <v>38.727383177570118</v>
      </c>
      <c r="O21" s="8">
        <f t="shared" si="19"/>
        <v>41.967182101387309</v>
      </c>
      <c r="P21" s="8">
        <f t="shared" si="19"/>
        <v>42.039311809685245</v>
      </c>
      <c r="Q21" s="8">
        <f t="shared" si="19"/>
        <v>97.408827527611109</v>
      </c>
      <c r="R21" s="8">
        <f t="shared" si="19"/>
        <v>97.611294250921546</v>
      </c>
      <c r="S21" s="8">
        <f t="shared" si="19"/>
        <v>37.628892664966294</v>
      </c>
      <c r="T21" s="8">
        <f t="shared" si="19"/>
        <v>37.602727272725765</v>
      </c>
      <c r="U21" s="8">
        <f t="shared" si="19"/>
        <v>203420.51741716228</v>
      </c>
      <c r="V21" s="8">
        <f t="shared" si="19"/>
        <v>24736.199660152932</v>
      </c>
      <c r="W21" s="8">
        <f t="shared" si="19"/>
        <v>5432.9549702633813</v>
      </c>
      <c r="X21" s="8">
        <f t="shared" si="19"/>
        <v>-1251.5346927216087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8" x14ac:dyDescent="0.3">
      <c r="A22" s="2"/>
      <c r="B22" s="2"/>
      <c r="C22" s="2"/>
      <c r="D22" s="1"/>
      <c r="E22" s="1"/>
      <c r="F22" s="1"/>
      <c r="H22" s="1"/>
      <c r="I22" s="1"/>
      <c r="J22" s="1"/>
      <c r="K22" s="1"/>
      <c r="L22" s="1"/>
      <c r="AC22" s="1"/>
      <c r="AD22" s="1"/>
      <c r="AE22" s="1"/>
      <c r="AF22" s="1"/>
      <c r="AG22" s="1"/>
      <c r="AH22" s="1"/>
      <c r="AI22" s="1"/>
      <c r="AJ22" s="1"/>
    </row>
    <row r="23" spans="1:38" x14ac:dyDescent="0.3">
      <c r="A23" s="2"/>
      <c r="B23" s="2"/>
      <c r="C23" s="2"/>
      <c r="D23" s="1"/>
      <c r="E23" s="1"/>
      <c r="F23" s="1"/>
      <c r="H23" s="1"/>
      <c r="I23" s="1"/>
      <c r="J23" s="1"/>
      <c r="K23" s="1"/>
      <c r="L23" s="1"/>
      <c r="AC23" s="1"/>
      <c r="AD23" s="1"/>
      <c r="AE23" s="1"/>
      <c r="AF23" s="1"/>
      <c r="AG23" s="1"/>
      <c r="AH23" s="1"/>
      <c r="AI23" s="1"/>
      <c r="AJ23" s="1"/>
    </row>
    <row r="24" spans="1:38" x14ac:dyDescent="0.3">
      <c r="A24" s="2"/>
      <c r="B24" s="2"/>
      <c r="C24" s="2"/>
      <c r="D24" s="1"/>
      <c r="E24" s="1"/>
      <c r="F24" s="1"/>
      <c r="H24" s="1"/>
      <c r="I24" s="1"/>
      <c r="J24" s="1"/>
      <c r="K24" s="1"/>
      <c r="L24" s="1"/>
      <c r="AC24" s="1"/>
      <c r="AD24" s="1"/>
      <c r="AE24" s="1"/>
      <c r="AF24" s="1"/>
      <c r="AG24" s="1"/>
      <c r="AH24" s="1"/>
      <c r="AI24" s="1"/>
      <c r="AJ24" s="1"/>
    </row>
    <row r="25" spans="1:38" x14ac:dyDescent="0.3">
      <c r="A25" s="2"/>
      <c r="B25" s="2"/>
      <c r="C25" s="2"/>
      <c r="D25" s="1"/>
      <c r="E25" s="1"/>
      <c r="F25" s="1"/>
      <c r="H25" s="1"/>
      <c r="I25" s="1"/>
      <c r="J25" s="1"/>
      <c r="K25" s="1"/>
      <c r="L25" s="1"/>
      <c r="AC25" s="1"/>
      <c r="AD25" s="1"/>
      <c r="AE25" s="1"/>
      <c r="AF25" s="1"/>
      <c r="AG25" s="1"/>
      <c r="AH25" s="1"/>
      <c r="AI25" s="1"/>
      <c r="AJ25" s="1"/>
    </row>
    <row r="26" spans="1:38" x14ac:dyDescent="0.3">
      <c r="A26" s="2"/>
      <c r="B26" s="2"/>
      <c r="C26" s="2"/>
      <c r="D26" s="1"/>
      <c r="E26" s="1"/>
      <c r="F26" s="1"/>
      <c r="H26" s="1"/>
      <c r="I26" s="1"/>
      <c r="J26" s="1"/>
      <c r="K26" s="1"/>
      <c r="L26" s="1"/>
      <c r="AC26" s="1"/>
      <c r="AD26" s="1"/>
      <c r="AE26" s="1"/>
      <c r="AF26" s="1"/>
      <c r="AG26" s="1"/>
      <c r="AH26" s="1"/>
      <c r="AI26" s="1"/>
      <c r="AJ26" s="1"/>
    </row>
    <row r="27" spans="1:38" x14ac:dyDescent="0.3">
      <c r="A27" s="2"/>
      <c r="B27" s="2"/>
      <c r="C27" s="2"/>
      <c r="D27" s="1"/>
      <c r="E27" s="1"/>
      <c r="F27" s="1"/>
      <c r="H27" s="1"/>
      <c r="I27" s="1"/>
      <c r="J27" s="1"/>
      <c r="K27" s="1"/>
      <c r="L27" s="1"/>
      <c r="AC27" s="1"/>
      <c r="AD27" s="1"/>
      <c r="AE27" s="1"/>
      <c r="AF27" s="1"/>
      <c r="AG27" s="1"/>
      <c r="AH27" s="1"/>
      <c r="AI27" s="1"/>
      <c r="AJ27" s="1"/>
    </row>
    <row r="28" spans="1:38" x14ac:dyDescent="0.3">
      <c r="A28" s="2"/>
      <c r="B28" s="2"/>
      <c r="C28" s="2"/>
      <c r="D28" s="1"/>
      <c r="E28" s="1"/>
      <c r="F28" s="1"/>
      <c r="H28" s="1"/>
      <c r="I28" s="1"/>
      <c r="J28" s="1"/>
      <c r="K28" s="1"/>
      <c r="L28" s="1"/>
      <c r="AC28" s="1"/>
      <c r="AD28" s="1"/>
      <c r="AE28" s="1"/>
      <c r="AF28" s="1"/>
      <c r="AG28" s="1"/>
      <c r="AH28" s="1"/>
      <c r="AI28" s="1"/>
      <c r="AJ28" s="1"/>
    </row>
    <row r="29" spans="1:38" x14ac:dyDescent="0.3">
      <c r="A29" s="2"/>
      <c r="B29" s="2"/>
      <c r="C29" s="2"/>
      <c r="D29" s="1"/>
      <c r="E29" s="1"/>
      <c r="F29" s="1"/>
      <c r="H29" s="1"/>
      <c r="I29" s="1"/>
      <c r="J29" s="1"/>
      <c r="K29" s="1"/>
      <c r="L29" s="1"/>
      <c r="AC29" s="1"/>
      <c r="AD29" s="1"/>
      <c r="AE29" s="1"/>
      <c r="AF29" s="1"/>
      <c r="AG29" s="1"/>
      <c r="AH29" s="1"/>
      <c r="AI29" s="1"/>
      <c r="AJ29" s="1"/>
    </row>
    <row r="30" spans="1:38" x14ac:dyDescent="0.3">
      <c r="A30" s="2"/>
      <c r="B30" s="2"/>
      <c r="C30" s="2"/>
      <c r="D30" s="1"/>
      <c r="E30" s="1"/>
      <c r="F30" s="1"/>
      <c r="H30" s="1"/>
      <c r="I30" s="1"/>
      <c r="J30" s="1"/>
      <c r="K30" s="1"/>
      <c r="L30" s="1"/>
      <c r="AC30" s="1"/>
      <c r="AD30" s="1"/>
      <c r="AE30" s="1"/>
      <c r="AF30" s="1"/>
      <c r="AG30" s="1"/>
      <c r="AH30" s="1"/>
      <c r="AI30" s="1"/>
      <c r="AJ30" s="1"/>
    </row>
    <row r="31" spans="1:38" x14ac:dyDescent="0.3">
      <c r="A31" s="2"/>
      <c r="B31" s="2"/>
      <c r="C31" s="2"/>
      <c r="D31" s="1"/>
      <c r="E31" s="1"/>
      <c r="F31" s="1"/>
      <c r="H31" s="1"/>
      <c r="I31" s="1"/>
      <c r="J31" s="1"/>
      <c r="K31" s="1"/>
      <c r="L31" s="1"/>
      <c r="AC31" s="1"/>
      <c r="AD31" s="1"/>
      <c r="AE31" s="1"/>
      <c r="AF31" s="1"/>
      <c r="AG31" s="1"/>
      <c r="AH31" s="1"/>
      <c r="AI31" s="1"/>
      <c r="AJ31" s="1"/>
    </row>
    <row r="32" spans="1:38" x14ac:dyDescent="0.3">
      <c r="A32" s="2"/>
      <c r="B32" s="2"/>
      <c r="C32" s="2"/>
      <c r="D32" s="1"/>
      <c r="E32" s="1"/>
      <c r="F32" s="1"/>
      <c r="H32" s="1"/>
      <c r="I32" s="1"/>
      <c r="J32" s="1"/>
      <c r="K32" s="1"/>
      <c r="L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2"/>
      <c r="B33" s="2"/>
      <c r="C33" s="2"/>
      <c r="D33" s="1"/>
      <c r="E33" s="1"/>
      <c r="F33" s="1"/>
      <c r="H33" s="1"/>
      <c r="I33" s="1"/>
      <c r="J33" s="1"/>
      <c r="K33" s="1"/>
      <c r="L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2"/>
      <c r="B34" s="2"/>
      <c r="C34" s="2"/>
      <c r="D34" s="1"/>
      <c r="E34" s="1"/>
      <c r="F34" s="1"/>
      <c r="H34" s="1"/>
      <c r="I34" s="1"/>
      <c r="J34" s="1"/>
      <c r="K34" s="1"/>
      <c r="L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2"/>
      <c r="B35" s="2"/>
      <c r="C35" s="2"/>
      <c r="D35" s="1"/>
      <c r="E35" s="1"/>
      <c r="F35" s="1"/>
      <c r="H35" s="1"/>
      <c r="I35" s="1"/>
      <c r="J35" s="1"/>
      <c r="K35" s="1"/>
      <c r="L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2"/>
      <c r="B36" s="2"/>
      <c r="C36" s="2"/>
      <c r="D36" s="1"/>
      <c r="E36" s="1"/>
      <c r="F36" s="1"/>
      <c r="H36" s="1"/>
      <c r="I36" s="1"/>
      <c r="J36" s="1"/>
      <c r="K36" s="1"/>
      <c r="L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2"/>
      <c r="B37" s="2"/>
      <c r="C37" s="2"/>
      <c r="D37" s="1"/>
      <c r="E37" s="1"/>
      <c r="F37" s="1"/>
      <c r="H37" s="1"/>
      <c r="I37" s="1"/>
      <c r="J37" s="1"/>
      <c r="K37" s="1"/>
      <c r="L37" s="1"/>
      <c r="AC37" s="1"/>
      <c r="AD37" s="1"/>
      <c r="AE37" s="1"/>
      <c r="AF37" s="1"/>
      <c r="AG37" s="1"/>
      <c r="AH37" s="1"/>
      <c r="AI37" s="1"/>
      <c r="AJ37" s="1"/>
    </row>
    <row r="39" spans="1:36" x14ac:dyDescent="0.3">
      <c r="D39" s="2"/>
      <c r="E39" s="1"/>
      <c r="F39" s="1"/>
      <c r="H39" s="1"/>
      <c r="I39" s="1"/>
      <c r="J39" s="1"/>
      <c r="K39" s="1"/>
      <c r="L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1"/>
      <c r="E41" s="1"/>
      <c r="F41" s="1"/>
      <c r="H41" s="1"/>
      <c r="I41" s="1"/>
      <c r="J41" s="1"/>
      <c r="K41" s="1"/>
      <c r="L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2"/>
      <c r="B42" s="2"/>
      <c r="C42" s="2"/>
      <c r="D42" s="1"/>
      <c r="E42" s="1"/>
      <c r="F42" s="1"/>
      <c r="H42" s="1"/>
      <c r="I42" s="1"/>
      <c r="J42" s="1"/>
      <c r="K42" s="1"/>
      <c r="L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2"/>
      <c r="B43" s="2"/>
      <c r="C43" s="2"/>
      <c r="D43" s="1"/>
      <c r="E43" s="1"/>
      <c r="F43" s="1"/>
      <c r="H43" s="1"/>
      <c r="I43" s="1"/>
      <c r="J43" s="1"/>
      <c r="K43" s="1"/>
      <c r="L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2"/>
      <c r="B44" s="2"/>
      <c r="C44" s="2"/>
      <c r="D44" s="1"/>
      <c r="E44" s="1"/>
      <c r="F44" s="1"/>
      <c r="H44" s="1"/>
      <c r="I44" s="1"/>
      <c r="J44" s="1"/>
      <c r="K44" s="1"/>
      <c r="L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2"/>
      <c r="B45" s="2"/>
      <c r="C45" s="2"/>
      <c r="D45" s="1"/>
      <c r="E45" s="1"/>
      <c r="F45" s="1"/>
      <c r="H45" s="1"/>
      <c r="I45" s="1"/>
      <c r="J45" s="1"/>
      <c r="K45" s="1"/>
      <c r="L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2"/>
      <c r="B46" s="2"/>
      <c r="C46" s="2"/>
      <c r="D46" s="1"/>
      <c r="E46" s="1"/>
      <c r="F46" s="1"/>
      <c r="H46" s="1"/>
      <c r="I46" s="1"/>
      <c r="J46" s="1"/>
      <c r="K46" s="1"/>
      <c r="L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2"/>
      <c r="B47" s="2"/>
      <c r="C47" s="2"/>
      <c r="D47" s="1"/>
      <c r="E47" s="1"/>
      <c r="F47" s="1"/>
      <c r="H47" s="1"/>
      <c r="I47" s="1"/>
      <c r="J47" s="1"/>
      <c r="K47" s="1"/>
      <c r="L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2"/>
      <c r="B48" s="2"/>
      <c r="C48" s="2"/>
      <c r="D48" s="1"/>
      <c r="E48" s="1"/>
      <c r="F48" s="1"/>
      <c r="H48" s="1"/>
      <c r="I48" s="1"/>
      <c r="J48" s="1"/>
      <c r="K48" s="1"/>
      <c r="L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2"/>
      <c r="B49" s="2"/>
      <c r="C49" s="2"/>
      <c r="D49" s="1"/>
      <c r="E49" s="1"/>
      <c r="F49" s="1"/>
      <c r="H49" s="1"/>
      <c r="I49" s="1"/>
      <c r="J49" s="1"/>
      <c r="K49" s="1"/>
      <c r="L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2"/>
      <c r="B50" s="2"/>
      <c r="C50" s="2"/>
      <c r="D50" s="1"/>
      <c r="E50" s="1"/>
      <c r="F50" s="1"/>
      <c r="H50" s="1"/>
      <c r="I50" s="1"/>
      <c r="J50" s="1"/>
      <c r="K50" s="1"/>
      <c r="L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2"/>
      <c r="B51" s="2"/>
      <c r="C51" s="2"/>
      <c r="D51" s="1"/>
      <c r="E51" s="1"/>
      <c r="F51" s="1"/>
      <c r="H51" s="1"/>
      <c r="I51" s="1"/>
      <c r="J51" s="1"/>
      <c r="K51" s="1"/>
      <c r="L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2"/>
      <c r="B52" s="2"/>
      <c r="C52" s="2"/>
      <c r="D52" s="1"/>
      <c r="E52" s="1"/>
      <c r="F52" s="1"/>
      <c r="H52" s="1"/>
      <c r="I52" s="1"/>
      <c r="J52" s="1"/>
      <c r="K52" s="1"/>
      <c r="L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2"/>
      <c r="B53" s="2"/>
      <c r="C53" s="2"/>
      <c r="D53" s="1"/>
      <c r="E53" s="1"/>
      <c r="F53" s="1"/>
      <c r="H53" s="1"/>
      <c r="I53" s="1"/>
      <c r="J53" s="1"/>
      <c r="K53" s="1"/>
      <c r="L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2"/>
      <c r="B54" s="2"/>
      <c r="C54" s="2"/>
      <c r="D54" s="1"/>
      <c r="E54" s="1"/>
      <c r="F54" s="1"/>
      <c r="H54" s="1"/>
      <c r="I54" s="1"/>
      <c r="J54" s="1"/>
      <c r="K54" s="1"/>
      <c r="L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2"/>
      <c r="B55" s="2"/>
      <c r="C55" s="2"/>
      <c r="D55" s="1"/>
      <c r="E55" s="1"/>
      <c r="F55" s="1"/>
      <c r="H55" s="1"/>
      <c r="I55" s="1"/>
      <c r="J55" s="1"/>
      <c r="K55" s="1"/>
      <c r="L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2"/>
      <c r="B56" s="2"/>
      <c r="C56" s="2"/>
      <c r="D56" s="1"/>
      <c r="E56" s="1"/>
      <c r="F56" s="1"/>
      <c r="H56" s="1"/>
      <c r="I56" s="1"/>
      <c r="J56" s="1"/>
      <c r="K56" s="1"/>
      <c r="L56" s="1"/>
      <c r="AC56" s="1"/>
      <c r="AD56" s="1"/>
      <c r="AE56" s="1"/>
      <c r="AF56" s="1"/>
      <c r="AG56" s="1"/>
      <c r="AH56" s="1"/>
      <c r="AI56" s="1"/>
      <c r="AJ5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9BDC-5814-4F89-B615-050E697FFC86}">
  <dimension ref="A1:AL21"/>
  <sheetViews>
    <sheetView workbookViewId="0">
      <selection activeCell="Q8" sqref="Q8"/>
    </sheetView>
  </sheetViews>
  <sheetFormatPr defaultRowHeight="14" x14ac:dyDescent="0.3"/>
  <sheetData>
    <row r="1" spans="1:38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">
      <c r="A2" s="1"/>
      <c r="B2" s="2" t="s">
        <v>33</v>
      </c>
      <c r="C2" s="2" t="s">
        <v>34</v>
      </c>
      <c r="D2" s="2" t="s">
        <v>1</v>
      </c>
      <c r="E2" s="2" t="s">
        <v>2</v>
      </c>
      <c r="F2" s="2" t="s">
        <v>3</v>
      </c>
      <c r="G2" s="2" t="s">
        <v>36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13</v>
      </c>
      <c r="Z2" s="2" t="s">
        <v>14</v>
      </c>
      <c r="AA2" s="2" t="s">
        <v>51</v>
      </c>
      <c r="AB2" s="2" t="s">
        <v>52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54</v>
      </c>
      <c r="AH2" s="2" t="s">
        <v>53</v>
      </c>
      <c r="AI2" s="2" t="s">
        <v>37</v>
      </c>
      <c r="AJ2" s="2" t="s">
        <v>38</v>
      </c>
      <c r="AK2" s="2" t="s">
        <v>55</v>
      </c>
      <c r="AL2" s="1"/>
    </row>
    <row r="3" spans="1:38" x14ac:dyDescent="0.3">
      <c r="A3" s="2" t="s">
        <v>17</v>
      </c>
      <c r="B3" s="2">
        <v>50</v>
      </c>
      <c r="C3" s="2">
        <v>500</v>
      </c>
      <c r="D3" s="1">
        <f>C3*0.000024085*18.0565/3.438/1000</f>
        <v>6.3247644342641078E-5</v>
      </c>
      <c r="E3" s="1">
        <f>B3*0.001137568*18.0565/3.438/1000</f>
        <v>2.987274082606166E-4</v>
      </c>
      <c r="F3" s="4">
        <f>D3*36</f>
        <v>2.2769151963350789E-3</v>
      </c>
      <c r="G3" s="4">
        <f>F3*3600</f>
        <v>8.1968947068062832</v>
      </c>
      <c r="H3" s="4">
        <f>E3*36</f>
        <v>1.0754186697382198E-2</v>
      </c>
      <c r="I3" s="5">
        <f t="shared" ref="I3:I18" si="0">F3*1000/1.292*60</f>
        <v>105.73909580503461</v>
      </c>
      <c r="J3" s="3">
        <f>H3/999.102*1000000*60</f>
        <v>645.83115822301613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6">
        <f>M3/2+N3/2</f>
        <v>0</v>
      </c>
      <c r="Z3" s="6">
        <f>O3/2+P3/2</f>
        <v>0</v>
      </c>
      <c r="AA3" s="6">
        <f>W3</f>
        <v>0</v>
      </c>
      <c r="AB3" s="6">
        <f>X3</f>
        <v>0</v>
      </c>
      <c r="AC3" s="6">
        <f>Q3/2+R3/2</f>
        <v>0</v>
      </c>
      <c r="AD3" s="6">
        <f>S3/2+T3/2</f>
        <v>0</v>
      </c>
      <c r="AE3" s="6">
        <f>U3</f>
        <v>0</v>
      </c>
      <c r="AF3" s="6">
        <f>V3</f>
        <v>0</v>
      </c>
      <c r="AG3" s="1">
        <f>AA3-AB3</f>
        <v>0</v>
      </c>
      <c r="AH3" s="1">
        <f>1011*K3/I3*F3*(AC3-AD3)</f>
        <v>0</v>
      </c>
      <c r="AI3" s="1">
        <f>L3/J3*H3*(AK3-AJ3)*1000</f>
        <v>0</v>
      </c>
      <c r="AJ3" s="1">
        <v>76.17</v>
      </c>
      <c r="AK3" s="1">
        <v>98.858000000000004</v>
      </c>
      <c r="AL3" s="1" t="e">
        <f>AI3/AH3</f>
        <v>#DIV/0!</v>
      </c>
    </row>
    <row r="4" spans="1:38" x14ac:dyDescent="0.3">
      <c r="A4" s="2" t="s">
        <v>18</v>
      </c>
      <c r="B4" s="2">
        <v>100</v>
      </c>
      <c r="C4" s="2">
        <v>1000</v>
      </c>
      <c r="D4" s="1">
        <f t="shared" ref="D4:D18" si="1">C4*0.000024085*18.0565/3.438/1000</f>
        <v>1.2649528868528216E-4</v>
      </c>
      <c r="E4" s="1">
        <f t="shared" ref="E4:E18" si="2">B4*0.001137568*18.0565/3.438/1000</f>
        <v>5.974548165212332E-4</v>
      </c>
      <c r="F4" s="4">
        <f t="shared" ref="F4:F18" si="3">D4*36</f>
        <v>4.5538303926701577E-3</v>
      </c>
      <c r="G4" s="4">
        <f t="shared" ref="G4:G18" si="4">F4*3600</f>
        <v>16.393789413612566</v>
      </c>
      <c r="H4" s="4">
        <f t="shared" ref="H4:H18" si="5">E4*36</f>
        <v>2.1508373394764396E-2</v>
      </c>
      <c r="I4" s="5">
        <f t="shared" si="0"/>
        <v>211.47819161006922</v>
      </c>
      <c r="J4" s="3">
        <f t="shared" ref="J4:J18" si="6">H4/999.102*1000000*60</f>
        <v>1291.6623164460323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6">
        <f t="shared" ref="Y4:Y18" si="7">M4/2+N4/2</f>
        <v>0</v>
      </c>
      <c r="Z4" s="6">
        <f t="shared" ref="Z4:Z18" si="8">O4/2+P4/2</f>
        <v>0</v>
      </c>
      <c r="AA4" s="6">
        <f t="shared" ref="AA4:AB18" si="9">W4</f>
        <v>0</v>
      </c>
      <c r="AB4" s="6">
        <f t="shared" si="9"/>
        <v>0</v>
      </c>
      <c r="AC4" s="6">
        <f t="shared" ref="AC4:AC18" si="10">Q4/2+R4/2</f>
        <v>0</v>
      </c>
      <c r="AD4" s="6">
        <f t="shared" ref="AD4:AD18" si="11">S4/2+T4/2</f>
        <v>0</v>
      </c>
      <c r="AE4" s="6">
        <f t="shared" ref="AE4:AF18" si="12">U4</f>
        <v>0</v>
      </c>
      <c r="AF4" s="6">
        <f t="shared" si="12"/>
        <v>0</v>
      </c>
      <c r="AG4" s="1">
        <f t="shared" ref="AG4:AG18" si="13">AA4-AB4</f>
        <v>0</v>
      </c>
      <c r="AH4" s="1">
        <f t="shared" ref="AH4:AH18" si="14">1011*K4/I4*F4*(AC4-AD4)</f>
        <v>0</v>
      </c>
      <c r="AI4" s="1">
        <f t="shared" ref="AI4:AI18" si="15">L4/J4*H4*(AK4-AJ4)*1000</f>
        <v>0</v>
      </c>
      <c r="AJ4" s="1">
        <v>76.216999999999999</v>
      </c>
      <c r="AK4" s="1">
        <v>105.248</v>
      </c>
      <c r="AL4" s="1" t="e">
        <f t="shared" ref="AL4:AL18" si="16">AI4/AH4</f>
        <v>#DIV/0!</v>
      </c>
    </row>
    <row r="5" spans="1:38" x14ac:dyDescent="0.3">
      <c r="A5" s="2" t="s">
        <v>19</v>
      </c>
      <c r="B5" s="2">
        <v>150</v>
      </c>
      <c r="C5" s="2">
        <v>1500</v>
      </c>
      <c r="D5" s="1">
        <f t="shared" si="1"/>
        <v>1.8974293302792319E-4</v>
      </c>
      <c r="E5" s="1">
        <f t="shared" si="2"/>
        <v>8.9618222478184996E-4</v>
      </c>
      <c r="F5" s="4">
        <f t="shared" si="3"/>
        <v>6.8307455890052353E-3</v>
      </c>
      <c r="G5" s="4">
        <f t="shared" si="4"/>
        <v>24.590684120418846</v>
      </c>
      <c r="H5" s="4">
        <f t="shared" si="5"/>
        <v>3.2262560092146599E-2</v>
      </c>
      <c r="I5" s="5">
        <f t="shared" si="0"/>
        <v>317.21728741510378</v>
      </c>
      <c r="J5" s="3">
        <f t="shared" si="6"/>
        <v>1937.4934746690487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6">
        <f t="shared" si="7"/>
        <v>0</v>
      </c>
      <c r="Z5" s="6">
        <f t="shared" si="8"/>
        <v>0</v>
      </c>
      <c r="AA5" s="6">
        <f t="shared" si="9"/>
        <v>0</v>
      </c>
      <c r="AB5" s="6">
        <f t="shared" si="9"/>
        <v>0</v>
      </c>
      <c r="AC5" s="6">
        <f t="shared" si="10"/>
        <v>0</v>
      </c>
      <c r="AD5" s="6">
        <f t="shared" si="11"/>
        <v>0</v>
      </c>
      <c r="AE5" s="6">
        <f t="shared" si="12"/>
        <v>0</v>
      </c>
      <c r="AF5" s="6">
        <f t="shared" si="12"/>
        <v>0</v>
      </c>
      <c r="AG5" s="1">
        <f t="shared" si="13"/>
        <v>0</v>
      </c>
      <c r="AH5" s="1">
        <f t="shared" si="14"/>
        <v>0</v>
      </c>
      <c r="AI5" s="1">
        <f t="shared" si="15"/>
        <v>0</v>
      </c>
      <c r="AJ5" s="1">
        <v>93.037000000000006</v>
      </c>
      <c r="AK5" s="1">
        <v>120.91800000000001</v>
      </c>
      <c r="AL5" s="1" t="e">
        <f t="shared" si="16"/>
        <v>#DIV/0!</v>
      </c>
    </row>
    <row r="6" spans="1:38" x14ac:dyDescent="0.3">
      <c r="A6" s="2" t="s">
        <v>20</v>
      </c>
      <c r="B6" s="2">
        <v>200</v>
      </c>
      <c r="C6" s="2">
        <v>2000</v>
      </c>
      <c r="D6" s="1">
        <f t="shared" si="1"/>
        <v>2.5299057737056431E-4</v>
      </c>
      <c r="E6" s="1">
        <f t="shared" si="2"/>
        <v>1.1949096330424664E-3</v>
      </c>
      <c r="F6" s="4">
        <f t="shared" si="3"/>
        <v>9.1076607853403154E-3</v>
      </c>
      <c r="G6" s="4">
        <f t="shared" si="4"/>
        <v>32.787578827225133</v>
      </c>
      <c r="H6" s="4">
        <f t="shared" si="5"/>
        <v>4.3016746789528791E-2</v>
      </c>
      <c r="I6" s="5">
        <f t="shared" si="0"/>
        <v>422.95638322013843</v>
      </c>
      <c r="J6" s="3">
        <f t="shared" si="6"/>
        <v>2583.3246328920645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6">
        <f t="shared" si="7"/>
        <v>0</v>
      </c>
      <c r="Z6" s="6">
        <f t="shared" si="8"/>
        <v>0</v>
      </c>
      <c r="AA6" s="6">
        <f t="shared" si="9"/>
        <v>0</v>
      </c>
      <c r="AB6" s="6">
        <f t="shared" si="9"/>
        <v>0</v>
      </c>
      <c r="AC6" s="6">
        <f t="shared" si="10"/>
        <v>0</v>
      </c>
      <c r="AD6" s="6">
        <f t="shared" si="11"/>
        <v>0</v>
      </c>
      <c r="AE6" s="6">
        <f t="shared" si="12"/>
        <v>0</v>
      </c>
      <c r="AF6" s="6">
        <f t="shared" si="12"/>
        <v>0</v>
      </c>
      <c r="AG6" s="1">
        <f t="shared" si="13"/>
        <v>0</v>
      </c>
      <c r="AH6" s="1">
        <f t="shared" si="14"/>
        <v>0</v>
      </c>
      <c r="AI6" s="1">
        <f t="shared" si="15"/>
        <v>0</v>
      </c>
      <c r="AJ6" s="1">
        <v>100.315</v>
      </c>
      <c r="AK6" s="1">
        <v>127.797</v>
      </c>
      <c r="AL6" s="1" t="e">
        <f t="shared" si="16"/>
        <v>#DIV/0!</v>
      </c>
    </row>
    <row r="7" spans="1:38" x14ac:dyDescent="0.3">
      <c r="A7" s="2" t="s">
        <v>21</v>
      </c>
      <c r="B7" s="2">
        <v>250</v>
      </c>
      <c r="C7" s="2">
        <v>3000</v>
      </c>
      <c r="D7" s="1">
        <f t="shared" si="1"/>
        <v>3.7948586605584639E-4</v>
      </c>
      <c r="E7" s="1">
        <f t="shared" si="2"/>
        <v>1.4936370413030833E-3</v>
      </c>
      <c r="F7" s="4">
        <f t="shared" si="3"/>
        <v>1.3661491178010471E-2</v>
      </c>
      <c r="G7" s="4">
        <f t="shared" si="4"/>
        <v>49.181368240837692</v>
      </c>
      <c r="H7" s="4">
        <f t="shared" si="5"/>
        <v>5.3770933486910998E-2</v>
      </c>
      <c r="I7" s="5">
        <f t="shared" si="0"/>
        <v>634.43457483020757</v>
      </c>
      <c r="J7" s="3">
        <f t="shared" si="6"/>
        <v>3229.1557911150817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6">
        <f t="shared" si="7"/>
        <v>0</v>
      </c>
      <c r="Z7" s="6">
        <f t="shared" si="8"/>
        <v>0</v>
      </c>
      <c r="AA7" s="6">
        <f t="shared" si="9"/>
        <v>0</v>
      </c>
      <c r="AB7" s="6">
        <f t="shared" si="9"/>
        <v>0</v>
      </c>
      <c r="AC7" s="6">
        <f t="shared" si="10"/>
        <v>0</v>
      </c>
      <c r="AD7" s="6">
        <f t="shared" si="11"/>
        <v>0</v>
      </c>
      <c r="AE7" s="6">
        <f t="shared" si="12"/>
        <v>0</v>
      </c>
      <c r="AF7" s="6">
        <f t="shared" si="12"/>
        <v>0</v>
      </c>
      <c r="AG7" s="1">
        <f t="shared" si="13"/>
        <v>0</v>
      </c>
      <c r="AH7" s="1">
        <f t="shared" si="14"/>
        <v>0</v>
      </c>
      <c r="AI7" s="1">
        <f t="shared" si="15"/>
        <v>0</v>
      </c>
      <c r="AJ7" s="1">
        <v>111.47199999999999</v>
      </c>
      <c r="AK7" s="1">
        <v>143.29499999999999</v>
      </c>
      <c r="AL7" s="1" t="e">
        <f t="shared" si="16"/>
        <v>#DIV/0!</v>
      </c>
    </row>
    <row r="8" spans="1:38" x14ac:dyDescent="0.3">
      <c r="A8" s="2" t="s">
        <v>22</v>
      </c>
      <c r="B8" s="2">
        <v>300</v>
      </c>
      <c r="C8" s="2">
        <v>4000</v>
      </c>
      <c r="D8" s="1">
        <f t="shared" si="1"/>
        <v>5.0598115474112862E-4</v>
      </c>
      <c r="E8" s="1">
        <f t="shared" si="2"/>
        <v>1.7923644495636999E-3</v>
      </c>
      <c r="F8" s="4">
        <f t="shared" si="3"/>
        <v>1.8215321570680631E-2</v>
      </c>
      <c r="G8" s="4">
        <f t="shared" si="4"/>
        <v>65.575157654450265</v>
      </c>
      <c r="H8" s="4">
        <f t="shared" si="5"/>
        <v>6.4525120184293197E-2</v>
      </c>
      <c r="I8" s="5">
        <f t="shared" si="0"/>
        <v>845.91276644027687</v>
      </c>
      <c r="J8" s="3">
        <f t="shared" si="6"/>
        <v>3874.9869493380975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6">
        <f t="shared" si="7"/>
        <v>0</v>
      </c>
      <c r="Z8" s="6">
        <f t="shared" si="8"/>
        <v>0</v>
      </c>
      <c r="AA8" s="6">
        <f t="shared" si="9"/>
        <v>0</v>
      </c>
      <c r="AB8" s="6">
        <f t="shared" si="9"/>
        <v>0</v>
      </c>
      <c r="AC8" s="6">
        <f t="shared" si="10"/>
        <v>0</v>
      </c>
      <c r="AD8" s="6">
        <f t="shared" si="11"/>
        <v>0</v>
      </c>
      <c r="AE8" s="6">
        <f t="shared" si="12"/>
        <v>0</v>
      </c>
      <c r="AF8" s="6">
        <f t="shared" si="12"/>
        <v>0</v>
      </c>
      <c r="AG8" s="1">
        <f t="shared" si="13"/>
        <v>0</v>
      </c>
      <c r="AH8" s="1">
        <f t="shared" si="14"/>
        <v>0</v>
      </c>
      <c r="AI8" s="1">
        <f t="shared" si="15"/>
        <v>0</v>
      </c>
      <c r="AJ8" s="1">
        <v>124.63800000000001</v>
      </c>
      <c r="AK8" s="1">
        <v>158.57</v>
      </c>
      <c r="AL8" s="1" t="e">
        <f t="shared" si="16"/>
        <v>#DIV/0!</v>
      </c>
    </row>
    <row r="9" spans="1:38" x14ac:dyDescent="0.3">
      <c r="A9" s="2" t="s">
        <v>23</v>
      </c>
      <c r="B9" s="2">
        <v>350</v>
      </c>
      <c r="C9" s="2">
        <v>4500</v>
      </c>
      <c r="D9" s="1">
        <f t="shared" si="1"/>
        <v>5.6922879908376971E-4</v>
      </c>
      <c r="E9" s="1">
        <f t="shared" si="2"/>
        <v>2.0910918578243166E-3</v>
      </c>
      <c r="F9" s="4">
        <f t="shared" si="3"/>
        <v>2.0492236767015708E-2</v>
      </c>
      <c r="G9" s="4">
        <f t="shared" si="4"/>
        <v>73.772052361256556</v>
      </c>
      <c r="H9" s="4">
        <f t="shared" si="5"/>
        <v>7.527930688167539E-2</v>
      </c>
      <c r="I9" s="5">
        <f t="shared" si="0"/>
        <v>951.65186224531146</v>
      </c>
      <c r="J9" s="3">
        <f t="shared" si="6"/>
        <v>4520.8181075611128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>
        <f t="shared" si="7"/>
        <v>0</v>
      </c>
      <c r="Z9" s="6">
        <f t="shared" si="8"/>
        <v>0</v>
      </c>
      <c r="AA9" s="6">
        <f t="shared" si="9"/>
        <v>0</v>
      </c>
      <c r="AB9" s="6">
        <f t="shared" si="9"/>
        <v>0</v>
      </c>
      <c r="AC9" s="6">
        <f t="shared" si="10"/>
        <v>0</v>
      </c>
      <c r="AD9" s="6">
        <f t="shared" si="11"/>
        <v>0</v>
      </c>
      <c r="AE9" s="6">
        <f t="shared" si="12"/>
        <v>0</v>
      </c>
      <c r="AF9" s="6">
        <f t="shared" si="12"/>
        <v>0</v>
      </c>
      <c r="AG9" s="1">
        <f t="shared" si="13"/>
        <v>0</v>
      </c>
      <c r="AH9" s="1">
        <f t="shared" si="14"/>
        <v>0</v>
      </c>
      <c r="AI9" s="1">
        <f t="shared" si="15"/>
        <v>0</v>
      </c>
      <c r="AJ9" s="1">
        <v>146.07499999999999</v>
      </c>
      <c r="AK9" s="1">
        <v>176.12200000000001</v>
      </c>
      <c r="AL9" s="1" t="e">
        <f t="shared" si="16"/>
        <v>#DIV/0!</v>
      </c>
    </row>
    <row r="10" spans="1:38" x14ac:dyDescent="0.3">
      <c r="A10" s="2" t="s">
        <v>24</v>
      </c>
      <c r="B10" s="2">
        <v>400</v>
      </c>
      <c r="C10" s="2">
        <v>5000</v>
      </c>
      <c r="D10" s="1">
        <f t="shared" si="1"/>
        <v>6.3247644342641059E-4</v>
      </c>
      <c r="E10" s="1">
        <f t="shared" si="2"/>
        <v>2.3898192660849328E-3</v>
      </c>
      <c r="F10" s="4">
        <f t="shared" si="3"/>
        <v>2.2769151963350782E-2</v>
      </c>
      <c r="G10" s="4">
        <f t="shared" si="4"/>
        <v>81.968947068062818</v>
      </c>
      <c r="H10" s="4">
        <f t="shared" si="5"/>
        <v>8.6033493579057582E-2</v>
      </c>
      <c r="I10" s="5">
        <f t="shared" si="0"/>
        <v>1057.3909580503459</v>
      </c>
      <c r="J10" s="3">
        <f t="shared" si="6"/>
        <v>5166.6492657841291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6">
        <f t="shared" si="7"/>
        <v>0</v>
      </c>
      <c r="Z10" s="6">
        <f t="shared" si="8"/>
        <v>0</v>
      </c>
      <c r="AA10" s="6">
        <f t="shared" si="9"/>
        <v>0</v>
      </c>
      <c r="AB10" s="6">
        <f t="shared" si="9"/>
        <v>0</v>
      </c>
      <c r="AC10" s="6">
        <f t="shared" si="10"/>
        <v>0</v>
      </c>
      <c r="AD10" s="6">
        <f t="shared" si="11"/>
        <v>0</v>
      </c>
      <c r="AE10" s="6">
        <f t="shared" si="12"/>
        <v>0</v>
      </c>
      <c r="AF10" s="6">
        <f t="shared" si="12"/>
        <v>0</v>
      </c>
      <c r="AG10" s="1">
        <f t="shared" si="13"/>
        <v>0</v>
      </c>
      <c r="AH10" s="1">
        <f t="shared" si="14"/>
        <v>0</v>
      </c>
      <c r="AI10" s="1">
        <f t="shared" si="15"/>
        <v>0</v>
      </c>
      <c r="AJ10" s="1">
        <v>112.818</v>
      </c>
      <c r="AK10" s="1">
        <v>140.70500000000001</v>
      </c>
      <c r="AL10" s="1" t="e">
        <f t="shared" si="16"/>
        <v>#DIV/0!</v>
      </c>
    </row>
    <row r="11" spans="1:38" x14ac:dyDescent="0.3">
      <c r="A11" s="2" t="s">
        <v>25</v>
      </c>
      <c r="B11" s="2">
        <v>450</v>
      </c>
      <c r="C11" s="2">
        <v>5500</v>
      </c>
      <c r="D11" s="1">
        <f t="shared" si="1"/>
        <v>6.9572408776905168E-4</v>
      </c>
      <c r="E11" s="1">
        <f t="shared" si="2"/>
        <v>2.6885466743455503E-3</v>
      </c>
      <c r="F11" s="4">
        <f t="shared" si="3"/>
        <v>2.504606715968586E-2</v>
      </c>
      <c r="G11" s="4">
        <f t="shared" si="4"/>
        <v>90.165841774869094</v>
      </c>
      <c r="H11" s="4">
        <f t="shared" si="5"/>
        <v>9.6787680276439816E-2</v>
      </c>
      <c r="I11" s="5">
        <f t="shared" si="0"/>
        <v>1163.1300538553805</v>
      </c>
      <c r="J11" s="3">
        <f t="shared" si="6"/>
        <v>5812.4804240071471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6">
        <f t="shared" si="7"/>
        <v>0</v>
      </c>
      <c r="Z11" s="6">
        <f t="shared" si="8"/>
        <v>0</v>
      </c>
      <c r="AA11" s="6">
        <f t="shared" si="9"/>
        <v>0</v>
      </c>
      <c r="AB11" s="6">
        <f t="shared" si="9"/>
        <v>0</v>
      </c>
      <c r="AC11" s="6">
        <f t="shared" si="10"/>
        <v>0</v>
      </c>
      <c r="AD11" s="6">
        <f t="shared" si="11"/>
        <v>0</v>
      </c>
      <c r="AE11" s="6">
        <f t="shared" si="12"/>
        <v>0</v>
      </c>
      <c r="AF11" s="6">
        <f t="shared" si="12"/>
        <v>0</v>
      </c>
      <c r="AG11" s="1">
        <f t="shared" si="13"/>
        <v>0</v>
      </c>
      <c r="AH11" s="1">
        <f t="shared" si="14"/>
        <v>0</v>
      </c>
      <c r="AI11" s="1">
        <f t="shared" si="15"/>
        <v>0</v>
      </c>
      <c r="AJ11" s="1">
        <v>125.595</v>
      </c>
      <c r="AK11" s="1">
        <v>150.494</v>
      </c>
      <c r="AL11" s="1" t="e">
        <f t="shared" si="16"/>
        <v>#DIV/0!</v>
      </c>
    </row>
    <row r="12" spans="1:38" s="4" customFormat="1" x14ac:dyDescent="0.3">
      <c r="A12" s="12" t="s">
        <v>26</v>
      </c>
      <c r="B12" s="12">
        <v>500</v>
      </c>
      <c r="C12" s="12">
        <v>6000</v>
      </c>
      <c r="D12" s="4">
        <f t="shared" si="1"/>
        <v>7.5897173211169277E-4</v>
      </c>
      <c r="E12" s="4">
        <f t="shared" si="2"/>
        <v>2.9872740826061665E-3</v>
      </c>
      <c r="F12" s="4">
        <f t="shared" si="3"/>
        <v>2.7322982356020941E-2</v>
      </c>
      <c r="G12" s="4">
        <f t="shared" si="4"/>
        <v>98.362736481675384</v>
      </c>
      <c r="H12" s="4">
        <f t="shared" si="5"/>
        <v>0.107541866973822</v>
      </c>
      <c r="I12" s="5">
        <f t="shared" si="0"/>
        <v>1268.8691496604151</v>
      </c>
      <c r="J12" s="5">
        <f t="shared" si="6"/>
        <v>6458.3115822301634</v>
      </c>
      <c r="K12" s="4">
        <v>1269</v>
      </c>
      <c r="L12" s="4">
        <v>6419</v>
      </c>
      <c r="M12" s="4">
        <v>33.489148622047239</v>
      </c>
      <c r="N12" s="4">
        <v>33.457195776664271</v>
      </c>
      <c r="O12" s="4">
        <v>38.574224230493812</v>
      </c>
      <c r="P12" s="4">
        <v>38.434690855404625</v>
      </c>
      <c r="Q12" s="4">
        <v>129.5275742662848</v>
      </c>
      <c r="R12" s="4">
        <v>129.80616991768028</v>
      </c>
      <c r="S12" s="4">
        <v>33.397970651395909</v>
      </c>
      <c r="T12" s="4">
        <v>33.322128221188073</v>
      </c>
      <c r="U12" s="4">
        <v>118789.42618110236</v>
      </c>
      <c r="V12" s="4">
        <v>12481.440452755905</v>
      </c>
      <c r="W12" s="4">
        <v>2035.2253937007872</v>
      </c>
      <c r="X12" s="4">
        <v>-1437.4977854330709</v>
      </c>
      <c r="Y12" s="13">
        <f t="shared" si="7"/>
        <v>33.473172199355758</v>
      </c>
      <c r="Z12" s="13">
        <f t="shared" si="8"/>
        <v>38.504457542949218</v>
      </c>
      <c r="AA12" s="13">
        <f t="shared" si="9"/>
        <v>2035.2253937007872</v>
      </c>
      <c r="AB12" s="13">
        <f t="shared" si="9"/>
        <v>-1437.4977854330709</v>
      </c>
      <c r="AC12" s="13">
        <f t="shared" si="10"/>
        <v>129.66687209198255</v>
      </c>
      <c r="AD12" s="13">
        <f t="shared" si="11"/>
        <v>33.360049436291987</v>
      </c>
      <c r="AE12" s="13">
        <f t="shared" si="12"/>
        <v>118789.42618110236</v>
      </c>
      <c r="AF12" s="13">
        <f t="shared" si="12"/>
        <v>12481.440452755905</v>
      </c>
      <c r="AG12" s="4">
        <f t="shared" si="13"/>
        <v>3472.7231791338581</v>
      </c>
      <c r="AH12" s="4">
        <f t="shared" si="14"/>
        <v>2660.6092452446433</v>
      </c>
      <c r="AI12" s="4">
        <f t="shared" si="15"/>
        <v>2247.5184643821017</v>
      </c>
      <c r="AJ12" s="4">
        <v>140.339</v>
      </c>
      <c r="AK12" s="4">
        <v>161.36600000000001</v>
      </c>
      <c r="AL12" s="4">
        <f t="shared" si="16"/>
        <v>0.84473827503949839</v>
      </c>
    </row>
    <row r="13" spans="1:38" x14ac:dyDescent="0.3">
      <c r="A13" s="2" t="s">
        <v>27</v>
      </c>
      <c r="B13" s="2">
        <v>550</v>
      </c>
      <c r="C13" s="2">
        <v>6500</v>
      </c>
      <c r="D13" s="1">
        <f t="shared" si="1"/>
        <v>8.2221937645433386E-4</v>
      </c>
      <c r="E13" s="1">
        <f t="shared" si="2"/>
        <v>3.2860014908667828E-3</v>
      </c>
      <c r="F13" s="4">
        <f t="shared" si="3"/>
        <v>2.9599897552356019E-2</v>
      </c>
      <c r="G13" s="4">
        <f t="shared" si="4"/>
        <v>106.55963118848166</v>
      </c>
      <c r="H13" s="4">
        <f t="shared" si="5"/>
        <v>0.11829605367120417</v>
      </c>
      <c r="I13" s="5">
        <f t="shared" si="0"/>
        <v>1374.6082454654497</v>
      </c>
      <c r="J13" s="3">
        <f t="shared" si="6"/>
        <v>7104.1427404531769</v>
      </c>
      <c r="K13" s="11">
        <v>1375</v>
      </c>
      <c r="L13" s="11">
        <v>7137</v>
      </c>
      <c r="M13" s="11">
        <v>33.353670120898187</v>
      </c>
      <c r="N13" s="11">
        <v>33.316108101742913</v>
      </c>
      <c r="O13" s="11">
        <v>37.929081488459708</v>
      </c>
      <c r="P13" s="11">
        <v>38.041276495525167</v>
      </c>
      <c r="Q13" s="11">
        <v>124.7241961061375</v>
      </c>
      <c r="R13" s="11">
        <v>124.97239872821437</v>
      </c>
      <c r="S13" s="11">
        <v>33.035404694614826</v>
      </c>
      <c r="T13" s="11">
        <v>32.953376903752897</v>
      </c>
      <c r="U13" s="11">
        <v>132342.03238341969</v>
      </c>
      <c r="V13" s="11">
        <v>14228.487046632124</v>
      </c>
      <c r="W13" s="11">
        <v>4253.9471070811742</v>
      </c>
      <c r="X13" s="11">
        <v>84.120682210707855</v>
      </c>
      <c r="Y13" s="13">
        <f t="shared" si="7"/>
        <v>33.33488911132055</v>
      </c>
      <c r="Z13" s="13">
        <f t="shared" si="8"/>
        <v>37.985178991992441</v>
      </c>
      <c r="AA13" s="6">
        <f t="shared" si="9"/>
        <v>4253.9471070811742</v>
      </c>
      <c r="AB13" s="6">
        <f t="shared" si="9"/>
        <v>84.120682210707855</v>
      </c>
      <c r="AC13" s="6">
        <f t="shared" si="10"/>
        <v>124.84829741717593</v>
      </c>
      <c r="AD13" s="6">
        <f t="shared" si="11"/>
        <v>32.994390799183861</v>
      </c>
      <c r="AE13" s="6">
        <f t="shared" si="12"/>
        <v>132342.03238341969</v>
      </c>
      <c r="AF13" s="6">
        <f t="shared" si="12"/>
        <v>14228.487046632124</v>
      </c>
      <c r="AG13" s="1">
        <f t="shared" si="13"/>
        <v>4169.8264248704663</v>
      </c>
      <c r="AH13" s="1">
        <f t="shared" si="14"/>
        <v>2749.55713705064</v>
      </c>
      <c r="AI13" s="1">
        <f t="shared" si="15"/>
        <v>2806.4817641835011</v>
      </c>
      <c r="AJ13" s="1">
        <v>139.76</v>
      </c>
      <c r="AK13" s="1">
        <v>163.375</v>
      </c>
      <c r="AL13" s="1">
        <f t="shared" si="16"/>
        <v>1.0207031984772363</v>
      </c>
    </row>
    <row r="14" spans="1:38" x14ac:dyDescent="0.3">
      <c r="A14" s="2" t="s">
        <v>28</v>
      </c>
      <c r="B14" s="2">
        <v>575</v>
      </c>
      <c r="C14" s="2">
        <v>7000</v>
      </c>
      <c r="D14" s="1">
        <f t="shared" si="1"/>
        <v>8.8546702079697495E-4</v>
      </c>
      <c r="E14" s="1">
        <f t="shared" si="2"/>
        <v>3.4353651949970915E-3</v>
      </c>
      <c r="F14" s="4">
        <f t="shared" si="3"/>
        <v>3.18768127486911E-2</v>
      </c>
      <c r="G14" s="4">
        <f t="shared" si="4"/>
        <v>114.75652589528796</v>
      </c>
      <c r="H14" s="4">
        <f t="shared" si="5"/>
        <v>0.12367314701989529</v>
      </c>
      <c r="I14" s="5">
        <f t="shared" si="0"/>
        <v>1480.3473412704845</v>
      </c>
      <c r="J14" s="3">
        <f t="shared" si="6"/>
        <v>7427.0583195646868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3">
        <f t="shared" si="7"/>
        <v>0</v>
      </c>
      <c r="Z14" s="13">
        <f t="shared" si="8"/>
        <v>0</v>
      </c>
      <c r="AA14" s="6">
        <f t="shared" si="9"/>
        <v>0</v>
      </c>
      <c r="AB14" s="6">
        <f t="shared" si="9"/>
        <v>0</v>
      </c>
      <c r="AC14" s="6">
        <f t="shared" si="10"/>
        <v>0</v>
      </c>
      <c r="AD14" s="6">
        <f t="shared" si="11"/>
        <v>0</v>
      </c>
      <c r="AE14" s="6">
        <f t="shared" si="12"/>
        <v>0</v>
      </c>
      <c r="AF14" s="6">
        <f t="shared" si="12"/>
        <v>0</v>
      </c>
      <c r="AG14" s="1">
        <f t="shared" si="13"/>
        <v>0</v>
      </c>
      <c r="AH14" s="1">
        <f>1011*I13/I14*F14*(AC14-AD14)</f>
        <v>0</v>
      </c>
      <c r="AI14" s="1">
        <f t="shared" si="15"/>
        <v>0</v>
      </c>
      <c r="AJ14" s="1"/>
      <c r="AK14" s="1"/>
      <c r="AL14" s="1" t="e">
        <f t="shared" si="16"/>
        <v>#DIV/0!</v>
      </c>
    </row>
    <row r="15" spans="1:38" x14ac:dyDescent="0.3">
      <c r="A15" s="2" t="s">
        <v>29</v>
      </c>
      <c r="B15" s="2">
        <v>600</v>
      </c>
      <c r="C15" s="2">
        <v>7500</v>
      </c>
      <c r="D15" s="1">
        <f t="shared" si="1"/>
        <v>9.4871466513961604E-4</v>
      </c>
      <c r="E15" s="1">
        <f t="shared" si="2"/>
        <v>3.5847288991273998E-3</v>
      </c>
      <c r="F15" s="4">
        <f t="shared" si="3"/>
        <v>3.4153727945026177E-2</v>
      </c>
      <c r="G15" s="4">
        <f t="shared" si="4"/>
        <v>122.95342060209424</v>
      </c>
      <c r="H15" s="4">
        <f t="shared" si="5"/>
        <v>0.12905024036858639</v>
      </c>
      <c r="I15" s="5">
        <f t="shared" si="0"/>
        <v>1586.0864370755189</v>
      </c>
      <c r="J15" s="3">
        <f t="shared" si="6"/>
        <v>7749.9738986761949</v>
      </c>
      <c r="K15" s="1">
        <v>1586</v>
      </c>
      <c r="L15" s="1">
        <v>7760</v>
      </c>
      <c r="M15" s="1">
        <v>32.372722540343666</v>
      </c>
      <c r="N15" s="1">
        <v>32.346683545501918</v>
      </c>
      <c r="O15" s="1">
        <v>36.671040177937599</v>
      </c>
      <c r="P15" s="1">
        <v>36.766954237849596</v>
      </c>
      <c r="Q15" s="1">
        <v>114.40506223084581</v>
      </c>
      <c r="R15" s="1">
        <v>114.63418342719356</v>
      </c>
      <c r="S15" s="1">
        <v>32.01452463205699</v>
      </c>
      <c r="T15" s="1">
        <v>31.98451469405115</v>
      </c>
      <c r="U15" s="1">
        <v>157143.05934409163</v>
      </c>
      <c r="V15" s="1">
        <v>17605.047371160854</v>
      </c>
      <c r="W15" s="1">
        <v>4765.965122332118</v>
      </c>
      <c r="X15" s="1">
        <v>-250.70874544508024</v>
      </c>
      <c r="Y15" s="13">
        <f t="shared" si="7"/>
        <v>32.359703042922789</v>
      </c>
      <c r="Z15" s="13">
        <f t="shared" si="8"/>
        <v>36.718997207893594</v>
      </c>
      <c r="AA15" s="6">
        <f t="shared" si="9"/>
        <v>4765.965122332118</v>
      </c>
      <c r="AB15" s="6">
        <f t="shared" si="9"/>
        <v>-250.70874544508024</v>
      </c>
      <c r="AC15" s="6">
        <f t="shared" si="10"/>
        <v>114.51962282901968</v>
      </c>
      <c r="AD15" s="6">
        <f t="shared" si="11"/>
        <v>31.99951966305407</v>
      </c>
      <c r="AE15" s="6">
        <f t="shared" si="12"/>
        <v>157143.05934409163</v>
      </c>
      <c r="AF15" s="6">
        <f t="shared" si="12"/>
        <v>17605.047371160854</v>
      </c>
      <c r="AG15" s="1">
        <f t="shared" si="13"/>
        <v>5016.6738677771982</v>
      </c>
      <c r="AH15" s="1">
        <f t="shared" si="14"/>
        <v>2849.2159318107156</v>
      </c>
      <c r="AI15" s="1">
        <f t="shared" si="15"/>
        <v>2354.2080210479994</v>
      </c>
      <c r="AJ15" s="1">
        <v>135.685</v>
      </c>
      <c r="AK15" s="1">
        <v>153.904</v>
      </c>
      <c r="AL15" s="1">
        <f t="shared" si="16"/>
        <v>0.82626521730554414</v>
      </c>
    </row>
    <row r="16" spans="1:38" x14ac:dyDescent="0.3">
      <c r="A16" s="2" t="s">
        <v>30</v>
      </c>
      <c r="B16" s="2">
        <v>625</v>
      </c>
      <c r="C16" s="2">
        <v>8000</v>
      </c>
      <c r="D16" s="1">
        <f t="shared" si="1"/>
        <v>1.0119623094822572E-3</v>
      </c>
      <c r="E16" s="1">
        <f t="shared" si="2"/>
        <v>3.7340926032577082E-3</v>
      </c>
      <c r="F16" s="4">
        <f t="shared" si="3"/>
        <v>3.6430643141361262E-2</v>
      </c>
      <c r="G16" s="4">
        <f t="shared" si="4"/>
        <v>131.15031530890053</v>
      </c>
      <c r="H16" s="4">
        <f t="shared" si="5"/>
        <v>0.1344273337172775</v>
      </c>
      <c r="I16" s="5">
        <f t="shared" si="0"/>
        <v>1691.8255328805537</v>
      </c>
      <c r="J16" s="3">
        <f t="shared" si="6"/>
        <v>8072.8894777877022</v>
      </c>
      <c r="K16" s="1">
        <v>1692</v>
      </c>
      <c r="L16" s="1">
        <v>8068</v>
      </c>
      <c r="M16" s="1">
        <v>31.78478218306417</v>
      </c>
      <c r="N16" s="1">
        <v>31.744274017710225</v>
      </c>
      <c r="O16" s="1">
        <v>35.865151070173127</v>
      </c>
      <c r="P16" s="1">
        <v>35.892228006941721</v>
      </c>
      <c r="Q16" s="1">
        <v>108.6459133182039</v>
      </c>
      <c r="R16" s="1">
        <v>108.89910292350861</v>
      </c>
      <c r="S16" s="1">
        <v>31.304354558803819</v>
      </c>
      <c r="T16" s="1">
        <v>31.314559248876346</v>
      </c>
      <c r="U16" s="1">
        <v>170904.57709251103</v>
      </c>
      <c r="V16" s="1">
        <v>19561.726872246694</v>
      </c>
      <c r="W16" s="1">
        <v>5279.8345570239835</v>
      </c>
      <c r="X16" s="1">
        <v>-382.86196769456637</v>
      </c>
      <c r="Y16" s="13">
        <f t="shared" si="7"/>
        <v>31.764528100387196</v>
      </c>
      <c r="Z16" s="13">
        <f t="shared" si="8"/>
        <v>35.878689538557424</v>
      </c>
      <c r="AA16" s="6">
        <f t="shared" si="9"/>
        <v>5279.8345570239835</v>
      </c>
      <c r="AB16" s="6">
        <f t="shared" si="9"/>
        <v>-382.86196769456637</v>
      </c>
      <c r="AC16" s="6">
        <f t="shared" si="10"/>
        <v>108.77250812085626</v>
      </c>
      <c r="AD16" s="6">
        <f t="shared" si="11"/>
        <v>31.309456903840083</v>
      </c>
      <c r="AE16" s="6">
        <f t="shared" si="12"/>
        <v>170904.57709251103</v>
      </c>
      <c r="AF16" s="6">
        <f t="shared" si="12"/>
        <v>19561.726872246694</v>
      </c>
      <c r="AG16" s="1">
        <f t="shared" si="13"/>
        <v>5662.6965247185499</v>
      </c>
      <c r="AH16" s="1">
        <f t="shared" si="14"/>
        <v>2853.3653109871279</v>
      </c>
      <c r="AI16" s="1">
        <f t="shared" si="15"/>
        <v>2309.5406350796006</v>
      </c>
      <c r="AJ16" s="1">
        <v>133.19800000000001</v>
      </c>
      <c r="AK16" s="1">
        <v>150.38900000000001</v>
      </c>
      <c r="AL16" s="1">
        <f t="shared" si="16"/>
        <v>0.80940937572434779</v>
      </c>
    </row>
    <row r="17" spans="1:38" x14ac:dyDescent="0.3">
      <c r="A17" s="2" t="s">
        <v>31</v>
      </c>
      <c r="B17" s="2">
        <v>650</v>
      </c>
      <c r="C17" s="2">
        <v>8500</v>
      </c>
      <c r="D17" s="1">
        <f t="shared" si="1"/>
        <v>1.0752099538248983E-3</v>
      </c>
      <c r="E17" s="1">
        <f t="shared" si="2"/>
        <v>3.8834563073880161E-3</v>
      </c>
      <c r="F17" s="4">
        <f t="shared" si="3"/>
        <v>3.8707558337696339E-2</v>
      </c>
      <c r="G17" s="4">
        <f t="shared" si="4"/>
        <v>139.34721001570682</v>
      </c>
      <c r="H17" s="4">
        <f t="shared" si="5"/>
        <v>0.13980442706596857</v>
      </c>
      <c r="I17" s="5">
        <f t="shared" si="0"/>
        <v>1797.5646286855886</v>
      </c>
      <c r="J17" s="3">
        <f t="shared" si="6"/>
        <v>8395.8050568992112</v>
      </c>
      <c r="K17" s="1">
        <v>1798</v>
      </c>
      <c r="L17" s="1">
        <v>8430</v>
      </c>
      <c r="M17" s="1">
        <v>33.702994886778917</v>
      </c>
      <c r="N17" s="1">
        <v>33.648194767248668</v>
      </c>
      <c r="O17" s="1">
        <v>37.371119264227637</v>
      </c>
      <c r="P17" s="1">
        <v>37.373516169732355</v>
      </c>
      <c r="Q17" s="1">
        <v>101.96620658742393</v>
      </c>
      <c r="R17" s="1">
        <v>102.20262932465639</v>
      </c>
      <c r="S17" s="1">
        <v>32.931356995815435</v>
      </c>
      <c r="T17" s="1">
        <v>32.940963543395348</v>
      </c>
      <c r="U17" s="1">
        <v>186526.87582176772</v>
      </c>
      <c r="V17" s="1">
        <v>21987.18334550767</v>
      </c>
      <c r="W17" s="1">
        <v>5750.4390065741409</v>
      </c>
      <c r="X17" s="1">
        <v>-360.40796201607009</v>
      </c>
      <c r="Y17" s="13">
        <f t="shared" si="7"/>
        <v>33.675594827013796</v>
      </c>
      <c r="Z17" s="13">
        <f t="shared" si="8"/>
        <v>37.372317716979992</v>
      </c>
      <c r="AA17" s="6">
        <f t="shared" si="9"/>
        <v>5750.4390065741409</v>
      </c>
      <c r="AB17" s="6">
        <f t="shared" si="9"/>
        <v>-360.40796201607009</v>
      </c>
      <c r="AC17" s="6">
        <f t="shared" si="10"/>
        <v>102.08441795604016</v>
      </c>
      <c r="AD17" s="6">
        <f t="shared" si="11"/>
        <v>32.936160269605395</v>
      </c>
      <c r="AE17" s="6">
        <f t="shared" si="12"/>
        <v>186526.87582176772</v>
      </c>
      <c r="AF17" s="6">
        <f t="shared" si="12"/>
        <v>21987.18334550767</v>
      </c>
      <c r="AG17" s="1">
        <f t="shared" si="13"/>
        <v>6110.846968590211</v>
      </c>
      <c r="AH17" s="1">
        <f t="shared" si="14"/>
        <v>2706.6577762744296</v>
      </c>
      <c r="AI17" s="1">
        <f t="shared" si="15"/>
        <v>2168.635315119001</v>
      </c>
      <c r="AJ17" s="1">
        <v>141.184</v>
      </c>
      <c r="AK17" s="1">
        <v>156.63300000000001</v>
      </c>
      <c r="AL17" s="1">
        <f t="shared" si="16"/>
        <v>0.80122257572732825</v>
      </c>
    </row>
    <row r="18" spans="1:38" x14ac:dyDescent="0.3">
      <c r="A18" s="2" t="s">
        <v>32</v>
      </c>
      <c r="B18" s="2">
        <v>675</v>
      </c>
      <c r="C18" s="2">
        <v>9000</v>
      </c>
      <c r="D18" s="1">
        <f t="shared" si="1"/>
        <v>1.1384575981675394E-3</v>
      </c>
      <c r="E18" s="1">
        <f t="shared" si="2"/>
        <v>4.0328200115183239E-3</v>
      </c>
      <c r="F18" s="4">
        <f t="shared" si="3"/>
        <v>4.0984473534031417E-2</v>
      </c>
      <c r="G18" s="4">
        <f t="shared" si="4"/>
        <v>147.54410472251311</v>
      </c>
      <c r="H18" s="4">
        <f t="shared" si="5"/>
        <v>0.14518152041465965</v>
      </c>
      <c r="I18" s="5">
        <f t="shared" si="0"/>
        <v>1903.3037244906229</v>
      </c>
      <c r="J18" s="3">
        <f t="shared" si="6"/>
        <v>8718.7206360107157</v>
      </c>
      <c r="K18" s="1">
        <v>1903</v>
      </c>
      <c r="L18" s="1">
        <v>8737</v>
      </c>
      <c r="M18" s="1">
        <v>34.773739237392412</v>
      </c>
      <c r="N18" s="1">
        <v>34.743349658950869</v>
      </c>
      <c r="O18" s="1">
        <v>38.238384434753236</v>
      </c>
      <c r="P18" s="1">
        <v>38.237273398188343</v>
      </c>
      <c r="Q18" s="1">
        <v>97.063669909425442</v>
      </c>
      <c r="R18" s="1">
        <v>97.352766409482541</v>
      </c>
      <c r="S18" s="1">
        <v>33.868850497595815</v>
      </c>
      <c r="T18" s="1">
        <v>33.908460248237809</v>
      </c>
      <c r="U18" s="1">
        <v>202302.58302583024</v>
      </c>
      <c r="V18" s="1">
        <v>24486.608856088562</v>
      </c>
      <c r="W18" s="1">
        <v>7570.6666666666661</v>
      </c>
      <c r="X18" s="1">
        <v>953.65067650676519</v>
      </c>
      <c r="Y18" s="13">
        <f t="shared" si="7"/>
        <v>34.758544448171641</v>
      </c>
      <c r="Z18" s="13">
        <f t="shared" si="8"/>
        <v>38.237828916470789</v>
      </c>
      <c r="AA18" s="6">
        <f t="shared" si="9"/>
        <v>7570.6666666666661</v>
      </c>
      <c r="AB18" s="6">
        <f t="shared" si="9"/>
        <v>953.65067650676519</v>
      </c>
      <c r="AC18" s="6">
        <f t="shared" si="10"/>
        <v>97.208218159453992</v>
      </c>
      <c r="AD18" s="6">
        <f t="shared" si="11"/>
        <v>33.888655372916816</v>
      </c>
      <c r="AE18" s="6">
        <f t="shared" si="12"/>
        <v>202302.58302583024</v>
      </c>
      <c r="AF18" s="6">
        <f t="shared" si="12"/>
        <v>24486.608856088562</v>
      </c>
      <c r="AG18" s="1">
        <f t="shared" si="13"/>
        <v>6617.0159901599009</v>
      </c>
      <c r="AH18" s="1">
        <f t="shared" si="14"/>
        <v>2623.2465756107226</v>
      </c>
      <c r="AI18" s="1">
        <f t="shared" si="15"/>
        <v>2115.801485874701</v>
      </c>
      <c r="AJ18" s="1">
        <v>145.708</v>
      </c>
      <c r="AK18" s="1">
        <v>160.251</v>
      </c>
      <c r="AL18" s="1">
        <f t="shared" si="16"/>
        <v>0.8065583714264899</v>
      </c>
    </row>
    <row r="19" spans="1:38" x14ac:dyDescent="0.3">
      <c r="A19" s="2"/>
      <c r="B19" s="2"/>
      <c r="C19" s="1"/>
      <c r="D19" s="1"/>
      <c r="E19" s="1"/>
      <c r="F19" s="1"/>
      <c r="G19" s="1"/>
      <c r="H19" s="1"/>
      <c r="I19" s="3"/>
      <c r="J19" s="7"/>
      <c r="K19" s="1"/>
      <c r="L19" s="1"/>
      <c r="M19" s="1">
        <v>-0.56000000000000005</v>
      </c>
      <c r="N19" s="1">
        <v>-0.59272727272727233</v>
      </c>
      <c r="O19" s="1">
        <v>-0.55545454545454509</v>
      </c>
      <c r="P19" s="1">
        <v>-0.61272727272727356</v>
      </c>
      <c r="Q19" s="1">
        <v>-0.70636363636363697</v>
      </c>
      <c r="R19" s="1">
        <v>-0.77090909090909132</v>
      </c>
      <c r="S19" s="1">
        <v>-0.72454545454545471</v>
      </c>
      <c r="T19" s="1">
        <v>-0.71181818181818202</v>
      </c>
      <c r="U19" s="1">
        <v>558</v>
      </c>
      <c r="V19" s="1">
        <v>334</v>
      </c>
      <c r="W19" s="1">
        <v>4391</v>
      </c>
      <c r="X19" s="1">
        <v>4519</v>
      </c>
      <c r="Y19" s="6"/>
      <c r="Z19" s="6"/>
      <c r="AA19" s="6"/>
      <c r="AB19" s="6"/>
      <c r="AC19" s="6"/>
      <c r="AD19" s="6"/>
      <c r="AE19" s="6"/>
      <c r="AF19" s="6"/>
      <c r="AG19" s="1"/>
      <c r="AH19" s="1"/>
      <c r="AI19" s="1"/>
      <c r="AJ19" s="1"/>
      <c r="AK19" s="1"/>
      <c r="AL19" s="1"/>
    </row>
    <row r="20" spans="1:38" x14ac:dyDescent="0.3">
      <c r="A20" s="2"/>
      <c r="B20" s="2"/>
      <c r="C20" s="1"/>
      <c r="D20" s="1"/>
      <c r="E20" s="1"/>
      <c r="F20" s="1"/>
      <c r="G20" s="1"/>
      <c r="H20" s="1"/>
      <c r="I20" s="1"/>
      <c r="J20" s="3"/>
      <c r="K20" s="1"/>
      <c r="L20" s="1"/>
      <c r="M20" s="10">
        <v>34.21373923739241</v>
      </c>
      <c r="N20" s="10">
        <v>34.150622386223596</v>
      </c>
      <c r="O20" s="10">
        <v>37.682929889298691</v>
      </c>
      <c r="P20" s="10">
        <v>37.624546125461066</v>
      </c>
      <c r="Q20" s="10">
        <v>96.357306273061809</v>
      </c>
      <c r="R20" s="10">
        <v>96.581857318573455</v>
      </c>
      <c r="S20" s="10">
        <v>33.144305043050359</v>
      </c>
      <c r="T20" s="10">
        <v>33.196642066419628</v>
      </c>
      <c r="U20" s="10">
        <v>202860.58302583024</v>
      </c>
      <c r="V20" s="10">
        <v>24820.608856088562</v>
      </c>
      <c r="W20" s="10">
        <v>11961.666666666666</v>
      </c>
      <c r="X20" s="10">
        <v>5472.6506765067652</v>
      </c>
      <c r="Y20" s="6"/>
      <c r="Z20" s="6"/>
      <c r="AA20" s="6"/>
      <c r="AB20" s="6"/>
      <c r="AC20" s="6"/>
      <c r="AD20" s="6"/>
      <c r="AE20" s="6"/>
      <c r="AF20" s="6"/>
      <c r="AG20" s="1"/>
      <c r="AH20" s="1"/>
      <c r="AI20" s="1"/>
      <c r="AJ20" s="1"/>
      <c r="AK20" s="1"/>
      <c r="AL20" s="1"/>
    </row>
    <row r="21" spans="1:38" x14ac:dyDescent="0.3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1"/>
      <c r="M21" s="8">
        <f>M20-M19</f>
        <v>34.773739237392412</v>
      </c>
      <c r="N21" s="8">
        <f t="shared" ref="N21:X21" si="17">N20-N19</f>
        <v>34.743349658950869</v>
      </c>
      <c r="O21" s="8">
        <f t="shared" si="17"/>
        <v>38.238384434753236</v>
      </c>
      <c r="P21" s="8">
        <f t="shared" si="17"/>
        <v>38.237273398188343</v>
      </c>
      <c r="Q21" s="8">
        <f t="shared" si="17"/>
        <v>97.063669909425442</v>
      </c>
      <c r="R21" s="8">
        <f t="shared" si="17"/>
        <v>97.352766409482541</v>
      </c>
      <c r="S21" s="8">
        <f t="shared" si="17"/>
        <v>33.868850497595815</v>
      </c>
      <c r="T21" s="8">
        <f t="shared" si="17"/>
        <v>33.908460248237809</v>
      </c>
      <c r="U21" s="8">
        <f t="shared" si="17"/>
        <v>202302.58302583024</v>
      </c>
      <c r="V21" s="8">
        <f t="shared" si="17"/>
        <v>24486.608856088562</v>
      </c>
      <c r="W21" s="8">
        <f t="shared" si="17"/>
        <v>7570.6666666666661</v>
      </c>
      <c r="X21" s="8">
        <f t="shared" si="17"/>
        <v>953.65067650676519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"/>
      <c r="AL2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7B45-4166-450A-8B19-39BC175B7D44}">
  <dimension ref="A1:X53"/>
  <sheetViews>
    <sheetView workbookViewId="0">
      <selection activeCell="H3" sqref="H3:H18"/>
    </sheetView>
  </sheetViews>
  <sheetFormatPr defaultColWidth="9" defaultRowHeight="14" x14ac:dyDescent="0.3"/>
  <cols>
    <col min="1" max="3" width="9" style="1"/>
    <col min="4" max="4" width="18.08203125" style="1" customWidth="1"/>
    <col min="5" max="5" width="14.83203125" style="1" bestFit="1" customWidth="1"/>
    <col min="6" max="6" width="16.83203125" style="1" bestFit="1" customWidth="1"/>
    <col min="7" max="7" width="16.83203125" style="1" customWidth="1"/>
    <col min="8" max="8" width="14.83203125" style="1" bestFit="1" customWidth="1"/>
    <col min="9" max="9" width="13.58203125" style="1" bestFit="1" customWidth="1"/>
    <col min="10" max="10" width="10.5" style="1" customWidth="1"/>
    <col min="11" max="11" width="17.75" style="1" bestFit="1" customWidth="1"/>
    <col min="12" max="12" width="17.33203125" style="1" bestFit="1" customWidth="1"/>
    <col min="13" max="16" width="17.33203125" style="1" customWidth="1"/>
    <col min="17" max="18" width="16" style="1" bestFit="1" customWidth="1"/>
    <col min="19" max="20" width="16.08203125" style="1" bestFit="1" customWidth="1"/>
    <col min="21" max="22" width="13.83203125" style="1" bestFit="1" customWidth="1"/>
    <col min="23" max="24" width="15" style="1" bestFit="1" customWidth="1"/>
    <col min="25" max="16384" width="9" style="1"/>
  </cols>
  <sheetData>
    <row r="1" spans="1:22" x14ac:dyDescent="0.3">
      <c r="A1" s="2" t="s">
        <v>0</v>
      </c>
    </row>
    <row r="2" spans="1:22" x14ac:dyDescent="0.3">
      <c r="B2" s="2" t="s">
        <v>33</v>
      </c>
      <c r="C2" s="2" t="s">
        <v>34</v>
      </c>
      <c r="D2" s="2" t="s">
        <v>1</v>
      </c>
      <c r="E2" s="2" t="s">
        <v>2</v>
      </c>
      <c r="F2" s="2" t="s">
        <v>3</v>
      </c>
      <c r="G2" s="2" t="s">
        <v>36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35</v>
      </c>
    </row>
    <row r="3" spans="1:22" x14ac:dyDescent="0.3">
      <c r="A3" s="2" t="s">
        <v>17</v>
      </c>
      <c r="B3" s="2">
        <v>50</v>
      </c>
      <c r="C3" s="2">
        <v>500</v>
      </c>
      <c r="D3" s="1">
        <f>C3*0.000024085*15.68/2.57/1000</f>
        <v>7.3473307392996114E-5</v>
      </c>
      <c r="E3" s="1">
        <f>B3*0.001137568*15.68/2.57/1000</f>
        <v>3.4702463501945529E-4</v>
      </c>
      <c r="F3" s="4">
        <f>D3*36</f>
        <v>2.6450390661478603E-3</v>
      </c>
      <c r="G3" s="4">
        <f>F3*3600</f>
        <v>9.5221406381322975</v>
      </c>
      <c r="H3" s="4">
        <f>E3*36</f>
        <v>1.2492886860700391E-2</v>
      </c>
      <c r="I3" s="5">
        <f t="shared" ref="I3:I18" si="0">F3*1000/1.292*60</f>
        <v>122.8346315548542</v>
      </c>
      <c r="J3" s="3">
        <f>H3/999.102*1000000*60</f>
        <v>750.246933388206</v>
      </c>
      <c r="L3" s="1">
        <v>1012.8</v>
      </c>
      <c r="M3" s="1">
        <v>14.5</v>
      </c>
      <c r="N3" s="1">
        <v>25.2</v>
      </c>
      <c r="O3" s="1">
        <v>2.6</v>
      </c>
      <c r="P3" s="1">
        <v>2.85</v>
      </c>
      <c r="U3" s="1">
        <f t="shared" ref="U3:U5" si="1">P3-O3</f>
        <v>0.25</v>
      </c>
      <c r="V3" s="1">
        <f>(N3-M3)*L3</f>
        <v>10836.96</v>
      </c>
    </row>
    <row r="4" spans="1:22" x14ac:dyDescent="0.3">
      <c r="A4" s="2" t="s">
        <v>18</v>
      </c>
      <c r="B4" s="2">
        <v>100</v>
      </c>
      <c r="C4" s="2">
        <v>1000</v>
      </c>
      <c r="D4" s="1">
        <f t="shared" ref="D4:D18" si="2">C4*0.000024085*15.68/2.57/1000</f>
        <v>1.4694661478599223E-4</v>
      </c>
      <c r="E4" s="1">
        <f t="shared" ref="E4:E18" si="3">B4*0.001137568*15.68/2.57/1000</f>
        <v>6.9404927003891058E-4</v>
      </c>
      <c r="F4" s="4">
        <f t="shared" ref="F4:F18" si="4">D4*36</f>
        <v>5.2900781322957205E-3</v>
      </c>
      <c r="G4" s="4">
        <f t="shared" ref="G4:G18" si="5">F4*3600</f>
        <v>19.044281276264595</v>
      </c>
      <c r="H4" s="4">
        <f t="shared" ref="H4:H18" si="6">E4*36</f>
        <v>2.4985773721400782E-2</v>
      </c>
      <c r="I4" s="5">
        <f t="shared" si="0"/>
        <v>245.6692631097084</v>
      </c>
      <c r="J4" s="3">
        <f t="shared" ref="J4:J18" si="7">H4/999.102*1000000*60</f>
        <v>1500.493866776412</v>
      </c>
      <c r="L4" s="1">
        <v>2036.6</v>
      </c>
      <c r="M4" s="1">
        <v>16.5</v>
      </c>
      <c r="N4" s="1">
        <v>19.899999999999999</v>
      </c>
      <c r="O4" s="1">
        <v>3.33</v>
      </c>
      <c r="P4" s="1">
        <v>4.0199999999999996</v>
      </c>
      <c r="U4" s="1">
        <f t="shared" si="1"/>
        <v>0.6899999999999995</v>
      </c>
      <c r="V4" s="1">
        <f t="shared" ref="V4:V10" si="8">(N4-M4)*L4</f>
        <v>6924.4399999999969</v>
      </c>
    </row>
    <row r="5" spans="1:22" x14ac:dyDescent="0.3">
      <c r="A5" s="2" t="s">
        <v>19</v>
      </c>
      <c r="B5" s="2">
        <v>125</v>
      </c>
      <c r="C5" s="2">
        <v>1500</v>
      </c>
      <c r="D5" s="1">
        <f t="shared" si="2"/>
        <v>2.204199221789883E-4</v>
      </c>
      <c r="E5" s="1">
        <f t="shared" si="3"/>
        <v>8.6756158754863831E-4</v>
      </c>
      <c r="F5" s="4">
        <f t="shared" si="4"/>
        <v>7.9351171984435795E-3</v>
      </c>
      <c r="G5" s="4">
        <f t="shared" si="5"/>
        <v>28.566421914396887</v>
      </c>
      <c r="H5" s="4">
        <f t="shared" si="6"/>
        <v>3.1232217151750979E-2</v>
      </c>
      <c r="I5" s="5">
        <f t="shared" si="0"/>
        <v>368.50389466456255</v>
      </c>
      <c r="J5" s="3">
        <f t="shared" si="7"/>
        <v>1875.6173334705152</v>
      </c>
      <c r="L5" s="1">
        <v>2555</v>
      </c>
      <c r="M5" s="1">
        <v>19.2</v>
      </c>
      <c r="N5" s="1">
        <v>21.2</v>
      </c>
      <c r="O5" s="1">
        <v>3.26</v>
      </c>
      <c r="P5" s="1">
        <v>4.2300000000000004</v>
      </c>
      <c r="U5" s="1">
        <f t="shared" si="1"/>
        <v>0.97000000000000064</v>
      </c>
      <c r="V5" s="1">
        <f t="shared" si="8"/>
        <v>5110</v>
      </c>
    </row>
    <row r="6" spans="1:22" x14ac:dyDescent="0.3">
      <c r="A6" s="2" t="s">
        <v>20</v>
      </c>
      <c r="B6" s="2">
        <v>150</v>
      </c>
      <c r="C6" s="2">
        <v>2000</v>
      </c>
      <c r="D6" s="1">
        <f t="shared" si="2"/>
        <v>2.9389322957198446E-4</v>
      </c>
      <c r="E6" s="1">
        <f t="shared" si="3"/>
        <v>1.0410739050583657E-3</v>
      </c>
      <c r="F6" s="4">
        <f t="shared" si="4"/>
        <v>1.0580156264591441E-2</v>
      </c>
      <c r="G6" s="4">
        <f t="shared" si="5"/>
        <v>38.08856255252919</v>
      </c>
      <c r="H6" s="4">
        <f t="shared" si="6"/>
        <v>3.7478660582101163E-2</v>
      </c>
      <c r="I6" s="5">
        <f t="shared" si="0"/>
        <v>491.33852621941679</v>
      </c>
      <c r="J6" s="3">
        <f t="shared" si="7"/>
        <v>2250.7408001646181</v>
      </c>
      <c r="L6" s="1">
        <v>3060.2</v>
      </c>
      <c r="M6" s="1">
        <v>20</v>
      </c>
      <c r="N6" s="1">
        <v>21.6</v>
      </c>
      <c r="O6" s="1">
        <v>4.1500000000000004</v>
      </c>
      <c r="P6" s="1">
        <v>5.54</v>
      </c>
      <c r="U6" s="1">
        <f>P6-O6</f>
        <v>1.3899999999999997</v>
      </c>
      <c r="V6" s="1">
        <f t="shared" si="8"/>
        <v>4896.3200000000043</v>
      </c>
    </row>
    <row r="7" spans="1:22" x14ac:dyDescent="0.3">
      <c r="A7" s="2" t="s">
        <v>21</v>
      </c>
      <c r="B7" s="2">
        <v>175</v>
      </c>
      <c r="C7" s="2">
        <v>2500</v>
      </c>
      <c r="D7" s="1">
        <f t="shared" si="2"/>
        <v>3.6736653696498056E-4</v>
      </c>
      <c r="E7" s="1">
        <f t="shared" si="3"/>
        <v>1.2145862225680934E-3</v>
      </c>
      <c r="F7" s="4">
        <f t="shared" si="4"/>
        <v>1.3225195330739299E-2</v>
      </c>
      <c r="G7" s="4">
        <f t="shared" si="5"/>
        <v>47.610703190661475</v>
      </c>
      <c r="H7" s="4">
        <f t="shared" si="6"/>
        <v>4.372510401245136E-2</v>
      </c>
      <c r="I7" s="5">
        <f t="shared" si="0"/>
        <v>614.17315777427086</v>
      </c>
      <c r="J7" s="3">
        <f t="shared" si="7"/>
        <v>2625.8642668587208</v>
      </c>
      <c r="L7" s="1">
        <v>3569.1</v>
      </c>
      <c r="M7" s="1">
        <v>21.9</v>
      </c>
      <c r="N7" s="1">
        <v>22.9</v>
      </c>
      <c r="O7" s="1">
        <v>4.9400000000000004</v>
      </c>
      <c r="P7" s="1">
        <v>6.84</v>
      </c>
      <c r="U7" s="1">
        <f>P7-O7</f>
        <v>1.8999999999999995</v>
      </c>
      <c r="V7" s="1">
        <f t="shared" si="8"/>
        <v>3569.1</v>
      </c>
    </row>
    <row r="8" spans="1:22" x14ac:dyDescent="0.3">
      <c r="A8" s="2" t="s">
        <v>22</v>
      </c>
      <c r="B8" s="2">
        <v>200</v>
      </c>
      <c r="C8" s="2">
        <v>3000</v>
      </c>
      <c r="D8" s="1">
        <f t="shared" si="2"/>
        <v>4.408398443579766E-4</v>
      </c>
      <c r="E8" s="1">
        <f t="shared" si="3"/>
        <v>1.3880985400778212E-3</v>
      </c>
      <c r="F8" s="4">
        <f t="shared" si="4"/>
        <v>1.5870234396887159E-2</v>
      </c>
      <c r="G8" s="4">
        <f t="shared" si="5"/>
        <v>57.132843828793774</v>
      </c>
      <c r="H8" s="4">
        <f t="shared" si="6"/>
        <v>4.9971547442801564E-2</v>
      </c>
      <c r="I8" s="5">
        <f t="shared" si="0"/>
        <v>737.0077893291251</v>
      </c>
      <c r="J8" s="3">
        <f t="shared" si="7"/>
        <v>3000.987733552824</v>
      </c>
      <c r="L8" s="1">
        <v>4080.6</v>
      </c>
      <c r="M8" s="1">
        <v>23.1</v>
      </c>
      <c r="N8" s="1">
        <v>25.2</v>
      </c>
      <c r="O8" s="1">
        <v>5.9</v>
      </c>
      <c r="P8" s="1">
        <v>8.39</v>
      </c>
      <c r="U8" s="1">
        <f>P8-O8</f>
        <v>2.4900000000000002</v>
      </c>
      <c r="V8" s="1">
        <f t="shared" si="8"/>
        <v>8569.2599999999911</v>
      </c>
    </row>
    <row r="9" spans="1:22" x14ac:dyDescent="0.3">
      <c r="A9" s="2" t="s">
        <v>23</v>
      </c>
      <c r="B9" s="2">
        <v>225</v>
      </c>
      <c r="C9" s="2">
        <v>3500</v>
      </c>
      <c r="D9" s="1">
        <f t="shared" si="2"/>
        <v>5.1431315175097265E-4</v>
      </c>
      <c r="E9" s="1">
        <f t="shared" si="3"/>
        <v>1.5616108575875489E-3</v>
      </c>
      <c r="F9" s="4">
        <f t="shared" si="4"/>
        <v>1.8515273463035015E-2</v>
      </c>
      <c r="G9" s="4">
        <f t="shared" si="5"/>
        <v>66.654984466926052</v>
      </c>
      <c r="H9" s="4">
        <f t="shared" si="6"/>
        <v>5.6217990873151762E-2</v>
      </c>
      <c r="I9" s="5">
        <f t="shared" si="0"/>
        <v>859.842420883979</v>
      </c>
      <c r="J9" s="3">
        <f t="shared" si="7"/>
        <v>3376.1112002469276</v>
      </c>
      <c r="L9" s="1">
        <v>4598.7</v>
      </c>
      <c r="M9" s="1">
        <v>25</v>
      </c>
      <c r="N9" s="1">
        <v>26.8</v>
      </c>
      <c r="O9" s="1">
        <v>6.48</v>
      </c>
      <c r="P9" s="1">
        <v>9.6199999999999992</v>
      </c>
      <c r="U9" s="1">
        <f>P9-O9</f>
        <v>3.1399999999999988</v>
      </c>
      <c r="V9" s="1">
        <f t="shared" si="8"/>
        <v>8277.6600000000035</v>
      </c>
    </row>
    <row r="10" spans="1:22" x14ac:dyDescent="0.3">
      <c r="A10" s="2" t="s">
        <v>24</v>
      </c>
      <c r="B10" s="2">
        <v>250</v>
      </c>
      <c r="C10" s="2">
        <v>4000</v>
      </c>
      <c r="D10" s="1">
        <f t="shared" si="2"/>
        <v>5.8778645914396891E-4</v>
      </c>
      <c r="E10" s="1">
        <f t="shared" si="3"/>
        <v>1.7351231750972766E-3</v>
      </c>
      <c r="F10" s="4">
        <f t="shared" si="4"/>
        <v>2.1160312529182882E-2</v>
      </c>
      <c r="G10" s="4">
        <f t="shared" si="5"/>
        <v>76.17712510505838</v>
      </c>
      <c r="H10" s="4">
        <f t="shared" si="6"/>
        <v>6.2464434303501959E-2</v>
      </c>
      <c r="I10" s="5">
        <f t="shared" si="0"/>
        <v>982.67705243883358</v>
      </c>
      <c r="J10" s="3">
        <f t="shared" si="7"/>
        <v>3751.2346669410304</v>
      </c>
      <c r="L10" s="1">
        <v>5107.5</v>
      </c>
      <c r="M10" s="1">
        <v>26.8</v>
      </c>
      <c r="N10" s="1">
        <v>27.2</v>
      </c>
      <c r="O10" s="1">
        <v>6.67</v>
      </c>
      <c r="P10" s="1">
        <v>10.56</v>
      </c>
      <c r="U10" s="1">
        <f>P10-O10</f>
        <v>3.8900000000000006</v>
      </c>
      <c r="V10" s="1">
        <f t="shared" si="8"/>
        <v>2042.9999999999927</v>
      </c>
    </row>
    <row r="11" spans="1:22" x14ac:dyDescent="0.3">
      <c r="A11" s="2" t="s">
        <v>25</v>
      </c>
      <c r="B11" s="2">
        <v>275</v>
      </c>
      <c r="C11" s="2">
        <v>4500</v>
      </c>
      <c r="D11" s="1">
        <f t="shared" si="2"/>
        <v>6.6125976653696507E-4</v>
      </c>
      <c r="E11" s="1">
        <f t="shared" si="3"/>
        <v>1.9086354926070043E-3</v>
      </c>
      <c r="F11" s="4">
        <f t="shared" si="4"/>
        <v>2.3805351595330742E-2</v>
      </c>
      <c r="G11" s="4">
        <f t="shared" si="5"/>
        <v>85.699265743190665</v>
      </c>
      <c r="H11" s="4">
        <f t="shared" si="6"/>
        <v>6.8710877733852149E-2</v>
      </c>
      <c r="I11" s="5">
        <f t="shared" si="0"/>
        <v>1105.5116839936877</v>
      </c>
      <c r="J11" s="3">
        <f t="shared" si="7"/>
        <v>4126.3581336351335</v>
      </c>
    </row>
    <row r="12" spans="1:22" x14ac:dyDescent="0.3">
      <c r="A12" s="2" t="s">
        <v>26</v>
      </c>
      <c r="B12" s="2">
        <v>300</v>
      </c>
      <c r="C12" s="2">
        <v>5000</v>
      </c>
      <c r="D12" s="1">
        <f t="shared" si="2"/>
        <v>7.3473307392996111E-4</v>
      </c>
      <c r="E12" s="1">
        <f t="shared" si="3"/>
        <v>2.0821478101167314E-3</v>
      </c>
      <c r="F12" s="4">
        <f t="shared" si="4"/>
        <v>2.6450390661478598E-2</v>
      </c>
      <c r="G12" s="4">
        <f t="shared" si="5"/>
        <v>95.22140638132295</v>
      </c>
      <c r="H12" s="4">
        <f t="shared" si="6"/>
        <v>7.4957321164202326E-2</v>
      </c>
      <c r="I12" s="5">
        <f t="shared" si="0"/>
        <v>1228.3463155485417</v>
      </c>
      <c r="J12" s="3">
        <f t="shared" si="7"/>
        <v>4501.4816003292362</v>
      </c>
    </row>
    <row r="13" spans="1:22" x14ac:dyDescent="0.3">
      <c r="A13" s="2" t="s">
        <v>27</v>
      </c>
      <c r="B13" s="2">
        <v>325</v>
      </c>
      <c r="C13" s="2">
        <v>5500</v>
      </c>
      <c r="D13" s="1">
        <f t="shared" si="2"/>
        <v>8.0820638132295737E-4</v>
      </c>
      <c r="E13" s="1">
        <f t="shared" si="3"/>
        <v>2.2556601276264594E-3</v>
      </c>
      <c r="F13" s="4">
        <f t="shared" si="4"/>
        <v>2.9095429727626465E-2</v>
      </c>
      <c r="G13" s="4">
        <f t="shared" si="5"/>
        <v>104.74354701945528</v>
      </c>
      <c r="H13" s="4">
        <f t="shared" si="6"/>
        <v>8.120376459455253E-2</v>
      </c>
      <c r="I13" s="5">
        <f t="shared" si="0"/>
        <v>1351.1809471033962</v>
      </c>
      <c r="J13" s="3">
        <f t="shared" si="7"/>
        <v>4876.605067023339</v>
      </c>
    </row>
    <row r="14" spans="1:22" x14ac:dyDescent="0.3">
      <c r="A14" s="2" t="s">
        <v>28</v>
      </c>
      <c r="B14" s="2">
        <v>350</v>
      </c>
      <c r="C14" s="2">
        <v>6000</v>
      </c>
      <c r="D14" s="1">
        <f t="shared" si="2"/>
        <v>8.816796887159532E-4</v>
      </c>
      <c r="E14" s="1">
        <f t="shared" si="3"/>
        <v>2.4291724451361869E-3</v>
      </c>
      <c r="F14" s="4">
        <f t="shared" si="4"/>
        <v>3.1740468793774318E-2</v>
      </c>
      <c r="G14" s="4">
        <f t="shared" si="5"/>
        <v>114.26568765758755</v>
      </c>
      <c r="H14" s="4">
        <f t="shared" si="6"/>
        <v>8.745020802490272E-2</v>
      </c>
      <c r="I14" s="5">
        <f t="shared" si="0"/>
        <v>1474.0155786582502</v>
      </c>
      <c r="J14" s="3">
        <f t="shared" si="7"/>
        <v>5251.7285337174417</v>
      </c>
    </row>
    <row r="15" spans="1:22" x14ac:dyDescent="0.3">
      <c r="A15" s="2" t="s">
        <v>29</v>
      </c>
      <c r="B15" s="2">
        <v>375</v>
      </c>
      <c r="C15" s="2">
        <v>6500</v>
      </c>
      <c r="D15" s="1">
        <f t="shared" si="2"/>
        <v>9.5515299610894958E-4</v>
      </c>
      <c r="E15" s="1">
        <f t="shared" si="3"/>
        <v>2.6026847626459148E-3</v>
      </c>
      <c r="F15" s="4">
        <f t="shared" si="4"/>
        <v>3.4385507859922185E-2</v>
      </c>
      <c r="G15" s="4">
        <f t="shared" si="5"/>
        <v>123.78782829571986</v>
      </c>
      <c r="H15" s="4">
        <f t="shared" si="6"/>
        <v>9.3696651455252938E-2</v>
      </c>
      <c r="I15" s="5">
        <f t="shared" si="0"/>
        <v>1596.8502102131044</v>
      </c>
      <c r="J15" s="3">
        <f t="shared" si="7"/>
        <v>5626.8520004115462</v>
      </c>
    </row>
    <row r="16" spans="1:22" x14ac:dyDescent="0.3">
      <c r="A16" s="2" t="s">
        <v>30</v>
      </c>
      <c r="B16" s="2">
        <v>400</v>
      </c>
      <c r="C16" s="2">
        <v>7000</v>
      </c>
      <c r="D16" s="1">
        <f t="shared" si="2"/>
        <v>1.0286263035019453E-3</v>
      </c>
      <c r="E16" s="1">
        <f t="shared" si="3"/>
        <v>2.7761970801556423E-3</v>
      </c>
      <c r="F16" s="4">
        <f t="shared" si="4"/>
        <v>3.7030546926070031E-2</v>
      </c>
      <c r="G16" s="4">
        <f t="shared" si="5"/>
        <v>133.3099689338521</v>
      </c>
      <c r="H16" s="4">
        <f t="shared" si="6"/>
        <v>9.9943094885603129E-2</v>
      </c>
      <c r="I16" s="5">
        <f t="shared" si="0"/>
        <v>1719.684841767958</v>
      </c>
      <c r="J16" s="3">
        <f t="shared" si="7"/>
        <v>6001.975467105648</v>
      </c>
    </row>
    <row r="17" spans="1:10" x14ac:dyDescent="0.3">
      <c r="A17" s="2" t="s">
        <v>31</v>
      </c>
      <c r="B17" s="2">
        <v>425</v>
      </c>
      <c r="C17" s="2">
        <v>7500</v>
      </c>
      <c r="D17" s="1">
        <f t="shared" si="2"/>
        <v>1.1020996108949417E-3</v>
      </c>
      <c r="E17" s="1">
        <f t="shared" si="3"/>
        <v>2.9497093976653698E-3</v>
      </c>
      <c r="F17" s="4">
        <f t="shared" si="4"/>
        <v>3.9675585992217897E-2</v>
      </c>
      <c r="G17" s="4">
        <f t="shared" si="5"/>
        <v>142.83210957198443</v>
      </c>
      <c r="H17" s="4">
        <f t="shared" si="6"/>
        <v>0.10618953831595332</v>
      </c>
      <c r="I17" s="5">
        <f t="shared" si="0"/>
        <v>1842.5194733228125</v>
      </c>
      <c r="J17" s="3">
        <f t="shared" si="7"/>
        <v>6377.0989337997507</v>
      </c>
    </row>
    <row r="18" spans="1:10" x14ac:dyDescent="0.3">
      <c r="A18" s="2" t="s">
        <v>32</v>
      </c>
      <c r="B18" s="2">
        <v>450</v>
      </c>
      <c r="C18" s="2">
        <v>8100</v>
      </c>
      <c r="D18" s="1">
        <f t="shared" si="2"/>
        <v>1.1902675797665369E-3</v>
      </c>
      <c r="E18" s="1">
        <f t="shared" si="3"/>
        <v>3.1232217151750978E-3</v>
      </c>
      <c r="F18" s="4">
        <f t="shared" si="4"/>
        <v>4.2849632871595329E-2</v>
      </c>
      <c r="G18" s="4">
        <f t="shared" si="5"/>
        <v>154.25867833774319</v>
      </c>
      <c r="H18" s="4">
        <f t="shared" si="6"/>
        <v>0.11243598174630352</v>
      </c>
      <c r="I18" s="5">
        <f t="shared" si="0"/>
        <v>1989.9210311886377</v>
      </c>
      <c r="J18" s="3">
        <f t="shared" si="7"/>
        <v>6752.2224004938553</v>
      </c>
    </row>
    <row r="19" spans="1:10" x14ac:dyDescent="0.3">
      <c r="A19" s="2"/>
      <c r="B19" s="2"/>
      <c r="C19" s="2"/>
    </row>
    <row r="20" spans="1:10" x14ac:dyDescent="0.3">
      <c r="A20" s="2"/>
      <c r="B20" s="2"/>
      <c r="C20" s="2"/>
    </row>
    <row r="21" spans="1:10" x14ac:dyDescent="0.3">
      <c r="A21" s="2"/>
      <c r="B21" s="2"/>
      <c r="C21" s="2"/>
    </row>
    <row r="22" spans="1:10" x14ac:dyDescent="0.3">
      <c r="A22" s="2"/>
      <c r="B22" s="2"/>
      <c r="C22" s="2"/>
    </row>
    <row r="23" spans="1:10" x14ac:dyDescent="0.3">
      <c r="A23" s="2"/>
      <c r="B23" s="2"/>
      <c r="C23" s="2"/>
    </row>
    <row r="24" spans="1:10" x14ac:dyDescent="0.3">
      <c r="A24" s="2"/>
      <c r="B24" s="2"/>
      <c r="C24" s="2"/>
    </row>
    <row r="25" spans="1:10" x14ac:dyDescent="0.3">
      <c r="A25" s="2"/>
      <c r="B25" s="2"/>
      <c r="C25" s="2"/>
    </row>
    <row r="26" spans="1:10" x14ac:dyDescent="0.3">
      <c r="A26" s="2"/>
      <c r="B26" s="2"/>
      <c r="C26" s="2"/>
    </row>
    <row r="27" spans="1:10" x14ac:dyDescent="0.3">
      <c r="A27" s="2"/>
      <c r="B27" s="2"/>
      <c r="C27" s="2"/>
    </row>
    <row r="28" spans="1:10" x14ac:dyDescent="0.3">
      <c r="A28" s="2"/>
      <c r="B28" s="2"/>
      <c r="C28" s="2"/>
    </row>
    <row r="29" spans="1:10" x14ac:dyDescent="0.3">
      <c r="A29" s="2"/>
      <c r="B29" s="2"/>
      <c r="C29" s="2"/>
    </row>
    <row r="30" spans="1:10" x14ac:dyDescent="0.3">
      <c r="A30" s="2"/>
      <c r="B30" s="2"/>
      <c r="C30" s="2"/>
    </row>
    <row r="31" spans="1:10" x14ac:dyDescent="0.3">
      <c r="A31" s="2"/>
      <c r="B31" s="2"/>
      <c r="C31" s="2"/>
    </row>
    <row r="32" spans="1:10" x14ac:dyDescent="0.3">
      <c r="A32" s="2"/>
      <c r="B32" s="2"/>
      <c r="C32" s="2"/>
    </row>
    <row r="33" spans="1:24" x14ac:dyDescent="0.3">
      <c r="A33" s="2"/>
      <c r="B33" s="2"/>
      <c r="C33" s="2"/>
    </row>
    <row r="34" spans="1:24" x14ac:dyDescent="0.3">
      <c r="A34" s="2"/>
      <c r="B34" s="2"/>
      <c r="C34" s="2"/>
    </row>
    <row r="36" spans="1:24" x14ac:dyDescent="0.3">
      <c r="D36" s="2"/>
    </row>
    <row r="37" spans="1:24" x14ac:dyDescent="0.3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">
      <c r="A38" s="2"/>
      <c r="B38" s="2"/>
      <c r="C38" s="2"/>
    </row>
    <row r="39" spans="1:24" x14ac:dyDescent="0.3">
      <c r="A39" s="2"/>
      <c r="B39" s="2"/>
      <c r="C39" s="2"/>
    </row>
    <row r="40" spans="1:24" x14ac:dyDescent="0.3">
      <c r="A40" s="2"/>
      <c r="B40" s="2"/>
      <c r="C40" s="2"/>
    </row>
    <row r="41" spans="1:24" x14ac:dyDescent="0.3">
      <c r="A41" s="2"/>
      <c r="B41" s="2"/>
      <c r="C41" s="2"/>
    </row>
    <row r="42" spans="1:24" x14ac:dyDescent="0.3">
      <c r="A42" s="2"/>
      <c r="B42" s="2"/>
      <c r="C42" s="2"/>
    </row>
    <row r="43" spans="1:24" x14ac:dyDescent="0.3">
      <c r="A43" s="2"/>
      <c r="B43" s="2"/>
      <c r="C43" s="2"/>
    </row>
    <row r="44" spans="1:24" x14ac:dyDescent="0.3">
      <c r="A44" s="2"/>
      <c r="B44" s="2"/>
      <c r="C44" s="2"/>
    </row>
    <row r="45" spans="1:24" x14ac:dyDescent="0.3">
      <c r="A45" s="2"/>
      <c r="B45" s="2"/>
      <c r="C45" s="2"/>
    </row>
    <row r="46" spans="1:24" x14ac:dyDescent="0.3">
      <c r="A46" s="2"/>
      <c r="B46" s="2"/>
      <c r="C46" s="2"/>
    </row>
    <row r="47" spans="1:24" x14ac:dyDescent="0.3">
      <c r="A47" s="2"/>
      <c r="B47" s="2"/>
      <c r="C47" s="2"/>
    </row>
    <row r="48" spans="1:24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张月亮</dc:creator>
  <cp:lastModifiedBy>adm</cp:lastModifiedBy>
  <dcterms:created xsi:type="dcterms:W3CDTF">2015-06-05T18:19:00Z</dcterms:created>
  <dcterms:modified xsi:type="dcterms:W3CDTF">2026-04-02T08:19:16Z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524EA06A76C2456C8AB639582DE92FC0</vt:lpwstr>
  </property>
  <property fmtid="{D5CDD505-2E9C-101B-9397-08002B2CF9AE}" pid="3" name="KSOProductBuildVer">
    <vt:lpwstr>2052-11.1.0.13703</vt:lpwstr>
  </property>
</Properties>
</file>