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stgraduate\Homogenize\SJTU-TPMSHX\data\raw_data\"/>
    </mc:Choice>
  </mc:AlternateContent>
  <xr:revisionPtr revIDLastSave="0" documentId="8_{AB48225B-99CE-43D0-B233-8DE61EACCF5C}" xr6:coauthVersionLast="47" xr6:coauthVersionMax="47" xr10:uidLastSave="{00000000-0000-0000-0000-000000000000}"/>
  <bookViews>
    <workbookView xWindow="4104" yWindow="3108" windowWidth="23040" windowHeight="13452" xr2:uid="{00000000-000D-0000-FFFF-FFFF00000000}"/>
  </bookViews>
  <sheets>
    <sheet name="Sheet1" sheetId="5" r:id="rId1"/>
    <sheet name="Sheet3" sheetId="7" r:id="rId2"/>
    <sheet name="Sheet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5" l="1"/>
  <c r="Y3" i="5"/>
  <c r="AI8" i="5"/>
  <c r="AI9" i="5"/>
  <c r="AI11" i="5"/>
  <c r="AI13" i="5"/>
  <c r="AI14" i="5"/>
  <c r="AI15" i="5"/>
  <c r="H4" i="5"/>
  <c r="AI4" i="5" s="1"/>
  <c r="H5" i="5"/>
  <c r="AI5" i="5" s="1"/>
  <c r="H6" i="5"/>
  <c r="AI6" i="5" s="1"/>
  <c r="H7" i="5"/>
  <c r="AI7" i="5" s="1"/>
  <c r="H8" i="5"/>
  <c r="H9" i="5"/>
  <c r="H10" i="5"/>
  <c r="AI10" i="5" s="1"/>
  <c r="H11" i="5"/>
  <c r="H12" i="5"/>
  <c r="AI12" i="5" s="1"/>
  <c r="H13" i="5"/>
  <c r="H14" i="5"/>
  <c r="H15" i="5"/>
  <c r="H16" i="5"/>
  <c r="AI16" i="5" s="1"/>
  <c r="H17" i="5"/>
  <c r="AI17" i="5" s="1"/>
  <c r="H18" i="5"/>
  <c r="AI18" i="5" s="1"/>
  <c r="H19" i="5"/>
  <c r="AI19" i="5" s="1"/>
  <c r="H20" i="5"/>
  <c r="AI20" i="5" s="1"/>
  <c r="H3" i="5"/>
  <c r="F10" i="5"/>
  <c r="F3" i="5"/>
  <c r="F11" i="5" s="1"/>
  <c r="AA4" i="5"/>
  <c r="AB4" i="5"/>
  <c r="AG4" i="5" s="1"/>
  <c r="AC4" i="5"/>
  <c r="AD4" i="5"/>
  <c r="AE4" i="5"/>
  <c r="AF4" i="5"/>
  <c r="AA5" i="5"/>
  <c r="AB5" i="5"/>
  <c r="AC5" i="5"/>
  <c r="AD5" i="5"/>
  <c r="AE5" i="5"/>
  <c r="AF5" i="5"/>
  <c r="AA6" i="5"/>
  <c r="AB6" i="5"/>
  <c r="AC6" i="5"/>
  <c r="AD6" i="5"/>
  <c r="AE6" i="5"/>
  <c r="AF6" i="5"/>
  <c r="AA7" i="5"/>
  <c r="AB7" i="5"/>
  <c r="AC7" i="5"/>
  <c r="AD7" i="5"/>
  <c r="AE7" i="5"/>
  <c r="AF7" i="5"/>
  <c r="AA8" i="5"/>
  <c r="AB8" i="5"/>
  <c r="AC8" i="5"/>
  <c r="AD8" i="5"/>
  <c r="AE8" i="5"/>
  <c r="AF8" i="5"/>
  <c r="AG8" i="5"/>
  <c r="AA9" i="5"/>
  <c r="AB9" i="5"/>
  <c r="AC9" i="5"/>
  <c r="AD9" i="5"/>
  <c r="AE9" i="5"/>
  <c r="AF9" i="5"/>
  <c r="AA10" i="5"/>
  <c r="AB10" i="5"/>
  <c r="AC10" i="5"/>
  <c r="AD10" i="5"/>
  <c r="AE10" i="5"/>
  <c r="AF10" i="5"/>
  <c r="AA11" i="5"/>
  <c r="AB11" i="5"/>
  <c r="AC11" i="5"/>
  <c r="AD11" i="5"/>
  <c r="AE11" i="5"/>
  <c r="AF11" i="5"/>
  <c r="AA12" i="5"/>
  <c r="AB12" i="5"/>
  <c r="AC12" i="5"/>
  <c r="AD12" i="5"/>
  <c r="AE12" i="5"/>
  <c r="AF12" i="5"/>
  <c r="AA13" i="5"/>
  <c r="AB13" i="5"/>
  <c r="AC13" i="5"/>
  <c r="AD13" i="5"/>
  <c r="AE13" i="5"/>
  <c r="AF13" i="5"/>
  <c r="AA14" i="5"/>
  <c r="AB14" i="5"/>
  <c r="AC14" i="5"/>
  <c r="AD14" i="5"/>
  <c r="AE14" i="5"/>
  <c r="AF14" i="5"/>
  <c r="AA15" i="5"/>
  <c r="AB15" i="5"/>
  <c r="AC15" i="5"/>
  <c r="AD15" i="5"/>
  <c r="AE15" i="5"/>
  <c r="AF15" i="5"/>
  <c r="AA16" i="5"/>
  <c r="AB16" i="5"/>
  <c r="AC16" i="5"/>
  <c r="AD16" i="5"/>
  <c r="AE16" i="5"/>
  <c r="AF16" i="5"/>
  <c r="AG16" i="5"/>
  <c r="AA17" i="5"/>
  <c r="AB17" i="5"/>
  <c r="AC17" i="5"/>
  <c r="AD17" i="5"/>
  <c r="AE17" i="5"/>
  <c r="AF17" i="5"/>
  <c r="AA18" i="5"/>
  <c r="AB18" i="5"/>
  <c r="AC18" i="5"/>
  <c r="AD18" i="5"/>
  <c r="AE18" i="5"/>
  <c r="AF18" i="5"/>
  <c r="AA19" i="5"/>
  <c r="AB19" i="5"/>
  <c r="AC19" i="5"/>
  <c r="AD19" i="5"/>
  <c r="AE19" i="5"/>
  <c r="AF19" i="5"/>
  <c r="AA20" i="5"/>
  <c r="AB20" i="5"/>
  <c r="AC20" i="5"/>
  <c r="AD20" i="5"/>
  <c r="AE20" i="5"/>
  <c r="AF20" i="5"/>
  <c r="AG20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AF3" i="5"/>
  <c r="AE3" i="5"/>
  <c r="AD3" i="5"/>
  <c r="AC3" i="5"/>
  <c r="AB3" i="5"/>
  <c r="AA3" i="5"/>
  <c r="AG3" i="5" s="1"/>
  <c r="Z3" i="5"/>
  <c r="E20" i="5"/>
  <c r="D20" i="5"/>
  <c r="E19" i="5"/>
  <c r="D19" i="5"/>
  <c r="Y13" i="7"/>
  <c r="Z13" i="7"/>
  <c r="AA13" i="7"/>
  <c r="AG13" i="7" s="1"/>
  <c r="AB13" i="7"/>
  <c r="AC13" i="7"/>
  <c r="AD13" i="7"/>
  <c r="AE13" i="7"/>
  <c r="AF13" i="7"/>
  <c r="AI13" i="7"/>
  <c r="X21" i="7"/>
  <c r="W21" i="7"/>
  <c r="V21" i="7"/>
  <c r="U21" i="7"/>
  <c r="T21" i="7"/>
  <c r="S21" i="7"/>
  <c r="R21" i="7"/>
  <c r="Q21" i="7"/>
  <c r="P21" i="7"/>
  <c r="O21" i="7"/>
  <c r="N21" i="7"/>
  <c r="M21" i="7"/>
  <c r="AG18" i="7"/>
  <c r="AF18" i="7"/>
  <c r="AE18" i="7"/>
  <c r="AD18" i="7"/>
  <c r="AC18" i="7"/>
  <c r="AB18" i="7"/>
  <c r="AA18" i="7"/>
  <c r="Z18" i="7"/>
  <c r="Y18" i="7"/>
  <c r="E18" i="7"/>
  <c r="H18" i="7" s="1"/>
  <c r="J18" i="7" s="1"/>
  <c r="AI18" i="7" s="1"/>
  <c r="D18" i="7"/>
  <c r="F18" i="7" s="1"/>
  <c r="AF17" i="7"/>
  <c r="AE17" i="7"/>
  <c r="AD17" i="7"/>
  <c r="AC17" i="7"/>
  <c r="AB17" i="7"/>
  <c r="AA17" i="7"/>
  <c r="Z17" i="7"/>
  <c r="Y17" i="7"/>
  <c r="E17" i="7"/>
  <c r="H17" i="7" s="1"/>
  <c r="J17" i="7" s="1"/>
  <c r="AI17" i="7" s="1"/>
  <c r="D17" i="7"/>
  <c r="F17" i="7" s="1"/>
  <c r="I17" i="7" s="1"/>
  <c r="AF16" i="7"/>
  <c r="AE16" i="7"/>
  <c r="AD16" i="7"/>
  <c r="AC16" i="7"/>
  <c r="AB16" i="7"/>
  <c r="AA16" i="7"/>
  <c r="Z16" i="7"/>
  <c r="Y16" i="7"/>
  <c r="E16" i="7"/>
  <c r="H16" i="7" s="1"/>
  <c r="J16" i="7" s="1"/>
  <c r="AI16" i="7" s="1"/>
  <c r="D16" i="7"/>
  <c r="F16" i="7" s="1"/>
  <c r="AF15" i="7"/>
  <c r="AE15" i="7"/>
  <c r="AD15" i="7"/>
  <c r="AC15" i="7"/>
  <c r="AB15" i="7"/>
  <c r="AA15" i="7"/>
  <c r="Z15" i="7"/>
  <c r="Y15" i="7"/>
  <c r="H15" i="7"/>
  <c r="J15" i="7" s="1"/>
  <c r="AI15" i="7" s="1"/>
  <c r="F15" i="7"/>
  <c r="I15" i="7" s="1"/>
  <c r="E15" i="7"/>
  <c r="D15" i="7"/>
  <c r="AF14" i="7"/>
  <c r="AE14" i="7"/>
  <c r="AD14" i="7"/>
  <c r="AC14" i="7"/>
  <c r="AB14" i="7"/>
  <c r="AA14" i="7"/>
  <c r="AG14" i="7" s="1"/>
  <c r="Z14" i="7"/>
  <c r="Y14" i="7"/>
  <c r="E14" i="7"/>
  <c r="H14" i="7" s="1"/>
  <c r="J14" i="7" s="1"/>
  <c r="AI14" i="7" s="1"/>
  <c r="D14" i="7"/>
  <c r="F14" i="7" s="1"/>
  <c r="E13" i="7"/>
  <c r="H13" i="7" s="1"/>
  <c r="J13" i="7" s="1"/>
  <c r="D13" i="7"/>
  <c r="F13" i="7" s="1"/>
  <c r="AF12" i="7"/>
  <c r="AE12" i="7"/>
  <c r="AD12" i="7"/>
  <c r="AC12" i="7"/>
  <c r="AB12" i="7"/>
  <c r="AA12" i="7"/>
  <c r="AG12" i="7" s="1"/>
  <c r="Z12" i="7"/>
  <c r="Y12" i="7"/>
  <c r="E12" i="7"/>
  <c r="H12" i="7" s="1"/>
  <c r="J12" i="7" s="1"/>
  <c r="AI12" i="7" s="1"/>
  <c r="D12" i="7"/>
  <c r="F12" i="7" s="1"/>
  <c r="AF11" i="7"/>
  <c r="AE11" i="7"/>
  <c r="AD11" i="7"/>
  <c r="AC11" i="7"/>
  <c r="AB11" i="7"/>
  <c r="AA11" i="7"/>
  <c r="AG11" i="7" s="1"/>
  <c r="Z11" i="7"/>
  <c r="Y11" i="7"/>
  <c r="E11" i="7"/>
  <c r="H11" i="7" s="1"/>
  <c r="J11" i="7" s="1"/>
  <c r="AI11" i="7" s="1"/>
  <c r="D11" i="7"/>
  <c r="F11" i="7" s="1"/>
  <c r="AF10" i="7"/>
  <c r="AE10" i="7"/>
  <c r="AD10" i="7"/>
  <c r="AC10" i="7"/>
  <c r="AB10" i="7"/>
  <c r="AA10" i="7"/>
  <c r="AG10" i="7" s="1"/>
  <c r="Z10" i="7"/>
  <c r="Y10" i="7"/>
  <c r="F10" i="7"/>
  <c r="I10" i="7" s="1"/>
  <c r="E10" i="7"/>
  <c r="H10" i="7" s="1"/>
  <c r="J10" i="7" s="1"/>
  <c r="AI10" i="7" s="1"/>
  <c r="D10" i="7"/>
  <c r="AF9" i="7"/>
  <c r="AE9" i="7"/>
  <c r="AD9" i="7"/>
  <c r="AC9" i="7"/>
  <c r="AB9" i="7"/>
  <c r="AA9" i="7"/>
  <c r="Z9" i="7"/>
  <c r="Y9" i="7"/>
  <c r="H9" i="7"/>
  <c r="J9" i="7" s="1"/>
  <c r="AI9" i="7" s="1"/>
  <c r="E9" i="7"/>
  <c r="D9" i="7"/>
  <c r="F9" i="7" s="1"/>
  <c r="AF8" i="7"/>
  <c r="AE8" i="7"/>
  <c r="AD8" i="7"/>
  <c r="AC8" i="7"/>
  <c r="AB8" i="7"/>
  <c r="AA8" i="7"/>
  <c r="AG8" i="7" s="1"/>
  <c r="Z8" i="7"/>
  <c r="Y8" i="7"/>
  <c r="E8" i="7"/>
  <c r="H8" i="7" s="1"/>
  <c r="J8" i="7" s="1"/>
  <c r="AI8" i="7" s="1"/>
  <c r="D8" i="7"/>
  <c r="F8" i="7" s="1"/>
  <c r="AF7" i="7"/>
  <c r="AE7" i="7"/>
  <c r="AD7" i="7"/>
  <c r="AC7" i="7"/>
  <c r="AB7" i="7"/>
  <c r="AA7" i="7"/>
  <c r="Z7" i="7"/>
  <c r="Y7" i="7"/>
  <c r="E7" i="7"/>
  <c r="H7" i="7" s="1"/>
  <c r="J7" i="7" s="1"/>
  <c r="AI7" i="7" s="1"/>
  <c r="D7" i="7"/>
  <c r="F7" i="7" s="1"/>
  <c r="AF6" i="7"/>
  <c r="AE6" i="7"/>
  <c r="AD6" i="7"/>
  <c r="AC6" i="7"/>
  <c r="AB6" i="7"/>
  <c r="AA6" i="7"/>
  <c r="AG6" i="7" s="1"/>
  <c r="Z6" i="7"/>
  <c r="Y6" i="7"/>
  <c r="E6" i="7"/>
  <c r="H6" i="7" s="1"/>
  <c r="J6" i="7" s="1"/>
  <c r="AI6" i="7" s="1"/>
  <c r="D6" i="7"/>
  <c r="F6" i="7" s="1"/>
  <c r="AF5" i="7"/>
  <c r="AE5" i="7"/>
  <c r="AD5" i="7"/>
  <c r="AC5" i="7"/>
  <c r="AB5" i="7"/>
  <c r="AA5" i="7"/>
  <c r="Z5" i="7"/>
  <c r="Y5" i="7"/>
  <c r="E5" i="7"/>
  <c r="H5" i="7" s="1"/>
  <c r="J5" i="7" s="1"/>
  <c r="AI5" i="7" s="1"/>
  <c r="D5" i="7"/>
  <c r="F5" i="7" s="1"/>
  <c r="AF4" i="7"/>
  <c r="AE4" i="7"/>
  <c r="AD4" i="7"/>
  <c r="AC4" i="7"/>
  <c r="AB4" i="7"/>
  <c r="AA4" i="7"/>
  <c r="Z4" i="7"/>
  <c r="Y4" i="7"/>
  <c r="E4" i="7"/>
  <c r="H4" i="7" s="1"/>
  <c r="J4" i="7" s="1"/>
  <c r="AI4" i="7" s="1"/>
  <c r="D4" i="7"/>
  <c r="F4" i="7" s="1"/>
  <c r="AF3" i="7"/>
  <c r="AE3" i="7"/>
  <c r="AD3" i="7"/>
  <c r="AC3" i="7"/>
  <c r="AB3" i="7"/>
  <c r="AA3" i="7"/>
  <c r="AG3" i="7" s="1"/>
  <c r="Z3" i="7"/>
  <c r="Y3" i="7"/>
  <c r="E3" i="7"/>
  <c r="H3" i="7" s="1"/>
  <c r="J3" i="7" s="1"/>
  <c r="AI3" i="7" s="1"/>
  <c r="D3" i="7"/>
  <c r="F3" i="7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3" i="5"/>
  <c r="X23" i="5"/>
  <c r="N23" i="5"/>
  <c r="O23" i="5"/>
  <c r="P23" i="5"/>
  <c r="Q23" i="5"/>
  <c r="R23" i="5"/>
  <c r="S23" i="5"/>
  <c r="T23" i="5"/>
  <c r="U23" i="5"/>
  <c r="V23" i="5"/>
  <c r="W23" i="5"/>
  <c r="M23" i="5"/>
  <c r="H6" i="6"/>
  <c r="H8" i="6"/>
  <c r="H9" i="6"/>
  <c r="H10" i="6"/>
  <c r="H12" i="6"/>
  <c r="H16" i="6"/>
  <c r="H17" i="6"/>
  <c r="J17" i="6" s="1"/>
  <c r="H3" i="6"/>
  <c r="D4" i="6"/>
  <c r="D5" i="6"/>
  <c r="F5" i="6" s="1"/>
  <c r="I5" i="6" s="1"/>
  <c r="D6" i="6"/>
  <c r="F6" i="6" s="1"/>
  <c r="D7" i="6"/>
  <c r="D8" i="6"/>
  <c r="F8" i="6" s="1"/>
  <c r="D9" i="6"/>
  <c r="F9" i="6" s="1"/>
  <c r="I9" i="6" s="1"/>
  <c r="D10" i="6"/>
  <c r="D11" i="6"/>
  <c r="D12" i="6"/>
  <c r="F12" i="6" s="1"/>
  <c r="I12" i="6" s="1"/>
  <c r="D13" i="6"/>
  <c r="F13" i="6" s="1"/>
  <c r="D14" i="6"/>
  <c r="F14" i="6" s="1"/>
  <c r="D15" i="6"/>
  <c r="F15" i="6" s="1"/>
  <c r="D16" i="6"/>
  <c r="F16" i="6" s="1"/>
  <c r="D17" i="6"/>
  <c r="F17" i="6" s="1"/>
  <c r="I17" i="6" s="1"/>
  <c r="D18" i="6"/>
  <c r="F18" i="6" s="1"/>
  <c r="D3" i="6"/>
  <c r="F3" i="6" s="1"/>
  <c r="E18" i="6"/>
  <c r="H18" i="6" s="1"/>
  <c r="E17" i="6"/>
  <c r="E16" i="6"/>
  <c r="E15" i="6"/>
  <c r="H15" i="6" s="1"/>
  <c r="E14" i="6"/>
  <c r="H14" i="6" s="1"/>
  <c r="E13" i="6"/>
  <c r="E12" i="6"/>
  <c r="E11" i="6"/>
  <c r="F11" i="6"/>
  <c r="V10" i="6"/>
  <c r="U10" i="6"/>
  <c r="E10" i="6"/>
  <c r="F10" i="6"/>
  <c r="V9" i="6"/>
  <c r="U9" i="6"/>
  <c r="E9" i="6"/>
  <c r="V8" i="6"/>
  <c r="U8" i="6"/>
  <c r="E8" i="6"/>
  <c r="V7" i="6"/>
  <c r="U7" i="6"/>
  <c r="E7" i="6"/>
  <c r="F7" i="6"/>
  <c r="V6" i="6"/>
  <c r="U6" i="6"/>
  <c r="E6" i="6"/>
  <c r="V5" i="6"/>
  <c r="U5" i="6"/>
  <c r="E5" i="6"/>
  <c r="V4" i="6"/>
  <c r="U4" i="6"/>
  <c r="E4" i="6"/>
  <c r="H4" i="6" s="1"/>
  <c r="F4" i="6"/>
  <c r="V3" i="6"/>
  <c r="U3" i="6"/>
  <c r="E3" i="6"/>
  <c r="AG12" i="5" l="1"/>
  <c r="AG14" i="5"/>
  <c r="AH11" i="5"/>
  <c r="AH10" i="5"/>
  <c r="F18" i="5"/>
  <c r="AH18" i="5" s="1"/>
  <c r="F9" i="5"/>
  <c r="AH9" i="5" s="1"/>
  <c r="AL9" i="5" s="1"/>
  <c r="F8" i="5"/>
  <c r="AH8" i="5" s="1"/>
  <c r="AL8" i="5" s="1"/>
  <c r="F6" i="5"/>
  <c r="AH6" i="5" s="1"/>
  <c r="F5" i="5"/>
  <c r="AH5" i="5" s="1"/>
  <c r="AL5" i="5" s="1"/>
  <c r="F14" i="5"/>
  <c r="AH14" i="5" s="1"/>
  <c r="AH3" i="5"/>
  <c r="F4" i="5"/>
  <c r="AH4" i="5" s="1"/>
  <c r="AL4" i="5" s="1"/>
  <c r="AG11" i="5"/>
  <c r="AG10" i="5"/>
  <c r="F13" i="5"/>
  <c r="AH13" i="5" s="1"/>
  <c r="AL13" i="5" s="1"/>
  <c r="F7" i="5"/>
  <c r="AH7" i="5" s="1"/>
  <c r="AL7" i="5" s="1"/>
  <c r="F17" i="5"/>
  <c r="AH17" i="5" s="1"/>
  <c r="F15" i="5"/>
  <c r="AH15" i="5" s="1"/>
  <c r="AG6" i="5"/>
  <c r="F12" i="5"/>
  <c r="AH12" i="5" s="1"/>
  <c r="F20" i="5"/>
  <c r="AH20" i="5" s="1"/>
  <c r="AL20" i="5" s="1"/>
  <c r="F19" i="5"/>
  <c r="AH19" i="5" s="1"/>
  <c r="AL19" i="5" s="1"/>
  <c r="F16" i="5"/>
  <c r="AH16" i="5" s="1"/>
  <c r="AL12" i="5"/>
  <c r="I12" i="7"/>
  <c r="G12" i="7"/>
  <c r="J12" i="6"/>
  <c r="J13" i="6"/>
  <c r="H5" i="6"/>
  <c r="J5" i="6" s="1"/>
  <c r="J4" i="6"/>
  <c r="J7" i="6"/>
  <c r="J11" i="6"/>
  <c r="J8" i="6"/>
  <c r="AG7" i="5"/>
  <c r="AG5" i="5"/>
  <c r="J6" i="6"/>
  <c r="H13" i="6"/>
  <c r="H7" i="6"/>
  <c r="AG15" i="5"/>
  <c r="AG13" i="5"/>
  <c r="J10" i="6"/>
  <c r="H11" i="6"/>
  <c r="AG16" i="7"/>
  <c r="AG17" i="7"/>
  <c r="AG19" i="5"/>
  <c r="AG18" i="5"/>
  <c r="AG17" i="5"/>
  <c r="AG9" i="5"/>
  <c r="AL11" i="5"/>
  <c r="AH15" i="7"/>
  <c r="AL15" i="7" s="1"/>
  <c r="AH12" i="7"/>
  <c r="AL12" i="7" s="1"/>
  <c r="AG4" i="7"/>
  <c r="AG7" i="7"/>
  <c r="AG5" i="7"/>
  <c r="AG9" i="7"/>
  <c r="AG15" i="7"/>
  <c r="AH10" i="7"/>
  <c r="AL10" i="7" s="1"/>
  <c r="AH17" i="7"/>
  <c r="AL17" i="7" s="1"/>
  <c r="I9" i="7"/>
  <c r="AH9" i="7" s="1"/>
  <c r="AL9" i="7" s="1"/>
  <c r="G9" i="7"/>
  <c r="G16" i="7"/>
  <c r="I16" i="7"/>
  <c r="AH16" i="7" s="1"/>
  <c r="AL16" i="7" s="1"/>
  <c r="I3" i="7"/>
  <c r="AH3" i="7" s="1"/>
  <c r="AL3" i="7" s="1"/>
  <c r="G3" i="7"/>
  <c r="I5" i="7"/>
  <c r="AH5" i="7" s="1"/>
  <c r="AL5" i="7" s="1"/>
  <c r="G5" i="7"/>
  <c r="I8" i="7"/>
  <c r="AH8" i="7" s="1"/>
  <c r="AL8" i="7" s="1"/>
  <c r="G8" i="7"/>
  <c r="G6" i="7"/>
  <c r="I6" i="7"/>
  <c r="AH6" i="7" s="1"/>
  <c r="AL6" i="7" s="1"/>
  <c r="G11" i="7"/>
  <c r="I11" i="7"/>
  <c r="AH11" i="7" s="1"/>
  <c r="AL11" i="7"/>
  <c r="I18" i="7"/>
  <c r="AH18" i="7" s="1"/>
  <c r="AL18" i="7" s="1"/>
  <c r="G18" i="7"/>
  <c r="I14" i="7"/>
  <c r="G14" i="7"/>
  <c r="G7" i="7"/>
  <c r="I7" i="7"/>
  <c r="AH7" i="7" s="1"/>
  <c r="AL7" i="7" s="1"/>
  <c r="I4" i="7"/>
  <c r="AH4" i="7" s="1"/>
  <c r="AL4" i="7" s="1"/>
  <c r="G4" i="7"/>
  <c r="G13" i="7"/>
  <c r="I13" i="7"/>
  <c r="AH13" i="7" s="1"/>
  <c r="G17" i="7"/>
  <c r="G15" i="7"/>
  <c r="G10" i="7"/>
  <c r="AL10" i="5"/>
  <c r="J14" i="6"/>
  <c r="J15" i="6"/>
  <c r="J16" i="6"/>
  <c r="J18" i="6"/>
  <c r="J9" i="6"/>
  <c r="J3" i="6"/>
  <c r="G18" i="5"/>
  <c r="G17" i="5"/>
  <c r="G10" i="6"/>
  <c r="I10" i="6"/>
  <c r="G15" i="6"/>
  <c r="I15" i="6"/>
  <c r="I8" i="6"/>
  <c r="G8" i="6"/>
  <c r="I3" i="6"/>
  <c r="G3" i="6"/>
  <c r="I16" i="6"/>
  <c r="G16" i="6"/>
  <c r="I11" i="6"/>
  <c r="G11" i="6"/>
  <c r="G6" i="6"/>
  <c r="I6" i="6"/>
  <c r="G4" i="6"/>
  <c r="I4" i="6"/>
  <c r="I13" i="6"/>
  <c r="G13" i="6"/>
  <c r="I7" i="6"/>
  <c r="G7" i="6"/>
  <c r="G18" i="6"/>
  <c r="I18" i="6"/>
  <c r="I14" i="6"/>
  <c r="G14" i="6"/>
  <c r="G17" i="6"/>
  <c r="G12" i="6"/>
  <c r="G5" i="6"/>
  <c r="G9" i="6"/>
  <c r="G19" i="5" l="1"/>
  <c r="G20" i="5"/>
  <c r="AL6" i="5"/>
  <c r="AL16" i="5"/>
  <c r="AL18" i="5"/>
  <c r="AL17" i="5"/>
  <c r="AL15" i="5"/>
  <c r="AL13" i="7"/>
  <c r="AH14" i="7"/>
  <c r="AL14" i="7" s="1"/>
  <c r="AL14" i="5"/>
  <c r="G16" i="5"/>
  <c r="G9" i="5"/>
  <c r="G12" i="5"/>
  <c r="G15" i="5"/>
  <c r="G14" i="5"/>
  <c r="G13" i="5"/>
  <c r="G8" i="5"/>
  <c r="G7" i="5"/>
  <c r="G3" i="5"/>
  <c r="G4" i="5"/>
  <c r="G5" i="5"/>
  <c r="G6" i="5"/>
  <c r="G10" i="5"/>
  <c r="G11" i="5"/>
  <c r="AL3" i="5" l="1"/>
</calcChain>
</file>

<file path=xl/sharedStrings.xml><?xml version="1.0" encoding="utf-8"?>
<sst xmlns="http://schemas.openxmlformats.org/spreadsheetml/2006/main" count="145" uniqueCount="58">
  <si>
    <t>热气进气温度150度</t>
    <phoneticPr fontId="1" type="noConversion"/>
  </si>
  <si>
    <t>单个空气流量kg/s</t>
    <phoneticPr fontId="1" type="noConversion"/>
  </si>
  <si>
    <t>单个水流量kg/s</t>
    <phoneticPr fontId="1" type="noConversion"/>
  </si>
  <si>
    <t>样机空气流量kg/s</t>
    <phoneticPr fontId="1" type="noConversion"/>
  </si>
  <si>
    <t>样机水流量kg/s</t>
    <phoneticPr fontId="1" type="noConversion"/>
  </si>
  <si>
    <t>空气流量/SLM</t>
    <phoneticPr fontId="1" type="noConversion"/>
  </si>
  <si>
    <t>水流量ml/mim</t>
    <phoneticPr fontId="1" type="noConversion"/>
  </si>
  <si>
    <t>实际空气流量/SLM</t>
    <phoneticPr fontId="1" type="noConversion"/>
  </si>
  <si>
    <t>实际水流量ml/min</t>
    <phoneticPr fontId="1" type="noConversion"/>
  </si>
  <si>
    <t>空气进口温度/℃</t>
    <phoneticPr fontId="1" type="noConversion"/>
  </si>
  <si>
    <t>空气出口温度/℃</t>
    <phoneticPr fontId="1" type="noConversion"/>
  </si>
  <si>
    <t>空气进口压力/Pa</t>
    <phoneticPr fontId="1" type="noConversion"/>
  </si>
  <si>
    <t>空气出口压力/Pa</t>
    <phoneticPr fontId="1" type="noConversion"/>
  </si>
  <si>
    <t>水进口温度/℃</t>
    <phoneticPr fontId="1" type="noConversion"/>
  </si>
  <si>
    <t>水出口温度/℃</t>
    <phoneticPr fontId="1" type="noConversion"/>
  </si>
  <si>
    <t>水进口压力/kPa</t>
    <phoneticPr fontId="1" type="noConversion"/>
  </si>
  <si>
    <t>水出口压力/kPa</t>
    <phoneticPr fontId="1" type="noConversion"/>
  </si>
  <si>
    <t>工况1</t>
    <phoneticPr fontId="1" type="noConversion"/>
  </si>
  <si>
    <t>工况2</t>
  </si>
  <si>
    <t>工况3</t>
  </si>
  <si>
    <t>工况4</t>
  </si>
  <si>
    <t>工况5</t>
  </si>
  <si>
    <t>工况6</t>
  </si>
  <si>
    <t>工况7</t>
  </si>
  <si>
    <t>工况8</t>
  </si>
  <si>
    <t>工况9</t>
  </si>
  <si>
    <t>工况10</t>
  </si>
  <si>
    <t>工况11</t>
  </si>
  <si>
    <t>工况12</t>
  </si>
  <si>
    <t>工况13</t>
  </si>
  <si>
    <t>工况14</t>
  </si>
  <si>
    <t>工况15</t>
  </si>
  <si>
    <t>工况16</t>
  </si>
  <si>
    <t>水Re</t>
    <phoneticPr fontId="1" type="noConversion"/>
  </si>
  <si>
    <t>空气Re</t>
    <phoneticPr fontId="1" type="noConversion"/>
  </si>
  <si>
    <t>水侧压差/kPa</t>
    <phoneticPr fontId="1" type="noConversion"/>
  </si>
  <si>
    <t>样机空气流量kg/h</t>
    <phoneticPr fontId="1" type="noConversion"/>
  </si>
  <si>
    <t>水换热量/W</t>
    <phoneticPr fontId="1" type="noConversion"/>
  </si>
  <si>
    <t>水进口H/kj/kg</t>
    <phoneticPr fontId="1" type="noConversion"/>
  </si>
  <si>
    <t>热电偶1/℃</t>
    <phoneticPr fontId="1" type="noConversion"/>
  </si>
  <si>
    <t>热电偶2/℃</t>
    <phoneticPr fontId="1" type="noConversion"/>
  </si>
  <si>
    <t>热电偶3/℃</t>
    <phoneticPr fontId="1" type="noConversion"/>
  </si>
  <si>
    <t>热电偶4/℃</t>
    <phoneticPr fontId="1" type="noConversion"/>
  </si>
  <si>
    <t>热电偶5/℃</t>
    <phoneticPr fontId="1" type="noConversion"/>
  </si>
  <si>
    <t>热电偶6/℃</t>
    <phoneticPr fontId="1" type="noConversion"/>
  </si>
  <si>
    <t>热电偶7/℃</t>
    <phoneticPr fontId="1" type="noConversion"/>
  </si>
  <si>
    <t>热电偶8/℃</t>
    <phoneticPr fontId="1" type="noConversion"/>
  </si>
  <si>
    <t>压力1/Pa</t>
    <phoneticPr fontId="1" type="noConversion"/>
  </si>
  <si>
    <t>压力2/Pa</t>
    <phoneticPr fontId="1" type="noConversion"/>
  </si>
  <si>
    <t>压力3/Pa</t>
    <phoneticPr fontId="1" type="noConversion"/>
  </si>
  <si>
    <t>压力4/Pa</t>
    <phoneticPr fontId="1" type="noConversion"/>
  </si>
  <si>
    <t>水进口压力/Pa</t>
    <phoneticPr fontId="1" type="noConversion"/>
  </si>
  <si>
    <t>水出口压力/Pa</t>
    <phoneticPr fontId="1" type="noConversion"/>
  </si>
  <si>
    <t>空气换热量/W</t>
    <phoneticPr fontId="1" type="noConversion"/>
  </si>
  <si>
    <t>水侧压差/Pa</t>
    <phoneticPr fontId="1" type="noConversion"/>
  </si>
  <si>
    <t>水出口H/kj/kg</t>
    <phoneticPr fontId="1" type="noConversion"/>
  </si>
  <si>
    <t>工况17</t>
    <phoneticPr fontId="1" type="noConversion"/>
  </si>
  <si>
    <t>工况18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</si>
</sst>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7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2">
      <alignment vertical="center"/>
    </xf>
    <xf numFmtId="176" fontId="0" fillId="0" borderId="0" xfId="0" applyNumberFormat="1"/>
    <xf numFmtId="11" fontId="3" fillId="0" borderId="0" xfId="2" applyNumberFormat="1">
      <alignment vertical="center"/>
    </xf>
    <xf numFmtId="0" fontId="0" fillId="2" borderId="0" xfId="0" applyFill="1"/>
  </cellXfs>
  <cellStyles count="3">
    <cellStyle name="常规" xfId="0" builtinId="0"/>
    <cellStyle name="常规 2" xfId="1" xr:uid="{91CDBF36-676F-44E1-989F-89823EB69452}"/>
    <cellStyle name="常规 3" xfId="2" xr:uid="{C4AC9A27-F47E-46DB-AF19-F74E3A804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720-D3B9-4854-9F92-399485C07B8D}">
  <dimension ref="A1:AL58"/>
  <sheetViews>
    <sheetView tabSelected="1" topLeftCell="X1" zoomScaleNormal="100" workbookViewId="0">
      <selection activeCell="AK3" sqref="AK3"/>
    </sheetView>
  </sheetViews>
  <sheetFormatPr defaultRowHeight="13.8" x14ac:dyDescent="0.25"/>
  <cols>
    <col min="4" max="4" width="18.109375" customWidth="1"/>
    <col min="5" max="5" width="14.77734375" bestFit="1" customWidth="1"/>
    <col min="6" max="6" width="16.77734375" bestFit="1" customWidth="1"/>
    <col min="7" max="7" width="16.77734375" customWidth="1"/>
    <col min="8" max="8" width="14.77734375" bestFit="1" customWidth="1"/>
    <col min="9" max="9" width="13.44140625" bestFit="1" customWidth="1"/>
    <col min="10" max="10" width="13.109375" bestFit="1" customWidth="1"/>
    <col min="11" max="11" width="17.77734375" bestFit="1" customWidth="1"/>
    <col min="12" max="12" width="17.33203125" bestFit="1" customWidth="1"/>
    <col min="13" max="28" width="17.33203125" customWidth="1"/>
    <col min="29" max="30" width="16" bestFit="1" customWidth="1"/>
    <col min="31" max="32" width="16.109375" bestFit="1" customWidth="1"/>
    <col min="33" max="34" width="13.77734375" bestFit="1" customWidth="1"/>
    <col min="35" max="36" width="15" bestFit="1" customWidth="1"/>
  </cols>
  <sheetData>
    <row r="1" spans="1:38" x14ac:dyDescent="0.25">
      <c r="A1" s="1" t="s">
        <v>0</v>
      </c>
    </row>
    <row r="2" spans="1:38" x14ac:dyDescent="0.25">
      <c r="B2" s="1" t="s">
        <v>33</v>
      </c>
      <c r="C2" s="1" t="s">
        <v>34</v>
      </c>
      <c r="D2" s="1" t="s">
        <v>1</v>
      </c>
      <c r="E2" s="1" t="s">
        <v>2</v>
      </c>
      <c r="F2" s="1" t="s">
        <v>3</v>
      </c>
      <c r="G2" s="1" t="s">
        <v>36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13</v>
      </c>
      <c r="Z2" s="1" t="s">
        <v>14</v>
      </c>
      <c r="AA2" s="1" t="s">
        <v>51</v>
      </c>
      <c r="AB2" s="1" t="s">
        <v>52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54</v>
      </c>
      <c r="AH2" s="1" t="s">
        <v>53</v>
      </c>
      <c r="AI2" s="1" t="s">
        <v>37</v>
      </c>
      <c r="AJ2" s="1" t="s">
        <v>38</v>
      </c>
      <c r="AK2" s="1" t="s">
        <v>55</v>
      </c>
    </row>
    <row r="3" spans="1:38" x14ac:dyDescent="0.25">
      <c r="A3" s="1" t="s">
        <v>17</v>
      </c>
      <c r="B3" s="1">
        <v>50</v>
      </c>
      <c r="C3" s="1">
        <v>500</v>
      </c>
      <c r="D3">
        <f>C3*0.000024085*18.0565/3.438/1000</f>
        <v>6.3247644342641078E-5</v>
      </c>
      <c r="E3">
        <f>B3*0.001137568*18.0565/3.438/1000</f>
        <v>2.987274082606166E-4</v>
      </c>
      <c r="F3">
        <f>0.00216</f>
        <v>2.16E-3</v>
      </c>
      <c r="G3">
        <f>F3*3600</f>
        <v>7.7759999999999998</v>
      </c>
      <c r="H3">
        <f>996*L3/60/1000000</f>
        <v>8.2767600000000011E-3</v>
      </c>
      <c r="I3" s="2">
        <v>100</v>
      </c>
      <c r="J3" s="2">
        <v>500</v>
      </c>
      <c r="K3">
        <v>100</v>
      </c>
      <c r="L3">
        <v>498.6</v>
      </c>
      <c r="M3" s="3">
        <v>111.23144131425602</v>
      </c>
      <c r="N3" s="3">
        <v>111.98491304626613</v>
      </c>
      <c r="O3" s="3">
        <v>23.374504267475047</v>
      </c>
      <c r="P3" s="3">
        <v>23.526942822301692</v>
      </c>
      <c r="Q3" s="3">
        <v>24.490576269012632</v>
      </c>
      <c r="R3" s="3">
        <v>24.468414297632005</v>
      </c>
      <c r="S3" s="3">
        <v>28.242459731759855</v>
      </c>
      <c r="T3" s="3">
        <v>28.353892061862393</v>
      </c>
      <c r="U3" s="3">
        <v>1927.2386575113906</v>
      </c>
      <c r="V3" s="3">
        <v>1034.4195597766798</v>
      </c>
      <c r="W3" s="3">
        <v>288.73355579798499</v>
      </c>
      <c r="X3" s="3">
        <v>106.36029647692999</v>
      </c>
      <c r="Y3" s="3">
        <f>Q3/2+R3/2</f>
        <v>24.479495283322318</v>
      </c>
      <c r="Z3" s="3">
        <f>S3/2+T3/2</f>
        <v>28.298175896811124</v>
      </c>
      <c r="AA3" s="3">
        <f>W3</f>
        <v>288.73355579798499</v>
      </c>
      <c r="AB3" s="3">
        <f>X3</f>
        <v>106.36029647692999</v>
      </c>
      <c r="AC3" s="3">
        <f>M3/2+N3/2</f>
        <v>111.60817718026107</v>
      </c>
      <c r="AD3" s="3">
        <f>O3/2+P3/2</f>
        <v>23.450723544888369</v>
      </c>
      <c r="AE3" s="3">
        <f>U3</f>
        <v>1927.2386575113906</v>
      </c>
      <c r="AF3" s="3">
        <f>V3</f>
        <v>1034.4195597766798</v>
      </c>
      <c r="AG3">
        <f>AA3-AB3</f>
        <v>182.373259321055</v>
      </c>
      <c r="AH3">
        <f>1011*F3*(AC3-AD3)</f>
        <v>192.51472095078145</v>
      </c>
      <c r="AI3">
        <f>H3*(AK3-AJ3)*1000</f>
        <v>132.15502692000001</v>
      </c>
      <c r="AJ3">
        <v>102.753</v>
      </c>
      <c r="AK3">
        <v>118.72</v>
      </c>
      <c r="AL3">
        <f>AI3/AH3</f>
        <v>0.68646712452595726</v>
      </c>
    </row>
    <row r="4" spans="1:38" x14ac:dyDescent="0.25">
      <c r="A4" s="1" t="s">
        <v>18</v>
      </c>
      <c r="B4" s="1">
        <v>100</v>
      </c>
      <c r="C4" s="1">
        <v>1000</v>
      </c>
      <c r="D4">
        <f t="shared" ref="D4:D18" si="0">C4*0.000024085*18.0565/3.438/1000</f>
        <v>1.2649528868528216E-4</v>
      </c>
      <c r="E4">
        <f t="shared" ref="E4:E18" si="1">B4*0.001137568*18.0565/3.438/1000</f>
        <v>5.974548165212332E-4</v>
      </c>
      <c r="F4">
        <f>$F$3*I4/$I$3</f>
        <v>4.3200000000000001E-3</v>
      </c>
      <c r="G4">
        <f t="shared" ref="G4:G18" si="2">F4*3600</f>
        <v>15.552</v>
      </c>
      <c r="H4">
        <f t="shared" ref="H4:H20" si="3">996*L4/60/1000000</f>
        <v>1.6666400000000001E-2</v>
      </c>
      <c r="I4" s="2">
        <v>200</v>
      </c>
      <c r="J4" s="2">
        <v>1000</v>
      </c>
      <c r="K4">
        <v>200</v>
      </c>
      <c r="L4">
        <v>1004</v>
      </c>
      <c r="M4" s="3">
        <v>124.24707149547093</v>
      </c>
      <c r="N4" s="3">
        <v>124.72914142991195</v>
      </c>
      <c r="O4" s="3">
        <v>23.821161411176547</v>
      </c>
      <c r="P4" s="3">
        <v>23.873296909149371</v>
      </c>
      <c r="Q4" s="3">
        <v>24.462547611617179</v>
      </c>
      <c r="R4" s="3">
        <v>24.444639400565769</v>
      </c>
      <c r="S4" s="3">
        <v>30.043228223541064</v>
      </c>
      <c r="T4" s="3">
        <v>29.935810177957745</v>
      </c>
      <c r="U4" s="3">
        <v>7094.3031532937866</v>
      </c>
      <c r="V4" s="3">
        <v>2619.9993755853889</v>
      </c>
      <c r="W4" s="3">
        <v>944.75928816734313</v>
      </c>
      <c r="X4" s="3">
        <v>602.74726818607553</v>
      </c>
      <c r="Y4" s="3">
        <f t="shared" ref="Y4:Y20" si="4">Q4/2+R4/2</f>
        <v>24.453593506091472</v>
      </c>
      <c r="Z4" s="3">
        <f t="shared" ref="Z4:Z20" si="5">S4/2+T4/2</f>
        <v>29.989519200749406</v>
      </c>
      <c r="AA4" s="3">
        <f t="shared" ref="AA4:AA20" si="6">W4</f>
        <v>944.75928816734313</v>
      </c>
      <c r="AB4" s="3">
        <f t="shared" ref="AB4:AB20" si="7">X4</f>
        <v>602.74726818607553</v>
      </c>
      <c r="AC4" s="3">
        <f t="shared" ref="AC4:AC20" si="8">M4/2+N4/2</f>
        <v>124.48810646269143</v>
      </c>
      <c r="AD4" s="3">
        <f t="shared" ref="AD4:AD20" si="9">O4/2+P4/2</f>
        <v>23.847229160162961</v>
      </c>
      <c r="AE4" s="3">
        <f t="shared" ref="AE4:AE20" si="10">U4</f>
        <v>7094.3031532937866</v>
      </c>
      <c r="AF4" s="3">
        <f t="shared" ref="AF4:AF20" si="11">V4</f>
        <v>2619.9993755853889</v>
      </c>
      <c r="AG4">
        <f t="shared" ref="AG4:AG20" si="12">AA4-AB4</f>
        <v>342.0120199812676</v>
      </c>
      <c r="AH4">
        <f t="shared" ref="AH4:AH20" si="13">1011*F4*(AC4-AD4)</f>
        <v>439.55104443633917</v>
      </c>
      <c r="AI4">
        <f t="shared" ref="AI4:AI20" si="14">H4*(AK4-AJ4)*1000</f>
        <v>385.74382800000018</v>
      </c>
      <c r="AJ4">
        <v>102.645</v>
      </c>
      <c r="AK4">
        <v>125.79</v>
      </c>
      <c r="AL4">
        <f t="shared" ref="AL4:AL18" si="15">AI4/AH4</f>
        <v>0.87758596614111339</v>
      </c>
    </row>
    <row r="5" spans="1:38" x14ac:dyDescent="0.25">
      <c r="A5" s="1" t="s">
        <v>19</v>
      </c>
      <c r="B5" s="1">
        <v>150</v>
      </c>
      <c r="C5" s="1">
        <v>1500</v>
      </c>
      <c r="D5">
        <f t="shared" si="0"/>
        <v>1.8974293302792319E-4</v>
      </c>
      <c r="E5">
        <f t="shared" si="1"/>
        <v>8.9618222478184996E-4</v>
      </c>
      <c r="F5">
        <f t="shared" ref="F5:F20" si="16">$F$3*I5/$I$3</f>
        <v>6.4800000000000005E-3</v>
      </c>
      <c r="G5">
        <f t="shared" si="2"/>
        <v>23.328000000000003</v>
      </c>
      <c r="H5">
        <f t="shared" si="3"/>
        <v>2.4733999999999999E-2</v>
      </c>
      <c r="I5" s="2">
        <v>300</v>
      </c>
      <c r="J5" s="2">
        <v>1500</v>
      </c>
      <c r="K5">
        <v>317</v>
      </c>
      <c r="L5">
        <v>1490</v>
      </c>
      <c r="M5" s="3">
        <v>130.81057413959556</v>
      </c>
      <c r="N5" s="3">
        <v>130.71512946284898</v>
      </c>
      <c r="O5" s="3">
        <v>24.171043743971417</v>
      </c>
      <c r="P5" s="3">
        <v>24.129470890961876</v>
      </c>
      <c r="Q5" s="3">
        <v>24.414076069475243</v>
      </c>
      <c r="R5" s="3">
        <v>24.404732229012037</v>
      </c>
      <c r="S5" s="3">
        <v>30.207928594403583</v>
      </c>
      <c r="T5" s="3">
        <v>30.2221735284655</v>
      </c>
      <c r="U5" s="3">
        <v>14600.794467674494</v>
      </c>
      <c r="V5" s="3">
        <v>4768.5067545834672</v>
      </c>
      <c r="W5" s="3">
        <v>2004.1005950466388</v>
      </c>
      <c r="X5" s="3">
        <v>1291.2948295271792</v>
      </c>
      <c r="Y5" s="3">
        <f t="shared" si="4"/>
        <v>24.409404149243642</v>
      </c>
      <c r="Z5" s="3">
        <f t="shared" si="5"/>
        <v>30.215051061434544</v>
      </c>
      <c r="AA5" s="3">
        <f t="shared" si="6"/>
        <v>2004.1005950466388</v>
      </c>
      <c r="AB5" s="3">
        <f t="shared" si="7"/>
        <v>1291.2948295271792</v>
      </c>
      <c r="AC5" s="3">
        <f t="shared" si="8"/>
        <v>130.76285180122227</v>
      </c>
      <c r="AD5" s="3">
        <f t="shared" si="9"/>
        <v>24.150257317466647</v>
      </c>
      <c r="AE5" s="3">
        <f t="shared" si="10"/>
        <v>14600.794467674494</v>
      </c>
      <c r="AF5" s="3">
        <f t="shared" si="11"/>
        <v>4768.5067545834672</v>
      </c>
      <c r="AG5">
        <f t="shared" si="12"/>
        <v>712.80576551945956</v>
      </c>
      <c r="AH5">
        <f t="shared" si="13"/>
        <v>698.4489579895386</v>
      </c>
      <c r="AI5">
        <f t="shared" si="14"/>
        <v>600.36838199999988</v>
      </c>
      <c r="AJ5">
        <v>102.461</v>
      </c>
      <c r="AK5">
        <v>126.73399999999999</v>
      </c>
      <c r="AL5">
        <f t="shared" si="15"/>
        <v>0.8595737385422404</v>
      </c>
    </row>
    <row r="6" spans="1:38" x14ac:dyDescent="0.25">
      <c r="A6" s="1" t="s">
        <v>20</v>
      </c>
      <c r="B6" s="1">
        <v>200</v>
      </c>
      <c r="C6" s="1">
        <v>2000</v>
      </c>
      <c r="D6">
        <f t="shared" si="0"/>
        <v>2.5299057737056431E-4</v>
      </c>
      <c r="E6">
        <f t="shared" si="1"/>
        <v>1.1949096330424664E-3</v>
      </c>
      <c r="F6">
        <f t="shared" si="16"/>
        <v>8.6400000000000001E-3</v>
      </c>
      <c r="G6">
        <f t="shared" si="2"/>
        <v>31.103999999999999</v>
      </c>
      <c r="H6">
        <f t="shared" si="3"/>
        <v>3.3249800000000003E-2</v>
      </c>
      <c r="I6" s="2">
        <v>400</v>
      </c>
      <c r="J6" s="2">
        <v>2000</v>
      </c>
      <c r="K6">
        <v>400</v>
      </c>
      <c r="L6">
        <v>2003</v>
      </c>
      <c r="M6" s="3">
        <v>131.90981012658224</v>
      </c>
      <c r="N6" s="3">
        <v>131.58949942462652</v>
      </c>
      <c r="O6" s="3">
        <v>25.950612362319259</v>
      </c>
      <c r="P6" s="3">
        <v>25.891278974190673</v>
      </c>
      <c r="Q6" s="3">
        <v>26.201545290155277</v>
      </c>
      <c r="R6" s="3">
        <v>26.197045043566671</v>
      </c>
      <c r="S6" s="3">
        <v>31.830441394047728</v>
      </c>
      <c r="T6" s="3">
        <v>31.914129541346142</v>
      </c>
      <c r="U6" s="3">
        <v>24270.051783659379</v>
      </c>
      <c r="V6" s="3">
        <v>7686.4347361499258</v>
      </c>
      <c r="W6" s="3">
        <v>1656.4982327798784</v>
      </c>
      <c r="X6" s="3">
        <v>583.0141377609732</v>
      </c>
      <c r="Y6" s="3">
        <f t="shared" si="4"/>
        <v>26.199295166860974</v>
      </c>
      <c r="Z6" s="3">
        <f t="shared" si="5"/>
        <v>31.872285467696933</v>
      </c>
      <c r="AA6" s="3">
        <f t="shared" si="6"/>
        <v>1656.4982327798784</v>
      </c>
      <c r="AB6" s="3">
        <f t="shared" si="7"/>
        <v>583.0141377609732</v>
      </c>
      <c r="AC6" s="3">
        <f t="shared" si="8"/>
        <v>131.74965477560437</v>
      </c>
      <c r="AD6" s="3">
        <f t="shared" si="9"/>
        <v>25.920945668254966</v>
      </c>
      <c r="AE6" s="3">
        <f t="shared" si="10"/>
        <v>24270.051783659379</v>
      </c>
      <c r="AF6" s="3">
        <f t="shared" si="11"/>
        <v>7686.4347361499258</v>
      </c>
      <c r="AG6">
        <f t="shared" si="12"/>
        <v>1073.4840950189052</v>
      </c>
      <c r="AH6">
        <f t="shared" si="13"/>
        <v>924.41800720106119</v>
      </c>
      <c r="AI6">
        <f t="shared" si="14"/>
        <v>788.48575720000008</v>
      </c>
      <c r="AJ6">
        <v>109.946</v>
      </c>
      <c r="AK6">
        <v>133.66</v>
      </c>
      <c r="AL6">
        <f t="shared" si="15"/>
        <v>0.8529536974159182</v>
      </c>
    </row>
    <row r="7" spans="1:38" x14ac:dyDescent="0.25">
      <c r="A7" s="1" t="s">
        <v>21</v>
      </c>
      <c r="B7" s="1">
        <v>250</v>
      </c>
      <c r="C7" s="1">
        <v>3000</v>
      </c>
      <c r="D7">
        <f t="shared" si="0"/>
        <v>3.7948586605584639E-4</v>
      </c>
      <c r="E7">
        <f t="shared" si="1"/>
        <v>1.4936370413030833E-3</v>
      </c>
      <c r="F7">
        <f t="shared" si="16"/>
        <v>1.0800000000000001E-2</v>
      </c>
      <c r="G7">
        <f t="shared" si="2"/>
        <v>38.880000000000003</v>
      </c>
      <c r="H7">
        <f t="shared" si="3"/>
        <v>4.1533199999999999E-2</v>
      </c>
      <c r="I7" s="2">
        <v>500</v>
      </c>
      <c r="J7" s="2">
        <v>2500</v>
      </c>
      <c r="K7">
        <v>500</v>
      </c>
      <c r="L7">
        <v>2502</v>
      </c>
      <c r="M7" s="3">
        <v>132.72022206679708</v>
      </c>
      <c r="N7" s="3">
        <v>132.35982689281255</v>
      </c>
      <c r="O7" s="3">
        <v>26.32053243573878</v>
      </c>
      <c r="P7" s="3">
        <v>26.238044238502859</v>
      </c>
      <c r="Q7" s="3">
        <v>26.189766567582847</v>
      </c>
      <c r="R7" s="3">
        <v>26.176302675294171</v>
      </c>
      <c r="S7" s="3">
        <v>31.889609197411659</v>
      </c>
      <c r="T7" s="3">
        <v>31.867114005945133</v>
      </c>
      <c r="U7" s="3">
        <v>34777.526228361603</v>
      </c>
      <c r="V7" s="3">
        <v>10945.47429620563</v>
      </c>
      <c r="W7" s="3">
        <v>3296.7127120125897</v>
      </c>
      <c r="X7" s="3">
        <v>1693.6166724951916</v>
      </c>
      <c r="Y7" s="3">
        <f t="shared" si="4"/>
        <v>26.183034621438509</v>
      </c>
      <c r="Z7" s="3">
        <f t="shared" si="5"/>
        <v>31.878361601678396</v>
      </c>
      <c r="AA7" s="3">
        <f t="shared" si="6"/>
        <v>3296.7127120125897</v>
      </c>
      <c r="AB7" s="3">
        <f t="shared" si="7"/>
        <v>1693.6166724951916</v>
      </c>
      <c r="AC7" s="3">
        <f t="shared" si="8"/>
        <v>132.5400244798048</v>
      </c>
      <c r="AD7" s="3">
        <f t="shared" si="9"/>
        <v>26.279288337120818</v>
      </c>
      <c r="AE7" s="3">
        <f t="shared" si="10"/>
        <v>34777.526228361603</v>
      </c>
      <c r="AF7" s="3">
        <f t="shared" si="11"/>
        <v>10945.47429620563</v>
      </c>
      <c r="AG7">
        <f t="shared" si="12"/>
        <v>1603.0960395173981</v>
      </c>
      <c r="AH7">
        <f t="shared" si="13"/>
        <v>1160.239725794738</v>
      </c>
      <c r="AI7">
        <f t="shared" si="14"/>
        <v>988.78089240000008</v>
      </c>
      <c r="AJ7">
        <v>109.879</v>
      </c>
      <c r="AK7">
        <v>133.68600000000001</v>
      </c>
      <c r="AL7">
        <f t="shared" si="15"/>
        <v>0.85222120085804465</v>
      </c>
    </row>
    <row r="8" spans="1:38" x14ac:dyDescent="0.25">
      <c r="A8" s="1" t="s">
        <v>22</v>
      </c>
      <c r="B8" s="1">
        <v>300</v>
      </c>
      <c r="C8" s="1">
        <v>4000</v>
      </c>
      <c r="D8">
        <f t="shared" si="0"/>
        <v>5.0598115474112862E-4</v>
      </c>
      <c r="E8">
        <f t="shared" si="1"/>
        <v>1.7923644495636999E-3</v>
      </c>
      <c r="F8">
        <f t="shared" si="16"/>
        <v>1.2960000000000001E-2</v>
      </c>
      <c r="G8">
        <f t="shared" si="2"/>
        <v>46.656000000000006</v>
      </c>
      <c r="H8">
        <f t="shared" si="3"/>
        <v>4.9700399999999999E-2</v>
      </c>
      <c r="I8" s="2">
        <v>600</v>
      </c>
      <c r="J8" s="2">
        <v>3000</v>
      </c>
      <c r="K8">
        <v>600</v>
      </c>
      <c r="L8">
        <v>2994</v>
      </c>
      <c r="M8">
        <v>133.34885128841961</v>
      </c>
      <c r="N8">
        <v>132.90772534409587</v>
      </c>
      <c r="O8">
        <v>29.916532132876984</v>
      </c>
      <c r="P8">
        <v>29.864182965954189</v>
      </c>
      <c r="Q8">
        <v>29.935522094589668</v>
      </c>
      <c r="R8">
        <v>29.933473041501358</v>
      </c>
      <c r="S8">
        <v>35.571509883059726</v>
      </c>
      <c r="T8">
        <v>35.542124598984998</v>
      </c>
      <c r="U8">
        <v>46445.434647624963</v>
      </c>
      <c r="V8">
        <v>14766.538342129774</v>
      </c>
      <c r="W8">
        <v>4172.0480182138053</v>
      </c>
      <c r="X8">
        <v>1678.3951671323605</v>
      </c>
      <c r="Y8" s="3">
        <f t="shared" si="4"/>
        <v>29.934497568045515</v>
      </c>
      <c r="Z8" s="3">
        <f t="shared" si="5"/>
        <v>35.556817241022358</v>
      </c>
      <c r="AA8" s="3">
        <f t="shared" si="6"/>
        <v>4172.0480182138053</v>
      </c>
      <c r="AB8" s="3">
        <f t="shared" si="7"/>
        <v>1678.3951671323605</v>
      </c>
      <c r="AC8" s="3">
        <f t="shared" si="8"/>
        <v>133.12828831625774</v>
      </c>
      <c r="AD8" s="3">
        <f t="shared" si="9"/>
        <v>29.890357549415587</v>
      </c>
      <c r="AE8" s="3">
        <f t="shared" si="10"/>
        <v>46445.434647624963</v>
      </c>
      <c r="AF8" s="3">
        <f t="shared" si="11"/>
        <v>14766.538342129774</v>
      </c>
      <c r="AG8">
        <f t="shared" si="12"/>
        <v>2493.6528510814451</v>
      </c>
      <c r="AH8">
        <f t="shared" si="13"/>
        <v>1352.6811821483955</v>
      </c>
      <c r="AI8">
        <f t="shared" si="14"/>
        <v>1167.7108980000003</v>
      </c>
      <c r="AJ8">
        <v>125.56399999999999</v>
      </c>
      <c r="AK8">
        <v>149.059</v>
      </c>
      <c r="AL8">
        <f t="shared" si="15"/>
        <v>0.86325655550658564</v>
      </c>
    </row>
    <row r="9" spans="1:38" x14ac:dyDescent="0.25">
      <c r="A9" s="1" t="s">
        <v>23</v>
      </c>
      <c r="B9" s="1">
        <v>350</v>
      </c>
      <c r="C9" s="1">
        <v>4500</v>
      </c>
      <c r="D9">
        <f t="shared" si="0"/>
        <v>5.6922879908376971E-4</v>
      </c>
      <c r="E9">
        <f t="shared" si="1"/>
        <v>2.0910918578243166E-3</v>
      </c>
      <c r="F9">
        <f t="shared" si="16"/>
        <v>1.512E-2</v>
      </c>
      <c r="G9">
        <f t="shared" si="2"/>
        <v>54.432000000000002</v>
      </c>
      <c r="H9">
        <f t="shared" si="3"/>
        <v>5.81664E-2</v>
      </c>
      <c r="I9" s="2">
        <v>700</v>
      </c>
      <c r="J9" s="2">
        <v>3500</v>
      </c>
      <c r="K9">
        <v>700</v>
      </c>
      <c r="L9">
        <v>3504</v>
      </c>
      <c r="M9" s="3">
        <v>132.66020286396056</v>
      </c>
      <c r="N9" s="3">
        <v>132.20614558472477</v>
      </c>
      <c r="O9" s="3">
        <v>32.389308960727249</v>
      </c>
      <c r="P9" s="3">
        <v>32.314357778260927</v>
      </c>
      <c r="Q9" s="3">
        <v>31.861645693208747</v>
      </c>
      <c r="R9" s="3">
        <v>31.858423736168987</v>
      </c>
      <c r="S9" s="3">
        <v>37.591153178562855</v>
      </c>
      <c r="T9" s="3">
        <v>37.478845736602985</v>
      </c>
      <c r="U9" s="3">
        <v>58730.937839010629</v>
      </c>
      <c r="V9" s="3">
        <v>18988.755152961596</v>
      </c>
      <c r="W9" s="3">
        <v>5863.6436862660012</v>
      </c>
      <c r="X9" s="3">
        <v>2978.5392709915382</v>
      </c>
      <c r="Y9" s="3">
        <f t="shared" si="4"/>
        <v>31.860034714688865</v>
      </c>
      <c r="Z9" s="3">
        <f t="shared" si="5"/>
        <v>37.53499945758292</v>
      </c>
      <c r="AA9" s="3">
        <f t="shared" si="6"/>
        <v>5863.6436862660012</v>
      </c>
      <c r="AB9" s="3">
        <f t="shared" si="7"/>
        <v>2978.5392709915382</v>
      </c>
      <c r="AC9" s="3">
        <f t="shared" si="8"/>
        <v>132.43317422434268</v>
      </c>
      <c r="AD9" s="3">
        <f t="shared" si="9"/>
        <v>32.351833369494088</v>
      </c>
      <c r="AE9" s="3">
        <f t="shared" si="10"/>
        <v>58730.937839010629</v>
      </c>
      <c r="AF9" s="3">
        <f t="shared" si="11"/>
        <v>18988.755152961596</v>
      </c>
      <c r="AG9">
        <f t="shared" si="12"/>
        <v>2885.104415274463</v>
      </c>
      <c r="AH9">
        <f t="shared" si="13"/>
        <v>1529.8754023362892</v>
      </c>
      <c r="AI9">
        <f t="shared" si="14"/>
        <v>1379.2998431999997</v>
      </c>
      <c r="AJ9">
        <v>133.614</v>
      </c>
      <c r="AK9">
        <v>157.327</v>
      </c>
      <c r="AL9">
        <f t="shared" si="15"/>
        <v>0.90157658662506512</v>
      </c>
    </row>
    <row r="10" spans="1:38" x14ac:dyDescent="0.25">
      <c r="A10" s="1" t="s">
        <v>24</v>
      </c>
      <c r="B10" s="1">
        <v>400</v>
      </c>
      <c r="C10" s="1">
        <v>5000</v>
      </c>
      <c r="D10">
        <f t="shared" si="0"/>
        <v>6.3247644342641059E-4</v>
      </c>
      <c r="E10">
        <f t="shared" si="1"/>
        <v>2.3898192660849328E-3</v>
      </c>
      <c r="F10">
        <f t="shared" si="16"/>
        <v>1.728E-2</v>
      </c>
      <c r="G10">
        <f t="shared" si="2"/>
        <v>62.207999999999998</v>
      </c>
      <c r="H10">
        <f t="shared" si="3"/>
        <v>6.6267199999999998E-2</v>
      </c>
      <c r="I10" s="2">
        <v>800</v>
      </c>
      <c r="J10" s="2">
        <v>4000</v>
      </c>
      <c r="K10">
        <v>800</v>
      </c>
      <c r="L10">
        <v>3992</v>
      </c>
      <c r="M10" s="3">
        <v>131.03696494377607</v>
      </c>
      <c r="N10" s="3">
        <v>130.6148351129163</v>
      </c>
      <c r="O10" s="3">
        <v>32.803023717281427</v>
      </c>
      <c r="P10" s="3">
        <v>32.708220731363973</v>
      </c>
      <c r="Q10" s="3">
        <v>32.019876216575334</v>
      </c>
      <c r="R10" s="3">
        <v>32.018312387791489</v>
      </c>
      <c r="S10" s="3">
        <v>37.74168477747358</v>
      </c>
      <c r="T10" s="3">
        <v>37.508938864216155</v>
      </c>
      <c r="U10" s="3">
        <v>70894.426438627983</v>
      </c>
      <c r="V10" s="3">
        <v>23204.075876405557</v>
      </c>
      <c r="W10" s="3">
        <v>6197.1080978928467</v>
      </c>
      <c r="X10" s="3">
        <v>2626.5723329868656</v>
      </c>
      <c r="Y10" s="3">
        <f t="shared" si="4"/>
        <v>32.019094302183412</v>
      </c>
      <c r="Z10" s="3">
        <f t="shared" si="5"/>
        <v>37.625311820844871</v>
      </c>
      <c r="AA10" s="3">
        <f t="shared" si="6"/>
        <v>6197.1080978928467</v>
      </c>
      <c r="AB10" s="3">
        <f t="shared" si="7"/>
        <v>2626.5723329868656</v>
      </c>
      <c r="AC10" s="3">
        <f t="shared" si="8"/>
        <v>130.82590002834618</v>
      </c>
      <c r="AD10" s="3">
        <f t="shared" si="9"/>
        <v>32.7556222243227</v>
      </c>
      <c r="AE10" s="3">
        <f t="shared" si="10"/>
        <v>70894.426438627983</v>
      </c>
      <c r="AF10" s="3">
        <f t="shared" si="11"/>
        <v>23204.075876405557</v>
      </c>
      <c r="AG10">
        <f t="shared" si="12"/>
        <v>3570.5357649059811</v>
      </c>
      <c r="AH10">
        <f t="shared" si="13"/>
        <v>1713.2955988585145</v>
      </c>
      <c r="AI10">
        <f t="shared" si="14"/>
        <v>1552.3091600000007</v>
      </c>
      <c r="AJ10">
        <v>134.279</v>
      </c>
      <c r="AK10">
        <v>157.70400000000001</v>
      </c>
      <c r="AL10">
        <f t="shared" si="15"/>
        <v>0.90603697402493111</v>
      </c>
    </row>
    <row r="11" spans="1:38" x14ac:dyDescent="0.25">
      <c r="A11" s="1" t="s">
        <v>25</v>
      </c>
      <c r="B11" s="1">
        <v>450</v>
      </c>
      <c r="C11" s="1">
        <v>5500</v>
      </c>
      <c r="D11">
        <f t="shared" si="0"/>
        <v>6.9572408776905168E-4</v>
      </c>
      <c r="E11">
        <f t="shared" si="1"/>
        <v>2.6885466743455503E-3</v>
      </c>
      <c r="F11">
        <f t="shared" si="16"/>
        <v>1.9439999999999999E-2</v>
      </c>
      <c r="G11">
        <f t="shared" si="2"/>
        <v>69.983999999999995</v>
      </c>
      <c r="H11">
        <f t="shared" si="3"/>
        <v>7.4666800000000005E-2</v>
      </c>
      <c r="I11" s="2">
        <v>900</v>
      </c>
      <c r="J11" s="2">
        <v>4500</v>
      </c>
      <c r="K11">
        <v>900</v>
      </c>
      <c r="L11">
        <v>4498</v>
      </c>
      <c r="M11" s="3">
        <v>132.91077710424219</v>
      </c>
      <c r="N11" s="3">
        <v>132.49282520123182</v>
      </c>
      <c r="O11" s="3">
        <v>36.209246745505105</v>
      </c>
      <c r="P11" s="3">
        <v>36.135436748487272</v>
      </c>
      <c r="Q11" s="3">
        <v>35.932008347411781</v>
      </c>
      <c r="R11" s="3">
        <v>35.921355460599443</v>
      </c>
      <c r="S11" s="3">
        <v>41.043500944053392</v>
      </c>
      <c r="T11" s="3">
        <v>40.900705555005054</v>
      </c>
      <c r="U11" s="3">
        <v>84836.242174301893</v>
      </c>
      <c r="V11" s="3">
        <v>28333.68528271887</v>
      </c>
      <c r="W11" s="3">
        <v>6905.0737851535323</v>
      </c>
      <c r="X11" s="3">
        <v>2676.2677630925173</v>
      </c>
      <c r="Y11" s="3">
        <f t="shared" si="4"/>
        <v>35.926681904005612</v>
      </c>
      <c r="Z11" s="3">
        <f t="shared" si="5"/>
        <v>40.972103249529226</v>
      </c>
      <c r="AA11" s="3">
        <f t="shared" si="6"/>
        <v>6905.0737851535323</v>
      </c>
      <c r="AB11" s="3">
        <f t="shared" si="7"/>
        <v>2676.2677630925173</v>
      </c>
      <c r="AC11" s="3">
        <f t="shared" si="8"/>
        <v>132.701801152737</v>
      </c>
      <c r="AD11" s="3">
        <f t="shared" si="9"/>
        <v>36.172341746996189</v>
      </c>
      <c r="AE11" s="3">
        <f t="shared" si="10"/>
        <v>84836.242174301893</v>
      </c>
      <c r="AF11" s="3">
        <f t="shared" si="11"/>
        <v>28333.68528271887</v>
      </c>
      <c r="AG11">
        <f t="shared" si="12"/>
        <v>4228.806022061015</v>
      </c>
      <c r="AH11">
        <f t="shared" si="13"/>
        <v>1897.1745504469252</v>
      </c>
      <c r="AI11">
        <f t="shared" si="14"/>
        <v>1573.9014771999987</v>
      </c>
      <c r="AJ11">
        <v>150.61000000000001</v>
      </c>
      <c r="AK11">
        <v>171.68899999999999</v>
      </c>
      <c r="AL11">
        <f t="shared" si="15"/>
        <v>0.82960288331362464</v>
      </c>
    </row>
    <row r="12" spans="1:38" x14ac:dyDescent="0.25">
      <c r="A12" s="1" t="s">
        <v>26</v>
      </c>
      <c r="B12" s="1">
        <v>500</v>
      </c>
      <c r="C12" s="1">
        <v>6000</v>
      </c>
      <c r="D12">
        <f t="shared" si="0"/>
        <v>7.5897173211169277E-4</v>
      </c>
      <c r="E12">
        <f t="shared" si="1"/>
        <v>2.9872740826061665E-3</v>
      </c>
      <c r="F12">
        <f t="shared" si="16"/>
        <v>2.1600000000000001E-2</v>
      </c>
      <c r="G12">
        <f t="shared" si="2"/>
        <v>77.760000000000005</v>
      </c>
      <c r="H12">
        <f t="shared" si="3"/>
        <v>8.2867200000000002E-2</v>
      </c>
      <c r="I12" s="2">
        <v>1000</v>
      </c>
      <c r="J12" s="2">
        <v>5000</v>
      </c>
      <c r="K12">
        <v>1000</v>
      </c>
      <c r="L12">
        <v>4992</v>
      </c>
      <c r="M12" s="3">
        <v>132.13696519216845</v>
      </c>
      <c r="N12" s="3">
        <v>131.72921954314822</v>
      </c>
      <c r="O12" s="3">
        <v>34.840613669330239</v>
      </c>
      <c r="P12" s="3">
        <v>34.746741298038543</v>
      </c>
      <c r="Q12" s="3">
        <v>34.552451957939759</v>
      </c>
      <c r="R12" s="3">
        <v>34.570218455401289</v>
      </c>
      <c r="S12" s="3">
        <v>39.686298948514271</v>
      </c>
      <c r="T12" s="3">
        <v>39.471881798404496</v>
      </c>
      <c r="U12" s="3">
        <v>112549.2897933285</v>
      </c>
      <c r="V12" s="3">
        <v>39226.643854242204</v>
      </c>
      <c r="W12" s="3">
        <v>7944.9966007976791</v>
      </c>
      <c r="X12" s="3">
        <v>2596.1396392313272</v>
      </c>
      <c r="Y12" s="3">
        <f t="shared" si="4"/>
        <v>34.56133520667052</v>
      </c>
      <c r="Z12" s="3">
        <f t="shared" si="5"/>
        <v>39.57909037345938</v>
      </c>
      <c r="AA12" s="3">
        <f t="shared" si="6"/>
        <v>7944.9966007976791</v>
      </c>
      <c r="AB12" s="3">
        <f t="shared" si="7"/>
        <v>2596.1396392313272</v>
      </c>
      <c r="AC12" s="3">
        <f t="shared" si="8"/>
        <v>131.93309236765833</v>
      </c>
      <c r="AD12" s="3">
        <f t="shared" si="9"/>
        <v>34.793677483684391</v>
      </c>
      <c r="AE12" s="3">
        <f t="shared" si="10"/>
        <v>112549.2897933285</v>
      </c>
      <c r="AF12" s="3">
        <f t="shared" si="11"/>
        <v>39226.643854242204</v>
      </c>
      <c r="AG12">
        <f t="shared" si="12"/>
        <v>5348.8569615663519</v>
      </c>
      <c r="AH12">
        <f t="shared" si="13"/>
        <v>2121.2916864702697</v>
      </c>
      <c r="AI12">
        <f t="shared" si="14"/>
        <v>1737.1451135999996</v>
      </c>
      <c r="AJ12">
        <v>144.905</v>
      </c>
      <c r="AK12">
        <v>165.86799999999999</v>
      </c>
      <c r="AL12">
        <f t="shared" si="15"/>
        <v>0.81890912253115367</v>
      </c>
    </row>
    <row r="13" spans="1:38" x14ac:dyDescent="0.25">
      <c r="A13" s="1" t="s">
        <v>27</v>
      </c>
      <c r="B13" s="1">
        <v>550</v>
      </c>
      <c r="C13" s="1">
        <v>6500</v>
      </c>
      <c r="D13">
        <f t="shared" si="0"/>
        <v>8.2221937645433386E-4</v>
      </c>
      <c r="E13">
        <f t="shared" si="1"/>
        <v>3.2860014908667828E-3</v>
      </c>
      <c r="F13">
        <f t="shared" si="16"/>
        <v>2.376E-2</v>
      </c>
      <c r="G13">
        <f t="shared" si="2"/>
        <v>85.536000000000001</v>
      </c>
      <c r="H13">
        <f t="shared" si="3"/>
        <v>9.1167200000000004E-2</v>
      </c>
      <c r="I13" s="2">
        <v>1100</v>
      </c>
      <c r="J13" s="2">
        <v>5500</v>
      </c>
      <c r="K13">
        <v>1100</v>
      </c>
      <c r="L13">
        <v>5492</v>
      </c>
      <c r="M13" s="3">
        <v>132.13696519216845</v>
      </c>
      <c r="N13" s="3">
        <v>131.72921954314822</v>
      </c>
      <c r="O13" s="3">
        <v>34.840613669330239</v>
      </c>
      <c r="P13" s="3">
        <v>34.746741298038543</v>
      </c>
      <c r="Q13" s="3">
        <v>34.552451957939759</v>
      </c>
      <c r="R13" s="3">
        <v>34.570218455401289</v>
      </c>
      <c r="S13" s="3">
        <v>39.686298948514271</v>
      </c>
      <c r="T13" s="3">
        <v>39.471881798404496</v>
      </c>
      <c r="U13" s="3">
        <v>112549.2897933285</v>
      </c>
      <c r="V13" s="3">
        <v>39226.643854242204</v>
      </c>
      <c r="W13" s="3">
        <v>7944.9966007976791</v>
      </c>
      <c r="X13" s="3">
        <v>2596.1396392313272</v>
      </c>
      <c r="Y13" s="3">
        <f t="shared" si="4"/>
        <v>34.56133520667052</v>
      </c>
      <c r="Z13" s="3">
        <f t="shared" si="5"/>
        <v>39.57909037345938</v>
      </c>
      <c r="AA13" s="3">
        <f t="shared" si="6"/>
        <v>7944.9966007976791</v>
      </c>
      <c r="AB13" s="3">
        <f t="shared" si="7"/>
        <v>2596.1396392313272</v>
      </c>
      <c r="AC13" s="3">
        <f t="shared" si="8"/>
        <v>131.93309236765833</v>
      </c>
      <c r="AD13" s="3">
        <f t="shared" si="9"/>
        <v>34.793677483684391</v>
      </c>
      <c r="AE13" s="3">
        <f t="shared" si="10"/>
        <v>112549.2897933285</v>
      </c>
      <c r="AF13" s="3">
        <f t="shared" si="11"/>
        <v>39226.643854242204</v>
      </c>
      <c r="AG13">
        <f t="shared" si="12"/>
        <v>5348.8569615663519</v>
      </c>
      <c r="AH13">
        <f t="shared" si="13"/>
        <v>2333.4208551172965</v>
      </c>
      <c r="AI13">
        <f t="shared" si="14"/>
        <v>1911.1380135999996</v>
      </c>
      <c r="AJ13">
        <v>144.905</v>
      </c>
      <c r="AK13">
        <v>165.86799999999999</v>
      </c>
      <c r="AL13">
        <f t="shared" si="15"/>
        <v>0.81902842747324744</v>
      </c>
    </row>
    <row r="14" spans="1:38" x14ac:dyDescent="0.25">
      <c r="A14" s="1" t="s">
        <v>28</v>
      </c>
      <c r="B14" s="1">
        <v>575</v>
      </c>
      <c r="C14" s="1">
        <v>7000</v>
      </c>
      <c r="D14">
        <f t="shared" si="0"/>
        <v>8.8546702079697495E-4</v>
      </c>
      <c r="E14">
        <f t="shared" si="1"/>
        <v>3.4353651949970915E-3</v>
      </c>
      <c r="F14">
        <f t="shared" si="16"/>
        <v>2.5920000000000002E-2</v>
      </c>
      <c r="G14">
        <f t="shared" si="2"/>
        <v>93.312000000000012</v>
      </c>
      <c r="H14">
        <f t="shared" si="3"/>
        <v>9.93676E-2</v>
      </c>
      <c r="I14" s="2">
        <v>1200</v>
      </c>
      <c r="J14" s="2">
        <v>6000</v>
      </c>
      <c r="K14">
        <v>1200</v>
      </c>
      <c r="L14">
        <v>5986</v>
      </c>
      <c r="M14" s="3">
        <v>135.46038129426293</v>
      </c>
      <c r="N14" s="3">
        <v>135.02618123605501</v>
      </c>
      <c r="O14" s="3">
        <v>34.956568351610741</v>
      </c>
      <c r="P14" s="3">
        <v>34.851246725524909</v>
      </c>
      <c r="Q14" s="3">
        <v>34.433355971670252</v>
      </c>
      <c r="R14" s="3">
        <v>34.441389347046318</v>
      </c>
      <c r="S14" s="3">
        <v>39.70124672552388</v>
      </c>
      <c r="T14" s="3">
        <v>39.47506548947247</v>
      </c>
      <c r="U14" s="3">
        <v>127028.41030367711</v>
      </c>
      <c r="V14" s="3">
        <v>45145.149413020277</v>
      </c>
      <c r="W14" s="3">
        <v>11362.551663917726</v>
      </c>
      <c r="X14" s="3">
        <v>5055.7327544387308</v>
      </c>
      <c r="Y14" s="3">
        <f t="shared" si="4"/>
        <v>34.437372659358289</v>
      </c>
      <c r="Z14" s="3">
        <f t="shared" si="5"/>
        <v>39.588156107498179</v>
      </c>
      <c r="AA14" s="3">
        <f t="shared" si="6"/>
        <v>11362.551663917726</v>
      </c>
      <c r="AB14" s="3">
        <f t="shared" si="7"/>
        <v>5055.7327544387308</v>
      </c>
      <c r="AC14" s="3">
        <f t="shared" si="8"/>
        <v>135.24328126515897</v>
      </c>
      <c r="AD14" s="3">
        <f t="shared" si="9"/>
        <v>34.903907538567822</v>
      </c>
      <c r="AE14" s="3">
        <f t="shared" si="10"/>
        <v>127028.41030367711</v>
      </c>
      <c r="AF14" s="3">
        <f t="shared" si="11"/>
        <v>45145.149413020277</v>
      </c>
      <c r="AG14">
        <f t="shared" si="12"/>
        <v>6306.818909478995</v>
      </c>
      <c r="AH14">
        <f t="shared" si="13"/>
        <v>2629.4053292301683</v>
      </c>
      <c r="AI14">
        <f t="shared" si="14"/>
        <v>2138.1920168000001</v>
      </c>
      <c r="AJ14">
        <v>144.38999999999999</v>
      </c>
      <c r="AK14">
        <v>165.90799999999999</v>
      </c>
      <c r="AL14">
        <f t="shared" si="15"/>
        <v>0.8131846364767259</v>
      </c>
    </row>
    <row r="15" spans="1:38" x14ac:dyDescent="0.25">
      <c r="A15" s="1" t="s">
        <v>29</v>
      </c>
      <c r="B15" s="1">
        <v>600</v>
      </c>
      <c r="C15" s="1">
        <v>7500</v>
      </c>
      <c r="D15">
        <f t="shared" si="0"/>
        <v>9.4871466513961604E-4</v>
      </c>
      <c r="E15">
        <f t="shared" si="1"/>
        <v>3.5847288991273998E-3</v>
      </c>
      <c r="F15">
        <f t="shared" si="16"/>
        <v>2.8079999999999997E-2</v>
      </c>
      <c r="G15">
        <f t="shared" si="2"/>
        <v>101.08799999999999</v>
      </c>
      <c r="H15">
        <f t="shared" si="3"/>
        <v>0.1077008</v>
      </c>
      <c r="I15" s="2">
        <v>1300</v>
      </c>
      <c r="J15" s="2">
        <v>6500</v>
      </c>
      <c r="K15">
        <v>1300</v>
      </c>
      <c r="L15">
        <v>6488</v>
      </c>
      <c r="M15" s="3">
        <v>135.47978618421357</v>
      </c>
      <c r="N15" s="3">
        <v>135.05855811403873</v>
      </c>
      <c r="O15" s="3">
        <v>38.221430921053795</v>
      </c>
      <c r="P15" s="3">
        <v>38.10895285087755</v>
      </c>
      <c r="Q15" s="3">
        <v>37.746957236844473</v>
      </c>
      <c r="R15" s="3">
        <v>37.756195175440041</v>
      </c>
      <c r="S15" s="3">
        <v>42.762478070172875</v>
      </c>
      <c r="T15" s="3">
        <v>42.594358552631782</v>
      </c>
      <c r="U15" s="3">
        <v>142366.05427631579</v>
      </c>
      <c r="V15" s="3">
        <v>51689.73684210526</v>
      </c>
      <c r="W15" s="3">
        <v>10374.284265350878</v>
      </c>
      <c r="X15" s="3">
        <v>3027.4462719298244</v>
      </c>
      <c r="Y15" s="3">
        <f t="shared" si="4"/>
        <v>37.751576206142261</v>
      </c>
      <c r="Z15" s="3">
        <f t="shared" si="5"/>
        <v>42.678418311402325</v>
      </c>
      <c r="AA15" s="3">
        <f t="shared" si="6"/>
        <v>10374.284265350878</v>
      </c>
      <c r="AB15" s="3">
        <f t="shared" si="7"/>
        <v>3027.4462719298244</v>
      </c>
      <c r="AC15" s="3">
        <f t="shared" si="8"/>
        <v>135.26917214912615</v>
      </c>
      <c r="AD15" s="3">
        <f t="shared" si="9"/>
        <v>38.165191885965669</v>
      </c>
      <c r="AE15" s="3">
        <f t="shared" si="10"/>
        <v>142366.05427631579</v>
      </c>
      <c r="AF15" s="3">
        <f t="shared" si="11"/>
        <v>51689.73684210526</v>
      </c>
      <c r="AG15">
        <f t="shared" si="12"/>
        <v>7346.8379934210534</v>
      </c>
      <c r="AH15">
        <f t="shared" si="13"/>
        <v>2756.6732432132308</v>
      </c>
      <c r="AI15">
        <f t="shared" si="14"/>
        <v>2216.5901647999985</v>
      </c>
      <c r="AJ15">
        <v>158.238</v>
      </c>
      <c r="AK15">
        <v>178.81899999999999</v>
      </c>
      <c r="AL15">
        <f t="shared" si="15"/>
        <v>0.80408157559373949</v>
      </c>
    </row>
    <row r="16" spans="1:38" x14ac:dyDescent="0.25">
      <c r="A16" s="1" t="s">
        <v>30</v>
      </c>
      <c r="B16" s="1">
        <v>625</v>
      </c>
      <c r="C16" s="1">
        <v>8000</v>
      </c>
      <c r="D16">
        <f t="shared" si="0"/>
        <v>1.0119623094822572E-3</v>
      </c>
      <c r="E16">
        <f t="shared" si="1"/>
        <v>3.7340926032577082E-3</v>
      </c>
      <c r="F16">
        <f t="shared" si="16"/>
        <v>3.024E-2</v>
      </c>
      <c r="G16">
        <f t="shared" si="2"/>
        <v>108.864</v>
      </c>
      <c r="H16">
        <f t="shared" si="3"/>
        <v>0.116864</v>
      </c>
      <c r="I16" s="2">
        <v>1400</v>
      </c>
      <c r="J16" s="2">
        <v>7000</v>
      </c>
      <c r="K16">
        <v>1400</v>
      </c>
      <c r="L16">
        <v>7040</v>
      </c>
      <c r="M16" s="3">
        <v>132.18207684824782</v>
      </c>
      <c r="N16" s="3">
        <v>131.77676313229674</v>
      </c>
      <c r="O16" s="3">
        <v>40.294041828794633</v>
      </c>
      <c r="P16" s="3">
        <v>40.174708171204784</v>
      </c>
      <c r="Q16" s="3">
        <v>39.804644941634166</v>
      </c>
      <c r="R16" s="3">
        <v>39.776933365757877</v>
      </c>
      <c r="S16" s="3">
        <v>44.524744649805868</v>
      </c>
      <c r="T16" s="3">
        <v>44.327966926069692</v>
      </c>
      <c r="U16" s="3">
        <v>158796.68287937742</v>
      </c>
      <c r="V16" s="3">
        <v>59085.952091439685</v>
      </c>
      <c r="W16" s="3">
        <v>11227.292071984435</v>
      </c>
      <c r="X16" s="3">
        <v>2635.9460116731516</v>
      </c>
      <c r="Y16" s="3">
        <f t="shared" si="4"/>
        <v>39.790789153696025</v>
      </c>
      <c r="Z16" s="3">
        <f t="shared" si="5"/>
        <v>44.42635578793778</v>
      </c>
      <c r="AA16" s="3">
        <f t="shared" si="6"/>
        <v>11227.292071984435</v>
      </c>
      <c r="AB16" s="3">
        <f t="shared" si="7"/>
        <v>2635.9460116731516</v>
      </c>
      <c r="AC16" s="3">
        <f t="shared" si="8"/>
        <v>131.97941999027228</v>
      </c>
      <c r="AD16" s="3">
        <f t="shared" si="9"/>
        <v>40.234374999999709</v>
      </c>
      <c r="AE16" s="3">
        <f t="shared" si="10"/>
        <v>158796.68287937742</v>
      </c>
      <c r="AF16" s="3">
        <f t="shared" si="11"/>
        <v>59085.952091439685</v>
      </c>
      <c r="AG16">
        <f t="shared" si="12"/>
        <v>8591.3460603112835</v>
      </c>
      <c r="AH16">
        <f t="shared" si="13"/>
        <v>2804.8882322714067</v>
      </c>
      <c r="AI16">
        <f t="shared" si="14"/>
        <v>2262.8376319999998</v>
      </c>
      <c r="AJ16" s="1">
        <v>166.76</v>
      </c>
      <c r="AK16" s="1">
        <v>186.12299999999999</v>
      </c>
      <c r="AL16">
        <f t="shared" si="15"/>
        <v>0.806747878922629</v>
      </c>
    </row>
    <row r="17" spans="1:38" x14ac:dyDescent="0.25">
      <c r="A17" s="1" t="s">
        <v>31</v>
      </c>
      <c r="B17" s="1">
        <v>650</v>
      </c>
      <c r="C17" s="1">
        <v>8500</v>
      </c>
      <c r="D17">
        <f t="shared" si="0"/>
        <v>1.0752099538248983E-3</v>
      </c>
      <c r="E17">
        <f t="shared" si="1"/>
        <v>3.8834563073880161E-3</v>
      </c>
      <c r="F17">
        <f t="shared" si="16"/>
        <v>3.2400000000000005E-2</v>
      </c>
      <c r="G17">
        <f t="shared" si="2"/>
        <v>116.64000000000001</v>
      </c>
      <c r="H17">
        <f t="shared" si="3"/>
        <v>0.12513080000000001</v>
      </c>
      <c r="I17" s="2">
        <v>1500</v>
      </c>
      <c r="J17" s="2">
        <v>7500</v>
      </c>
      <c r="K17">
        <v>1500</v>
      </c>
      <c r="L17">
        <v>7538</v>
      </c>
      <c r="M17" s="3">
        <v>127.27891448174084</v>
      </c>
      <c r="N17" s="3">
        <v>126.88994119088838</v>
      </c>
      <c r="O17" s="3">
        <v>40.295711835334664</v>
      </c>
      <c r="P17" s="3">
        <v>40.17001960303736</v>
      </c>
      <c r="Q17" s="3">
        <v>39.700906640528252</v>
      </c>
      <c r="R17" s="3">
        <v>39.685211957851926</v>
      </c>
      <c r="S17" s="3">
        <v>44.282896348934898</v>
      </c>
      <c r="T17" s="3">
        <v>44.058796863514644</v>
      </c>
      <c r="U17" s="3">
        <v>174758.96839010046</v>
      </c>
      <c r="V17" s="3">
        <v>66315.132320509685</v>
      </c>
      <c r="W17" s="3">
        <v>14178.796250918893</v>
      </c>
      <c r="X17" s="3">
        <v>4346.6674834599362</v>
      </c>
      <c r="Y17" s="3">
        <f t="shared" si="4"/>
        <v>39.693059299190089</v>
      </c>
      <c r="Z17" s="3">
        <f t="shared" si="5"/>
        <v>44.170846606224771</v>
      </c>
      <c r="AA17" s="3">
        <f t="shared" si="6"/>
        <v>14178.796250918893</v>
      </c>
      <c r="AB17" s="3">
        <f t="shared" si="7"/>
        <v>4346.6674834599362</v>
      </c>
      <c r="AC17" s="3">
        <f t="shared" si="8"/>
        <v>127.0844278363146</v>
      </c>
      <c r="AD17" s="3">
        <f t="shared" si="9"/>
        <v>40.232865719186009</v>
      </c>
      <c r="AE17" s="3">
        <f t="shared" si="10"/>
        <v>174758.96839010046</v>
      </c>
      <c r="AF17" s="3">
        <f t="shared" si="11"/>
        <v>66315.132320509685</v>
      </c>
      <c r="AG17">
        <f t="shared" si="12"/>
        <v>9832.1287674589566</v>
      </c>
      <c r="AH17">
        <f t="shared" si="13"/>
        <v>2844.9445093335116</v>
      </c>
      <c r="AI17">
        <f t="shared" si="14"/>
        <v>2340.1962215999997</v>
      </c>
      <c r="AJ17">
        <v>166.35400000000001</v>
      </c>
      <c r="AK17">
        <v>185.05600000000001</v>
      </c>
      <c r="AL17">
        <f t="shared" si="15"/>
        <v>0.82258062114126795</v>
      </c>
    </row>
    <row r="18" spans="1:38" x14ac:dyDescent="0.25">
      <c r="A18" s="1" t="s">
        <v>32</v>
      </c>
      <c r="B18" s="1">
        <v>675</v>
      </c>
      <c r="C18" s="1">
        <v>9000</v>
      </c>
      <c r="D18">
        <f t="shared" si="0"/>
        <v>1.1384575981675394E-3</v>
      </c>
      <c r="E18">
        <f t="shared" si="1"/>
        <v>4.0328200115183239E-3</v>
      </c>
      <c r="F18">
        <f t="shared" si="16"/>
        <v>3.456E-2</v>
      </c>
      <c r="G18">
        <f t="shared" si="2"/>
        <v>124.416</v>
      </c>
      <c r="H18">
        <f t="shared" si="3"/>
        <v>0.13275020000000001</v>
      </c>
      <c r="I18" s="2">
        <v>1600</v>
      </c>
      <c r="J18" s="2">
        <v>8000</v>
      </c>
      <c r="K18">
        <v>1600</v>
      </c>
      <c r="L18">
        <v>7997</v>
      </c>
      <c r="M18" s="3">
        <v>121.11776626886146</v>
      </c>
      <c r="N18" s="3">
        <v>120.7433460932226</v>
      </c>
      <c r="O18" s="3">
        <v>42.15744201756241</v>
      </c>
      <c r="P18" s="3">
        <v>42.038031974780004</v>
      </c>
      <c r="Q18" s="3">
        <v>41.679385273586348</v>
      </c>
      <c r="R18" s="3">
        <v>41.664231029046434</v>
      </c>
      <c r="S18" s="3">
        <v>45.750360279217567</v>
      </c>
      <c r="T18" s="3">
        <v>45.526063949561184</v>
      </c>
      <c r="U18" s="3">
        <v>192655.34564287323</v>
      </c>
      <c r="V18" s="3">
        <v>75788.01508669219</v>
      </c>
      <c r="W18" s="3">
        <v>14567.211213690611</v>
      </c>
      <c r="X18" s="3">
        <v>3320.2240486376941</v>
      </c>
      <c r="Y18" s="3">
        <f t="shared" si="4"/>
        <v>41.671808151316391</v>
      </c>
      <c r="Z18" s="3">
        <f t="shared" si="5"/>
        <v>45.638212114389376</v>
      </c>
      <c r="AA18" s="3">
        <f t="shared" si="6"/>
        <v>14567.211213690611</v>
      </c>
      <c r="AB18" s="3">
        <f t="shared" si="7"/>
        <v>3320.2240486376941</v>
      </c>
      <c r="AC18" s="3">
        <f t="shared" si="8"/>
        <v>120.93055618104202</v>
      </c>
      <c r="AD18" s="3">
        <f t="shared" si="9"/>
        <v>42.097736996171207</v>
      </c>
      <c r="AE18" s="3">
        <f t="shared" si="10"/>
        <v>192655.34564287323</v>
      </c>
      <c r="AF18" s="3">
        <f t="shared" si="11"/>
        <v>75788.01508669219</v>
      </c>
      <c r="AG18">
        <f t="shared" si="12"/>
        <v>11246.987165052917</v>
      </c>
      <c r="AH18">
        <f t="shared" si="13"/>
        <v>2754.4313155704558</v>
      </c>
      <c r="AI18">
        <f t="shared" si="14"/>
        <v>2198.8743128000033</v>
      </c>
      <c r="AJ18">
        <v>174.62299999999999</v>
      </c>
      <c r="AK18">
        <v>191.18700000000001</v>
      </c>
      <c r="AL18">
        <f t="shared" si="15"/>
        <v>0.79830428167514711</v>
      </c>
    </row>
    <row r="19" spans="1:38" x14ac:dyDescent="0.25">
      <c r="A19" s="1" t="s">
        <v>56</v>
      </c>
      <c r="B19" s="1">
        <v>650</v>
      </c>
      <c r="C19" s="1">
        <v>8500</v>
      </c>
      <c r="D19">
        <f t="shared" ref="D19:D20" si="17">C19*0.000024085*18.0565/3.438/1000</f>
        <v>1.0752099538248983E-3</v>
      </c>
      <c r="E19">
        <f t="shared" ref="E19:E20" si="18">B19*0.001137568*18.0565/3.438/1000</f>
        <v>3.8834563073880161E-3</v>
      </c>
      <c r="F19">
        <f t="shared" si="16"/>
        <v>3.6720000000000003E-2</v>
      </c>
      <c r="G19">
        <f t="shared" ref="G19:G20" si="19">F19*3600</f>
        <v>132.19200000000001</v>
      </c>
      <c r="H19">
        <f t="shared" si="3"/>
        <v>0.14106679999999999</v>
      </c>
      <c r="I19" s="2">
        <v>1700</v>
      </c>
      <c r="J19" s="2">
        <v>8500</v>
      </c>
      <c r="K19">
        <v>1798</v>
      </c>
      <c r="L19">
        <v>8498</v>
      </c>
      <c r="M19" s="3">
        <v>116.0071057192355</v>
      </c>
      <c r="N19" s="3">
        <v>115.6656954072818</v>
      </c>
      <c r="O19" s="3">
        <v>42.147422010398529</v>
      </c>
      <c r="P19" s="3">
        <v>42.031921577124692</v>
      </c>
      <c r="Q19" s="3">
        <v>41.582409012130633</v>
      </c>
      <c r="R19" s="3">
        <v>41.553986135181987</v>
      </c>
      <c r="S19" s="3">
        <v>45.493522530328583</v>
      </c>
      <c r="T19" s="3">
        <v>45.273212738302185</v>
      </c>
      <c r="U19" s="3">
        <v>209241.76559792028</v>
      </c>
      <c r="V19" s="3">
        <v>84244.971837088393</v>
      </c>
      <c r="W19" s="3">
        <v>17744.649046793762</v>
      </c>
      <c r="X19" s="3">
        <v>5303.8112001733098</v>
      </c>
      <c r="Y19" s="3">
        <f t="shared" si="4"/>
        <v>41.568197573656306</v>
      </c>
      <c r="Z19" s="3">
        <f t="shared" si="5"/>
        <v>45.383367634315384</v>
      </c>
      <c r="AA19" s="3">
        <f t="shared" si="6"/>
        <v>17744.649046793762</v>
      </c>
      <c r="AB19" s="3">
        <f t="shared" si="7"/>
        <v>5303.8112001733098</v>
      </c>
      <c r="AC19" s="3">
        <f t="shared" si="8"/>
        <v>115.83640056325865</v>
      </c>
      <c r="AD19" s="3">
        <f t="shared" si="9"/>
        <v>42.08967179376161</v>
      </c>
      <c r="AE19" s="3">
        <f t="shared" si="10"/>
        <v>209241.76559792028</v>
      </c>
      <c r="AF19" s="3">
        <f t="shared" si="11"/>
        <v>84244.971837088393</v>
      </c>
      <c r="AG19">
        <f t="shared" si="12"/>
        <v>12440.837846620452</v>
      </c>
      <c r="AH19">
        <f t="shared" si="13"/>
        <v>2737.767659100507</v>
      </c>
      <c r="AI19">
        <f t="shared" si="14"/>
        <v>2247.3351907999977</v>
      </c>
      <c r="AJ19">
        <v>174.19300000000001</v>
      </c>
      <c r="AK19">
        <v>190.124</v>
      </c>
      <c r="AL19">
        <f t="shared" ref="AL19:AL20" si="20">AI19/AH19</f>
        <v>0.82086410193710857</v>
      </c>
    </row>
    <row r="20" spans="1:38" x14ac:dyDescent="0.25">
      <c r="A20" s="1" t="s">
        <v>57</v>
      </c>
      <c r="B20" s="1">
        <v>675</v>
      </c>
      <c r="C20" s="1">
        <v>9000</v>
      </c>
      <c r="D20">
        <f t="shared" si="17"/>
        <v>1.1384575981675394E-3</v>
      </c>
      <c r="E20">
        <f t="shared" si="18"/>
        <v>4.0328200115183239E-3</v>
      </c>
      <c r="F20">
        <f t="shared" si="16"/>
        <v>3.8879999999999998E-2</v>
      </c>
      <c r="G20">
        <f t="shared" si="19"/>
        <v>139.96799999999999</v>
      </c>
      <c r="H20">
        <f t="shared" si="3"/>
        <v>0.14931700000000001</v>
      </c>
      <c r="I20" s="2">
        <v>1800</v>
      </c>
      <c r="J20" s="2">
        <v>9000</v>
      </c>
      <c r="K20">
        <v>1903</v>
      </c>
      <c r="L20">
        <v>8995</v>
      </c>
      <c r="M20" s="3">
        <v>110.9188057386566</v>
      </c>
      <c r="N20" s="3">
        <v>110.56958123303724</v>
      </c>
      <c r="O20" s="3">
        <v>43.969406746799571</v>
      </c>
      <c r="P20" s="3">
        <v>43.857541682824241</v>
      </c>
      <c r="Q20" s="3">
        <v>43.365781310586577</v>
      </c>
      <c r="R20" s="3">
        <v>43.366169057774925</v>
      </c>
      <c r="S20" s="3">
        <v>46.87411787514646</v>
      </c>
      <c r="T20" s="3">
        <v>46.749321442418605</v>
      </c>
      <c r="U20" s="3">
        <v>227594.24970918961</v>
      </c>
      <c r="V20" s="3">
        <v>93813.867778208602</v>
      </c>
      <c r="W20" s="3">
        <v>18669.859441644046</v>
      </c>
      <c r="X20" s="3">
        <v>4686.042070569988</v>
      </c>
      <c r="Y20" s="3">
        <f t="shared" si="4"/>
        <v>43.365975184180755</v>
      </c>
      <c r="Z20" s="3">
        <f t="shared" si="5"/>
        <v>46.811719658782536</v>
      </c>
      <c r="AA20" s="3">
        <f t="shared" si="6"/>
        <v>18669.859441644046</v>
      </c>
      <c r="AB20" s="3">
        <f t="shared" si="7"/>
        <v>4686.042070569988</v>
      </c>
      <c r="AC20" s="3">
        <f t="shared" si="8"/>
        <v>110.74419348584692</v>
      </c>
      <c r="AD20" s="3">
        <f t="shared" si="9"/>
        <v>43.913474214811906</v>
      </c>
      <c r="AE20" s="3">
        <f t="shared" si="10"/>
        <v>227594.24970918961</v>
      </c>
      <c r="AF20" s="3">
        <f t="shared" si="11"/>
        <v>93813.867778208602</v>
      </c>
      <c r="AG20">
        <f t="shared" si="12"/>
        <v>13983.817371074059</v>
      </c>
      <c r="AH20">
        <f t="shared" si="13"/>
        <v>2626.9605272756771</v>
      </c>
      <c r="AI20">
        <f t="shared" si="14"/>
        <v>2148.0743620000035</v>
      </c>
      <c r="AJ20">
        <v>181.70599999999999</v>
      </c>
      <c r="AK20">
        <v>196.09200000000001</v>
      </c>
      <c r="AL20">
        <f t="shared" si="20"/>
        <v>0.81770332659992095</v>
      </c>
    </row>
    <row r="21" spans="1:38" x14ac:dyDescent="0.25">
      <c r="A21" s="1"/>
      <c r="B21" s="1"/>
      <c r="I21" s="2"/>
      <c r="J21" s="4"/>
      <c r="M21">
        <v>-0.56000000000000005</v>
      </c>
      <c r="N21">
        <v>-0.59272727272727233</v>
      </c>
      <c r="O21">
        <v>-0.55545454545454509</v>
      </c>
      <c r="P21">
        <v>-0.61272727272727356</v>
      </c>
      <c r="Q21">
        <v>-0.70636363636363697</v>
      </c>
      <c r="R21">
        <v>-0.77090909090909132</v>
      </c>
      <c r="S21">
        <v>-0.72454545454545471</v>
      </c>
      <c r="T21">
        <v>-0.71181818181818202</v>
      </c>
      <c r="U21">
        <v>558</v>
      </c>
      <c r="V21">
        <v>334</v>
      </c>
      <c r="W21">
        <v>4391</v>
      </c>
      <c r="X21">
        <v>4519</v>
      </c>
      <c r="Y21" s="3"/>
      <c r="Z21" s="3"/>
      <c r="AA21" s="3"/>
      <c r="AB21" s="3"/>
      <c r="AC21" s="3"/>
      <c r="AD21" s="3"/>
      <c r="AE21" s="3"/>
      <c r="AF21" s="3"/>
    </row>
    <row r="22" spans="1:38" x14ac:dyDescent="0.25">
      <c r="A22" s="1"/>
      <c r="B22" s="1"/>
      <c r="J22" s="2"/>
      <c r="M22" s="5">
        <v>38.209263664684372</v>
      </c>
      <c r="N22" s="5">
        <v>38.134655904842845</v>
      </c>
      <c r="O22" s="5">
        <v>41.411727555932764</v>
      </c>
      <c r="P22" s="5">
        <v>41.426584536957968</v>
      </c>
      <c r="Q22" s="5">
        <v>96.702463891247476</v>
      </c>
      <c r="R22" s="5">
        <v>96.84038516001246</v>
      </c>
      <c r="S22" s="5">
        <v>36.904347210420838</v>
      </c>
      <c r="T22" s="5">
        <v>36.890909090907584</v>
      </c>
      <c r="U22" s="5">
        <v>203978.51741716228</v>
      </c>
      <c r="V22" s="5">
        <v>25070.199660152932</v>
      </c>
      <c r="W22" s="5">
        <v>9823.9549702633813</v>
      </c>
      <c r="X22" s="5">
        <v>3267.4653072783913</v>
      </c>
      <c r="Y22" s="3"/>
      <c r="Z22" s="3"/>
      <c r="AA22" s="3"/>
      <c r="AB22" s="3"/>
      <c r="AC22" s="3"/>
      <c r="AD22" s="3"/>
      <c r="AE22" s="3"/>
      <c r="AF22" s="3"/>
    </row>
    <row r="23" spans="1:38" x14ac:dyDescent="0.25">
      <c r="D23" s="1"/>
      <c r="E23" s="1"/>
      <c r="F23" s="1"/>
      <c r="G23" s="1"/>
      <c r="H23" s="1"/>
      <c r="I23" s="1"/>
      <c r="J23" s="1"/>
      <c r="K23" s="1"/>
      <c r="M23">
        <f>M22-M21</f>
        <v>38.769263664684374</v>
      </c>
      <c r="N23">
        <f t="shared" ref="N23:X23" si="21">N22-N21</f>
        <v>38.727383177570118</v>
      </c>
      <c r="O23">
        <f t="shared" si="21"/>
        <v>41.967182101387309</v>
      </c>
      <c r="P23">
        <f t="shared" si="21"/>
        <v>42.039311809685245</v>
      </c>
      <c r="Q23">
        <f t="shared" si="21"/>
        <v>97.408827527611109</v>
      </c>
      <c r="R23">
        <f t="shared" si="21"/>
        <v>97.611294250921546</v>
      </c>
      <c r="S23">
        <f t="shared" si="21"/>
        <v>37.628892664966294</v>
      </c>
      <c r="T23">
        <f t="shared" si="21"/>
        <v>37.602727272725765</v>
      </c>
      <c r="U23">
        <f t="shared" si="21"/>
        <v>203420.51741716228</v>
      </c>
      <c r="V23">
        <f t="shared" si="21"/>
        <v>24736.199660152932</v>
      </c>
      <c r="W23">
        <f t="shared" si="21"/>
        <v>5432.9549702633813</v>
      </c>
      <c r="X23">
        <f t="shared" si="21"/>
        <v>-1251.5346927216087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8" x14ac:dyDescent="0.25">
      <c r="A24" s="1"/>
      <c r="B24" s="1"/>
      <c r="C24" s="1"/>
      <c r="M24" s="3">
        <v>133.552458673362</v>
      </c>
      <c r="N24" s="3">
        <v>132.42436179116734</v>
      </c>
      <c r="O24" s="3">
        <v>32.453442142705441</v>
      </c>
      <c r="P24" s="3">
        <v>32.406669805398806</v>
      </c>
      <c r="Q24" s="3">
        <v>32.616248169072506</v>
      </c>
      <c r="R24" s="3">
        <v>32.610540908139882</v>
      </c>
      <c r="S24" s="3">
        <v>37.613010043941884</v>
      </c>
      <c r="T24" s="3">
        <v>37.51907302783043</v>
      </c>
      <c r="U24" s="3">
        <v>71512.686754551163</v>
      </c>
      <c r="V24" s="3">
        <v>21508.826114249841</v>
      </c>
      <c r="W24" s="3">
        <v>2930.5126595522074</v>
      </c>
      <c r="X24" s="3">
        <v>588.43272651182258</v>
      </c>
    </row>
    <row r="25" spans="1:38" x14ac:dyDescent="0.25">
      <c r="A25" s="1"/>
      <c r="B25" s="1"/>
      <c r="C25" s="1"/>
    </row>
    <row r="26" spans="1:38" x14ac:dyDescent="0.25">
      <c r="A26" s="1"/>
      <c r="B26" s="1"/>
      <c r="C26" s="1"/>
    </row>
    <row r="27" spans="1:38" x14ac:dyDescent="0.25">
      <c r="A27" s="1"/>
      <c r="B27" s="1"/>
      <c r="C27" s="1"/>
    </row>
    <row r="28" spans="1:38" x14ac:dyDescent="0.25">
      <c r="A28" s="1"/>
      <c r="B28" s="1"/>
      <c r="C28" s="1"/>
    </row>
    <row r="29" spans="1:38" x14ac:dyDescent="0.25">
      <c r="A29" s="1"/>
      <c r="B29" s="1"/>
      <c r="C29" s="1"/>
    </row>
    <row r="30" spans="1:38" x14ac:dyDescent="0.25">
      <c r="A30" s="1"/>
      <c r="B30" s="1"/>
      <c r="C30" s="1"/>
    </row>
    <row r="31" spans="1:38" x14ac:dyDescent="0.25">
      <c r="A31" s="1"/>
      <c r="B31" s="1"/>
      <c r="C31" s="1"/>
    </row>
    <row r="32" spans="1:38" x14ac:dyDescent="0.25">
      <c r="A32" s="1"/>
      <c r="B32" s="1"/>
      <c r="C32" s="1"/>
    </row>
    <row r="33" spans="1:36" x14ac:dyDescent="0.25">
      <c r="A33" s="1"/>
      <c r="B33" s="1"/>
      <c r="C33" s="1"/>
    </row>
    <row r="34" spans="1:36" x14ac:dyDescent="0.25">
      <c r="A34" s="1"/>
      <c r="B34" s="1"/>
      <c r="C34" s="1"/>
    </row>
    <row r="35" spans="1:36" x14ac:dyDescent="0.25">
      <c r="A35" s="1"/>
      <c r="B35" s="1"/>
      <c r="C35" s="1"/>
    </row>
    <row r="36" spans="1:36" x14ac:dyDescent="0.25">
      <c r="A36" s="1"/>
      <c r="B36" s="1"/>
      <c r="C36" s="1"/>
    </row>
    <row r="37" spans="1:36" x14ac:dyDescent="0.25">
      <c r="A37" s="1"/>
      <c r="B37" s="1"/>
      <c r="C37" s="1"/>
    </row>
    <row r="38" spans="1:36" x14ac:dyDescent="0.25">
      <c r="A38" s="1"/>
      <c r="B38" s="1"/>
      <c r="C38" s="1"/>
    </row>
    <row r="39" spans="1:36" x14ac:dyDescent="0.25">
      <c r="A39" s="1"/>
      <c r="B39" s="1"/>
      <c r="C39" s="1"/>
    </row>
    <row r="41" spans="1:36" x14ac:dyDescent="0.25">
      <c r="D41" s="1"/>
    </row>
    <row r="42" spans="1:36" x14ac:dyDescent="0.25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25">
      <c r="A43" s="1"/>
      <c r="B43" s="1"/>
      <c r="C43" s="1"/>
    </row>
    <row r="44" spans="1:36" x14ac:dyDescent="0.25">
      <c r="A44" s="1"/>
      <c r="B44" s="1"/>
      <c r="C44" s="1"/>
    </row>
    <row r="45" spans="1:36" x14ac:dyDescent="0.25">
      <c r="A45" s="1"/>
      <c r="B45" s="1"/>
      <c r="C45" s="1"/>
    </row>
    <row r="46" spans="1:36" x14ac:dyDescent="0.25">
      <c r="A46" s="1"/>
      <c r="B46" s="1"/>
      <c r="C46" s="1"/>
    </row>
    <row r="47" spans="1:36" x14ac:dyDescent="0.25">
      <c r="A47" s="1"/>
      <c r="B47" s="1"/>
      <c r="C47" s="1"/>
    </row>
    <row r="48" spans="1:36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9BDC-5814-4F89-B615-050E697FFC86}">
  <dimension ref="A1:AL21"/>
  <sheetViews>
    <sheetView workbookViewId="0">
      <selection activeCell="Q8" sqref="Q8"/>
    </sheetView>
  </sheetViews>
  <sheetFormatPr defaultRowHeight="13.8" x14ac:dyDescent="0.25"/>
  <sheetData>
    <row r="1" spans="1:38" x14ac:dyDescent="0.25">
      <c r="A1" s="1" t="s">
        <v>0</v>
      </c>
    </row>
    <row r="2" spans="1:38" x14ac:dyDescent="0.25">
      <c r="B2" s="1" t="s">
        <v>33</v>
      </c>
      <c r="C2" s="1" t="s">
        <v>34</v>
      </c>
      <c r="D2" s="1" t="s">
        <v>1</v>
      </c>
      <c r="E2" s="1" t="s">
        <v>2</v>
      </c>
      <c r="F2" s="1" t="s">
        <v>3</v>
      </c>
      <c r="G2" s="1" t="s">
        <v>36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13</v>
      </c>
      <c r="Z2" s="1" t="s">
        <v>14</v>
      </c>
      <c r="AA2" s="1" t="s">
        <v>51</v>
      </c>
      <c r="AB2" s="1" t="s">
        <v>52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54</v>
      </c>
      <c r="AH2" s="1" t="s">
        <v>53</v>
      </c>
      <c r="AI2" s="1" t="s">
        <v>37</v>
      </c>
      <c r="AJ2" s="1" t="s">
        <v>38</v>
      </c>
      <c r="AK2" s="1" t="s">
        <v>55</v>
      </c>
    </row>
    <row r="3" spans="1:38" x14ac:dyDescent="0.25">
      <c r="A3" s="1" t="s">
        <v>17</v>
      </c>
      <c r="B3" s="1">
        <v>50</v>
      </c>
      <c r="C3" s="1">
        <v>500</v>
      </c>
      <c r="D3">
        <f>C3*0.000024085*18.0565/3.438/1000</f>
        <v>6.3247644342641078E-5</v>
      </c>
      <c r="E3">
        <f>B3*0.001137568*18.0565/3.438/1000</f>
        <v>2.987274082606166E-4</v>
      </c>
      <c r="F3">
        <f>D3*36</f>
        <v>2.2769151963350789E-3</v>
      </c>
      <c r="G3">
        <f>F3*3600</f>
        <v>8.1968947068062832</v>
      </c>
      <c r="H3">
        <f>E3*36</f>
        <v>1.0754186697382198E-2</v>
      </c>
      <c r="I3" s="2">
        <f t="shared" ref="I3:I18" si="0">F3*1000/1.292*60</f>
        <v>105.73909580503461</v>
      </c>
      <c r="J3" s="2">
        <f>H3/999.102*1000000*60</f>
        <v>645.83115822301613</v>
      </c>
      <c r="Y3" s="3">
        <f>M3/2+N3/2</f>
        <v>0</v>
      </c>
      <c r="Z3" s="3">
        <f>O3/2+P3/2</f>
        <v>0</v>
      </c>
      <c r="AA3" s="3">
        <f>W3</f>
        <v>0</v>
      </c>
      <c r="AB3" s="3">
        <f>X3</f>
        <v>0</v>
      </c>
      <c r="AC3" s="3">
        <f>Q3/2+R3/2</f>
        <v>0</v>
      </c>
      <c r="AD3" s="3">
        <f>S3/2+T3/2</f>
        <v>0</v>
      </c>
      <c r="AE3" s="3">
        <f>U3</f>
        <v>0</v>
      </c>
      <c r="AF3" s="3">
        <f>V3</f>
        <v>0</v>
      </c>
      <c r="AG3">
        <f>AA3-AB3</f>
        <v>0</v>
      </c>
      <c r="AH3">
        <f>1011*K3/I3*F3*(AC3-AD3)</f>
        <v>0</v>
      </c>
      <c r="AI3">
        <f>L3/J3*H3*(AK3-AJ3)*1000</f>
        <v>0</v>
      </c>
      <c r="AJ3">
        <v>76.17</v>
      </c>
      <c r="AK3">
        <v>98.858000000000004</v>
      </c>
      <c r="AL3" t="e">
        <f>AI3/AH3</f>
        <v>#DIV/0!</v>
      </c>
    </row>
    <row r="4" spans="1:38" x14ac:dyDescent="0.25">
      <c r="A4" s="1" t="s">
        <v>18</v>
      </c>
      <c r="B4" s="1">
        <v>100</v>
      </c>
      <c r="C4" s="1">
        <v>1000</v>
      </c>
      <c r="D4">
        <f t="shared" ref="D4:D18" si="1">C4*0.000024085*18.0565/3.438/1000</f>
        <v>1.2649528868528216E-4</v>
      </c>
      <c r="E4">
        <f t="shared" ref="E4:E18" si="2">B4*0.001137568*18.0565/3.438/1000</f>
        <v>5.974548165212332E-4</v>
      </c>
      <c r="F4">
        <f t="shared" ref="F4:F18" si="3">D4*36</f>
        <v>4.5538303926701577E-3</v>
      </c>
      <c r="G4">
        <f t="shared" ref="G4:G18" si="4">F4*3600</f>
        <v>16.393789413612566</v>
      </c>
      <c r="H4">
        <f t="shared" ref="H4:H18" si="5">E4*36</f>
        <v>2.1508373394764396E-2</v>
      </c>
      <c r="I4" s="2">
        <f t="shared" si="0"/>
        <v>211.47819161006922</v>
      </c>
      <c r="J4" s="2">
        <f t="shared" ref="J4:J18" si="6">H4/999.102*1000000*60</f>
        <v>1291.6623164460323</v>
      </c>
      <c r="Y4" s="3">
        <f t="shared" ref="Y4:Y18" si="7">M4/2+N4/2</f>
        <v>0</v>
      </c>
      <c r="Z4" s="3">
        <f t="shared" ref="Z4:Z18" si="8">O4/2+P4/2</f>
        <v>0</v>
      </c>
      <c r="AA4" s="3">
        <f t="shared" ref="AA4:AB18" si="9">W4</f>
        <v>0</v>
      </c>
      <c r="AB4" s="3">
        <f t="shared" si="9"/>
        <v>0</v>
      </c>
      <c r="AC4" s="3">
        <f t="shared" ref="AC4:AC18" si="10">Q4/2+R4/2</f>
        <v>0</v>
      </c>
      <c r="AD4" s="3">
        <f t="shared" ref="AD4:AD18" si="11">S4/2+T4/2</f>
        <v>0</v>
      </c>
      <c r="AE4" s="3">
        <f t="shared" ref="AE4:AF18" si="12">U4</f>
        <v>0</v>
      </c>
      <c r="AF4" s="3">
        <f t="shared" si="12"/>
        <v>0</v>
      </c>
      <c r="AG4">
        <f t="shared" ref="AG4:AG18" si="13">AA4-AB4</f>
        <v>0</v>
      </c>
      <c r="AH4">
        <f t="shared" ref="AH4:AH18" si="14">1011*K4/I4*F4*(AC4-AD4)</f>
        <v>0</v>
      </c>
      <c r="AI4">
        <f t="shared" ref="AI4:AI18" si="15">L4/J4*H4*(AK4-AJ4)*1000</f>
        <v>0</v>
      </c>
      <c r="AJ4">
        <v>76.216999999999999</v>
      </c>
      <c r="AK4">
        <v>105.248</v>
      </c>
      <c r="AL4" t="e">
        <f t="shared" ref="AL4:AL18" si="16">AI4/AH4</f>
        <v>#DIV/0!</v>
      </c>
    </row>
    <row r="5" spans="1:38" x14ac:dyDescent="0.25">
      <c r="A5" s="1" t="s">
        <v>19</v>
      </c>
      <c r="B5" s="1">
        <v>150</v>
      </c>
      <c r="C5" s="1">
        <v>1500</v>
      </c>
      <c r="D5">
        <f t="shared" si="1"/>
        <v>1.8974293302792319E-4</v>
      </c>
      <c r="E5">
        <f t="shared" si="2"/>
        <v>8.9618222478184996E-4</v>
      </c>
      <c r="F5">
        <f t="shared" si="3"/>
        <v>6.8307455890052353E-3</v>
      </c>
      <c r="G5">
        <f t="shared" si="4"/>
        <v>24.590684120418846</v>
      </c>
      <c r="H5">
        <f t="shared" si="5"/>
        <v>3.2262560092146599E-2</v>
      </c>
      <c r="I5" s="2">
        <f t="shared" si="0"/>
        <v>317.21728741510378</v>
      </c>
      <c r="J5" s="2">
        <f t="shared" si="6"/>
        <v>1937.4934746690487</v>
      </c>
      <c r="Y5" s="3">
        <f t="shared" si="7"/>
        <v>0</v>
      </c>
      <c r="Z5" s="3">
        <f t="shared" si="8"/>
        <v>0</v>
      </c>
      <c r="AA5" s="3">
        <f t="shared" si="9"/>
        <v>0</v>
      </c>
      <c r="AB5" s="3">
        <f t="shared" si="9"/>
        <v>0</v>
      </c>
      <c r="AC5" s="3">
        <f t="shared" si="10"/>
        <v>0</v>
      </c>
      <c r="AD5" s="3">
        <f t="shared" si="11"/>
        <v>0</v>
      </c>
      <c r="AE5" s="3">
        <f t="shared" si="12"/>
        <v>0</v>
      </c>
      <c r="AF5" s="3">
        <f t="shared" si="12"/>
        <v>0</v>
      </c>
      <c r="AG5">
        <f t="shared" si="13"/>
        <v>0</v>
      </c>
      <c r="AH5">
        <f t="shared" si="14"/>
        <v>0</v>
      </c>
      <c r="AI5">
        <f t="shared" si="15"/>
        <v>0</v>
      </c>
      <c r="AJ5">
        <v>93.037000000000006</v>
      </c>
      <c r="AK5">
        <v>120.91800000000001</v>
      </c>
      <c r="AL5" t="e">
        <f t="shared" si="16"/>
        <v>#DIV/0!</v>
      </c>
    </row>
    <row r="6" spans="1:38" x14ac:dyDescent="0.25">
      <c r="A6" s="1" t="s">
        <v>20</v>
      </c>
      <c r="B6" s="1">
        <v>200</v>
      </c>
      <c r="C6" s="1">
        <v>2000</v>
      </c>
      <c r="D6">
        <f t="shared" si="1"/>
        <v>2.5299057737056431E-4</v>
      </c>
      <c r="E6">
        <f t="shared" si="2"/>
        <v>1.1949096330424664E-3</v>
      </c>
      <c r="F6">
        <f t="shared" si="3"/>
        <v>9.1076607853403154E-3</v>
      </c>
      <c r="G6">
        <f t="shared" si="4"/>
        <v>32.787578827225133</v>
      </c>
      <c r="H6">
        <f t="shared" si="5"/>
        <v>4.3016746789528791E-2</v>
      </c>
      <c r="I6" s="2">
        <f t="shared" si="0"/>
        <v>422.95638322013843</v>
      </c>
      <c r="J6" s="2">
        <f t="shared" si="6"/>
        <v>2583.3246328920645</v>
      </c>
      <c r="Y6" s="3">
        <f t="shared" si="7"/>
        <v>0</v>
      </c>
      <c r="Z6" s="3">
        <f t="shared" si="8"/>
        <v>0</v>
      </c>
      <c r="AA6" s="3">
        <f t="shared" si="9"/>
        <v>0</v>
      </c>
      <c r="AB6" s="3">
        <f t="shared" si="9"/>
        <v>0</v>
      </c>
      <c r="AC6" s="3">
        <f t="shared" si="10"/>
        <v>0</v>
      </c>
      <c r="AD6" s="3">
        <f t="shared" si="11"/>
        <v>0</v>
      </c>
      <c r="AE6" s="3">
        <f t="shared" si="12"/>
        <v>0</v>
      </c>
      <c r="AF6" s="3">
        <f t="shared" si="12"/>
        <v>0</v>
      </c>
      <c r="AG6">
        <f t="shared" si="13"/>
        <v>0</v>
      </c>
      <c r="AH6">
        <f t="shared" si="14"/>
        <v>0</v>
      </c>
      <c r="AI6">
        <f t="shared" si="15"/>
        <v>0</v>
      </c>
      <c r="AJ6">
        <v>100.315</v>
      </c>
      <c r="AK6">
        <v>127.797</v>
      </c>
      <c r="AL6" t="e">
        <f t="shared" si="16"/>
        <v>#DIV/0!</v>
      </c>
    </row>
    <row r="7" spans="1:38" x14ac:dyDescent="0.25">
      <c r="A7" s="1" t="s">
        <v>21</v>
      </c>
      <c r="B7" s="1">
        <v>250</v>
      </c>
      <c r="C7" s="1">
        <v>3000</v>
      </c>
      <c r="D7">
        <f t="shared" si="1"/>
        <v>3.7948586605584639E-4</v>
      </c>
      <c r="E7">
        <f t="shared" si="2"/>
        <v>1.4936370413030833E-3</v>
      </c>
      <c r="F7">
        <f t="shared" si="3"/>
        <v>1.3661491178010471E-2</v>
      </c>
      <c r="G7">
        <f t="shared" si="4"/>
        <v>49.181368240837692</v>
      </c>
      <c r="H7">
        <f t="shared" si="5"/>
        <v>5.3770933486910998E-2</v>
      </c>
      <c r="I7" s="2">
        <f t="shared" si="0"/>
        <v>634.43457483020757</v>
      </c>
      <c r="J7" s="2">
        <f t="shared" si="6"/>
        <v>3229.1557911150817</v>
      </c>
      <c r="Y7" s="3">
        <f t="shared" si="7"/>
        <v>0</v>
      </c>
      <c r="Z7" s="3">
        <f t="shared" si="8"/>
        <v>0</v>
      </c>
      <c r="AA7" s="3">
        <f t="shared" si="9"/>
        <v>0</v>
      </c>
      <c r="AB7" s="3">
        <f t="shared" si="9"/>
        <v>0</v>
      </c>
      <c r="AC7" s="3">
        <f t="shared" si="10"/>
        <v>0</v>
      </c>
      <c r="AD7" s="3">
        <f t="shared" si="11"/>
        <v>0</v>
      </c>
      <c r="AE7" s="3">
        <f t="shared" si="12"/>
        <v>0</v>
      </c>
      <c r="AF7" s="3">
        <f t="shared" si="12"/>
        <v>0</v>
      </c>
      <c r="AG7">
        <f t="shared" si="13"/>
        <v>0</v>
      </c>
      <c r="AH7">
        <f t="shared" si="14"/>
        <v>0</v>
      </c>
      <c r="AI7">
        <f t="shared" si="15"/>
        <v>0</v>
      </c>
      <c r="AJ7">
        <v>111.47199999999999</v>
      </c>
      <c r="AK7">
        <v>143.29499999999999</v>
      </c>
      <c r="AL7" t="e">
        <f t="shared" si="16"/>
        <v>#DIV/0!</v>
      </c>
    </row>
    <row r="8" spans="1:38" x14ac:dyDescent="0.25">
      <c r="A8" s="1" t="s">
        <v>22</v>
      </c>
      <c r="B8" s="1">
        <v>300</v>
      </c>
      <c r="C8" s="1">
        <v>4000</v>
      </c>
      <c r="D8">
        <f t="shared" si="1"/>
        <v>5.0598115474112862E-4</v>
      </c>
      <c r="E8">
        <f t="shared" si="2"/>
        <v>1.7923644495636999E-3</v>
      </c>
      <c r="F8">
        <f t="shared" si="3"/>
        <v>1.8215321570680631E-2</v>
      </c>
      <c r="G8">
        <f t="shared" si="4"/>
        <v>65.575157654450265</v>
      </c>
      <c r="H8">
        <f t="shared" si="5"/>
        <v>6.4525120184293197E-2</v>
      </c>
      <c r="I8" s="2">
        <f t="shared" si="0"/>
        <v>845.91276644027687</v>
      </c>
      <c r="J8" s="2">
        <f t="shared" si="6"/>
        <v>3874.9869493380975</v>
      </c>
      <c r="Y8" s="3">
        <f t="shared" si="7"/>
        <v>0</v>
      </c>
      <c r="Z8" s="3">
        <f t="shared" si="8"/>
        <v>0</v>
      </c>
      <c r="AA8" s="3">
        <f t="shared" si="9"/>
        <v>0</v>
      </c>
      <c r="AB8" s="3">
        <f t="shared" si="9"/>
        <v>0</v>
      </c>
      <c r="AC8" s="3">
        <f t="shared" si="10"/>
        <v>0</v>
      </c>
      <c r="AD8" s="3">
        <f t="shared" si="11"/>
        <v>0</v>
      </c>
      <c r="AE8" s="3">
        <f t="shared" si="12"/>
        <v>0</v>
      </c>
      <c r="AF8" s="3">
        <f t="shared" si="12"/>
        <v>0</v>
      </c>
      <c r="AG8">
        <f t="shared" si="13"/>
        <v>0</v>
      </c>
      <c r="AH8">
        <f t="shared" si="14"/>
        <v>0</v>
      </c>
      <c r="AI8">
        <f t="shared" si="15"/>
        <v>0</v>
      </c>
      <c r="AJ8">
        <v>124.63800000000001</v>
      </c>
      <c r="AK8">
        <v>158.57</v>
      </c>
      <c r="AL8" t="e">
        <f t="shared" si="16"/>
        <v>#DIV/0!</v>
      </c>
    </row>
    <row r="9" spans="1:38" x14ac:dyDescent="0.25">
      <c r="A9" s="1" t="s">
        <v>23</v>
      </c>
      <c r="B9" s="1">
        <v>350</v>
      </c>
      <c r="C9" s="1">
        <v>4500</v>
      </c>
      <c r="D9">
        <f t="shared" si="1"/>
        <v>5.6922879908376971E-4</v>
      </c>
      <c r="E9">
        <f t="shared" si="2"/>
        <v>2.0910918578243166E-3</v>
      </c>
      <c r="F9">
        <f t="shared" si="3"/>
        <v>2.0492236767015708E-2</v>
      </c>
      <c r="G9">
        <f t="shared" si="4"/>
        <v>73.772052361256556</v>
      </c>
      <c r="H9">
        <f t="shared" si="5"/>
        <v>7.527930688167539E-2</v>
      </c>
      <c r="I9" s="2">
        <f t="shared" si="0"/>
        <v>951.65186224531146</v>
      </c>
      <c r="J9" s="2">
        <f t="shared" si="6"/>
        <v>4520.8181075611128</v>
      </c>
      <c r="Y9" s="3">
        <f t="shared" si="7"/>
        <v>0</v>
      </c>
      <c r="Z9" s="3">
        <f t="shared" si="8"/>
        <v>0</v>
      </c>
      <c r="AA9" s="3">
        <f t="shared" si="9"/>
        <v>0</v>
      </c>
      <c r="AB9" s="3">
        <f t="shared" si="9"/>
        <v>0</v>
      </c>
      <c r="AC9" s="3">
        <f t="shared" si="10"/>
        <v>0</v>
      </c>
      <c r="AD9" s="3">
        <f t="shared" si="11"/>
        <v>0</v>
      </c>
      <c r="AE9" s="3">
        <f t="shared" si="12"/>
        <v>0</v>
      </c>
      <c r="AF9" s="3">
        <f t="shared" si="12"/>
        <v>0</v>
      </c>
      <c r="AG9">
        <f t="shared" si="13"/>
        <v>0</v>
      </c>
      <c r="AH9">
        <f t="shared" si="14"/>
        <v>0</v>
      </c>
      <c r="AI9">
        <f t="shared" si="15"/>
        <v>0</v>
      </c>
      <c r="AJ9">
        <v>146.07499999999999</v>
      </c>
      <c r="AK9">
        <v>176.12200000000001</v>
      </c>
      <c r="AL9" t="e">
        <f t="shared" si="16"/>
        <v>#DIV/0!</v>
      </c>
    </row>
    <row r="10" spans="1:38" x14ac:dyDescent="0.25">
      <c r="A10" s="1" t="s">
        <v>24</v>
      </c>
      <c r="B10" s="1">
        <v>400</v>
      </c>
      <c r="C10" s="1">
        <v>5000</v>
      </c>
      <c r="D10">
        <f t="shared" si="1"/>
        <v>6.3247644342641059E-4</v>
      </c>
      <c r="E10">
        <f t="shared" si="2"/>
        <v>2.3898192660849328E-3</v>
      </c>
      <c r="F10">
        <f t="shared" si="3"/>
        <v>2.2769151963350782E-2</v>
      </c>
      <c r="G10">
        <f t="shared" si="4"/>
        <v>81.968947068062818</v>
      </c>
      <c r="H10">
        <f t="shared" si="5"/>
        <v>8.6033493579057582E-2</v>
      </c>
      <c r="I10" s="2">
        <f t="shared" si="0"/>
        <v>1057.3909580503459</v>
      </c>
      <c r="J10" s="2">
        <f t="shared" si="6"/>
        <v>5166.6492657841291</v>
      </c>
      <c r="Y10" s="3">
        <f t="shared" si="7"/>
        <v>0</v>
      </c>
      <c r="Z10" s="3">
        <f t="shared" si="8"/>
        <v>0</v>
      </c>
      <c r="AA10" s="3">
        <f t="shared" si="9"/>
        <v>0</v>
      </c>
      <c r="AB10" s="3">
        <f t="shared" si="9"/>
        <v>0</v>
      </c>
      <c r="AC10" s="3">
        <f t="shared" si="10"/>
        <v>0</v>
      </c>
      <c r="AD10" s="3">
        <f t="shared" si="11"/>
        <v>0</v>
      </c>
      <c r="AE10" s="3">
        <f t="shared" si="12"/>
        <v>0</v>
      </c>
      <c r="AF10" s="3">
        <f t="shared" si="12"/>
        <v>0</v>
      </c>
      <c r="AG10">
        <f t="shared" si="13"/>
        <v>0</v>
      </c>
      <c r="AH10">
        <f t="shared" si="14"/>
        <v>0</v>
      </c>
      <c r="AI10">
        <f t="shared" si="15"/>
        <v>0</v>
      </c>
      <c r="AJ10">
        <v>112.818</v>
      </c>
      <c r="AK10">
        <v>140.70500000000001</v>
      </c>
      <c r="AL10" t="e">
        <f t="shared" si="16"/>
        <v>#DIV/0!</v>
      </c>
    </row>
    <row r="11" spans="1:38" x14ac:dyDescent="0.25">
      <c r="A11" s="1" t="s">
        <v>25</v>
      </c>
      <c r="B11" s="1">
        <v>450</v>
      </c>
      <c r="C11" s="1">
        <v>5500</v>
      </c>
      <c r="D11">
        <f t="shared" si="1"/>
        <v>6.9572408776905168E-4</v>
      </c>
      <c r="E11">
        <f t="shared" si="2"/>
        <v>2.6885466743455503E-3</v>
      </c>
      <c r="F11">
        <f t="shared" si="3"/>
        <v>2.504606715968586E-2</v>
      </c>
      <c r="G11">
        <f t="shared" si="4"/>
        <v>90.165841774869094</v>
      </c>
      <c r="H11">
        <f t="shared" si="5"/>
        <v>9.6787680276439816E-2</v>
      </c>
      <c r="I11" s="2">
        <f t="shared" si="0"/>
        <v>1163.1300538553805</v>
      </c>
      <c r="J11" s="2">
        <f t="shared" si="6"/>
        <v>5812.4804240071471</v>
      </c>
      <c r="Y11" s="3">
        <f t="shared" si="7"/>
        <v>0</v>
      </c>
      <c r="Z11" s="3">
        <f t="shared" si="8"/>
        <v>0</v>
      </c>
      <c r="AA11" s="3">
        <f t="shared" si="9"/>
        <v>0</v>
      </c>
      <c r="AB11" s="3">
        <f t="shared" si="9"/>
        <v>0</v>
      </c>
      <c r="AC11" s="3">
        <f t="shared" si="10"/>
        <v>0</v>
      </c>
      <c r="AD11" s="3">
        <f t="shared" si="11"/>
        <v>0</v>
      </c>
      <c r="AE11" s="3">
        <f t="shared" si="12"/>
        <v>0</v>
      </c>
      <c r="AF11" s="3">
        <f t="shared" si="12"/>
        <v>0</v>
      </c>
      <c r="AG11">
        <f t="shared" si="13"/>
        <v>0</v>
      </c>
      <c r="AH11">
        <f t="shared" si="14"/>
        <v>0</v>
      </c>
      <c r="AI11">
        <f t="shared" si="15"/>
        <v>0</v>
      </c>
      <c r="AJ11">
        <v>125.595</v>
      </c>
      <c r="AK11">
        <v>150.494</v>
      </c>
      <c r="AL11" t="e">
        <f t="shared" si="16"/>
        <v>#DIV/0!</v>
      </c>
    </row>
    <row r="12" spans="1:38" x14ac:dyDescent="0.25">
      <c r="A12" s="1" t="s">
        <v>26</v>
      </c>
      <c r="B12" s="1">
        <v>500</v>
      </c>
      <c r="C12" s="1">
        <v>6000</v>
      </c>
      <c r="D12">
        <f t="shared" si="1"/>
        <v>7.5897173211169277E-4</v>
      </c>
      <c r="E12">
        <f t="shared" si="2"/>
        <v>2.9872740826061665E-3</v>
      </c>
      <c r="F12">
        <f t="shared" si="3"/>
        <v>2.7322982356020941E-2</v>
      </c>
      <c r="G12">
        <f t="shared" si="4"/>
        <v>98.362736481675384</v>
      </c>
      <c r="H12">
        <f t="shared" si="5"/>
        <v>0.107541866973822</v>
      </c>
      <c r="I12" s="2">
        <f t="shared" si="0"/>
        <v>1268.8691496604151</v>
      </c>
      <c r="J12" s="2">
        <f t="shared" si="6"/>
        <v>6458.3115822301634</v>
      </c>
      <c r="K12">
        <v>1269</v>
      </c>
      <c r="L12">
        <v>6419</v>
      </c>
      <c r="M12">
        <v>33.489148622047239</v>
      </c>
      <c r="N12">
        <v>33.457195776664271</v>
      </c>
      <c r="O12">
        <v>38.574224230493812</v>
      </c>
      <c r="P12">
        <v>38.434690855404625</v>
      </c>
      <c r="Q12">
        <v>129.5275742662848</v>
      </c>
      <c r="R12">
        <v>129.80616991768028</v>
      </c>
      <c r="S12">
        <v>33.397970651395909</v>
      </c>
      <c r="T12">
        <v>33.322128221188073</v>
      </c>
      <c r="U12">
        <v>118789.42618110236</v>
      </c>
      <c r="V12">
        <v>12481.440452755905</v>
      </c>
      <c r="W12">
        <v>2035.2253937007872</v>
      </c>
      <c r="X12">
        <v>-1437.4977854330709</v>
      </c>
      <c r="Y12" s="3">
        <f t="shared" si="7"/>
        <v>33.473172199355758</v>
      </c>
      <c r="Z12" s="3">
        <f t="shared" si="8"/>
        <v>38.504457542949218</v>
      </c>
      <c r="AA12" s="3">
        <f t="shared" si="9"/>
        <v>2035.2253937007872</v>
      </c>
      <c r="AB12" s="3">
        <f t="shared" si="9"/>
        <v>-1437.4977854330709</v>
      </c>
      <c r="AC12" s="3">
        <f t="shared" si="10"/>
        <v>129.66687209198255</v>
      </c>
      <c r="AD12" s="3">
        <f t="shared" si="11"/>
        <v>33.360049436291987</v>
      </c>
      <c r="AE12" s="3">
        <f t="shared" si="12"/>
        <v>118789.42618110236</v>
      </c>
      <c r="AF12" s="3">
        <f t="shared" si="12"/>
        <v>12481.440452755905</v>
      </c>
      <c r="AG12">
        <f t="shared" si="13"/>
        <v>3472.7231791338581</v>
      </c>
      <c r="AH12">
        <f t="shared" si="14"/>
        <v>2660.6092452446433</v>
      </c>
      <c r="AI12">
        <f t="shared" si="15"/>
        <v>2247.5184643821017</v>
      </c>
      <c r="AJ12">
        <v>140.339</v>
      </c>
      <c r="AK12">
        <v>161.36600000000001</v>
      </c>
      <c r="AL12">
        <f t="shared" si="16"/>
        <v>0.84473827503949839</v>
      </c>
    </row>
    <row r="13" spans="1:38" x14ac:dyDescent="0.25">
      <c r="A13" s="1" t="s">
        <v>27</v>
      </c>
      <c r="B13" s="1">
        <v>550</v>
      </c>
      <c r="C13" s="1">
        <v>6500</v>
      </c>
      <c r="D13">
        <f t="shared" si="1"/>
        <v>8.2221937645433386E-4</v>
      </c>
      <c r="E13">
        <f t="shared" si="2"/>
        <v>3.2860014908667828E-3</v>
      </c>
      <c r="F13">
        <f t="shared" si="3"/>
        <v>2.9599897552356019E-2</v>
      </c>
      <c r="G13">
        <f t="shared" si="4"/>
        <v>106.55963118848166</v>
      </c>
      <c r="H13">
        <f t="shared" si="5"/>
        <v>0.11829605367120417</v>
      </c>
      <c r="I13" s="2">
        <f t="shared" si="0"/>
        <v>1374.6082454654497</v>
      </c>
      <c r="J13" s="2">
        <f t="shared" si="6"/>
        <v>7104.1427404531769</v>
      </c>
      <c r="K13" s="6">
        <v>1375</v>
      </c>
      <c r="L13" s="6">
        <v>7137</v>
      </c>
      <c r="M13" s="6">
        <v>33.353670120898187</v>
      </c>
      <c r="N13" s="6">
        <v>33.316108101742913</v>
      </c>
      <c r="O13" s="6">
        <v>37.929081488459708</v>
      </c>
      <c r="P13" s="6">
        <v>38.041276495525167</v>
      </c>
      <c r="Q13" s="6">
        <v>124.7241961061375</v>
      </c>
      <c r="R13" s="6">
        <v>124.97239872821437</v>
      </c>
      <c r="S13" s="6">
        <v>33.035404694614826</v>
      </c>
      <c r="T13" s="6">
        <v>32.953376903752897</v>
      </c>
      <c r="U13" s="6">
        <v>132342.03238341969</v>
      </c>
      <c r="V13" s="6">
        <v>14228.487046632124</v>
      </c>
      <c r="W13" s="6">
        <v>4253.9471070811742</v>
      </c>
      <c r="X13" s="6">
        <v>84.120682210707855</v>
      </c>
      <c r="Y13" s="3">
        <f t="shared" si="7"/>
        <v>33.33488911132055</v>
      </c>
      <c r="Z13" s="3">
        <f t="shared" si="8"/>
        <v>37.985178991992441</v>
      </c>
      <c r="AA13" s="3">
        <f t="shared" si="9"/>
        <v>4253.9471070811742</v>
      </c>
      <c r="AB13" s="3">
        <f t="shared" si="9"/>
        <v>84.120682210707855</v>
      </c>
      <c r="AC13" s="3">
        <f t="shared" si="10"/>
        <v>124.84829741717593</v>
      </c>
      <c r="AD13" s="3">
        <f t="shared" si="11"/>
        <v>32.994390799183861</v>
      </c>
      <c r="AE13" s="3">
        <f t="shared" si="12"/>
        <v>132342.03238341969</v>
      </c>
      <c r="AF13" s="3">
        <f t="shared" si="12"/>
        <v>14228.487046632124</v>
      </c>
      <c r="AG13">
        <f t="shared" si="13"/>
        <v>4169.8264248704663</v>
      </c>
      <c r="AH13">
        <f t="shared" si="14"/>
        <v>2749.55713705064</v>
      </c>
      <c r="AI13">
        <f t="shared" si="15"/>
        <v>2806.4817641835011</v>
      </c>
      <c r="AJ13">
        <v>139.76</v>
      </c>
      <c r="AK13">
        <v>163.375</v>
      </c>
      <c r="AL13">
        <f t="shared" si="16"/>
        <v>1.0207031984772363</v>
      </c>
    </row>
    <row r="14" spans="1:38" x14ac:dyDescent="0.25">
      <c r="A14" s="1" t="s">
        <v>28</v>
      </c>
      <c r="B14" s="1">
        <v>575</v>
      </c>
      <c r="C14" s="1">
        <v>7000</v>
      </c>
      <c r="D14">
        <f t="shared" si="1"/>
        <v>8.8546702079697495E-4</v>
      </c>
      <c r="E14">
        <f t="shared" si="2"/>
        <v>3.4353651949970915E-3</v>
      </c>
      <c r="F14">
        <f t="shared" si="3"/>
        <v>3.18768127486911E-2</v>
      </c>
      <c r="G14">
        <f t="shared" si="4"/>
        <v>114.75652589528796</v>
      </c>
      <c r="H14">
        <f t="shared" si="5"/>
        <v>0.12367314701989529</v>
      </c>
      <c r="I14" s="2">
        <f t="shared" si="0"/>
        <v>1480.3473412704845</v>
      </c>
      <c r="J14" s="2">
        <f t="shared" si="6"/>
        <v>7427.0583195646868</v>
      </c>
      <c r="Y14" s="3">
        <f t="shared" si="7"/>
        <v>0</v>
      </c>
      <c r="Z14" s="3">
        <f t="shared" si="8"/>
        <v>0</v>
      </c>
      <c r="AA14" s="3">
        <f t="shared" si="9"/>
        <v>0</v>
      </c>
      <c r="AB14" s="3">
        <f t="shared" si="9"/>
        <v>0</v>
      </c>
      <c r="AC14" s="3">
        <f t="shared" si="10"/>
        <v>0</v>
      </c>
      <c r="AD14" s="3">
        <f t="shared" si="11"/>
        <v>0</v>
      </c>
      <c r="AE14" s="3">
        <f t="shared" si="12"/>
        <v>0</v>
      </c>
      <c r="AF14" s="3">
        <f t="shared" si="12"/>
        <v>0</v>
      </c>
      <c r="AG14">
        <f t="shared" si="13"/>
        <v>0</v>
      </c>
      <c r="AH14">
        <f>1011*I13/I14*F14*(AC14-AD14)</f>
        <v>0</v>
      </c>
      <c r="AI14">
        <f t="shared" si="15"/>
        <v>0</v>
      </c>
      <c r="AL14" t="e">
        <f t="shared" si="16"/>
        <v>#DIV/0!</v>
      </c>
    </row>
    <row r="15" spans="1:38" x14ac:dyDescent="0.25">
      <c r="A15" s="1" t="s">
        <v>29</v>
      </c>
      <c r="B15" s="1">
        <v>600</v>
      </c>
      <c r="C15" s="1">
        <v>7500</v>
      </c>
      <c r="D15">
        <f t="shared" si="1"/>
        <v>9.4871466513961604E-4</v>
      </c>
      <c r="E15">
        <f t="shared" si="2"/>
        <v>3.5847288991273998E-3</v>
      </c>
      <c r="F15">
        <f t="shared" si="3"/>
        <v>3.4153727945026177E-2</v>
      </c>
      <c r="G15">
        <f t="shared" si="4"/>
        <v>122.95342060209424</v>
      </c>
      <c r="H15">
        <f t="shared" si="5"/>
        <v>0.12905024036858639</v>
      </c>
      <c r="I15" s="2">
        <f t="shared" si="0"/>
        <v>1586.0864370755189</v>
      </c>
      <c r="J15" s="2">
        <f t="shared" si="6"/>
        <v>7749.9738986761949</v>
      </c>
      <c r="K15">
        <v>1586</v>
      </c>
      <c r="L15">
        <v>7760</v>
      </c>
      <c r="M15">
        <v>32.372722540343666</v>
      </c>
      <c r="N15">
        <v>32.346683545501918</v>
      </c>
      <c r="O15">
        <v>36.671040177937599</v>
      </c>
      <c r="P15">
        <v>36.766954237849596</v>
      </c>
      <c r="Q15">
        <v>114.40506223084581</v>
      </c>
      <c r="R15">
        <v>114.63418342719356</v>
      </c>
      <c r="S15">
        <v>32.01452463205699</v>
      </c>
      <c r="T15">
        <v>31.98451469405115</v>
      </c>
      <c r="U15">
        <v>157143.05934409163</v>
      </c>
      <c r="V15">
        <v>17605.047371160854</v>
      </c>
      <c r="W15">
        <v>4765.965122332118</v>
      </c>
      <c r="X15">
        <v>-250.70874544508024</v>
      </c>
      <c r="Y15" s="3">
        <f t="shared" si="7"/>
        <v>32.359703042922789</v>
      </c>
      <c r="Z15" s="3">
        <f t="shared" si="8"/>
        <v>36.718997207893594</v>
      </c>
      <c r="AA15" s="3">
        <f t="shared" si="9"/>
        <v>4765.965122332118</v>
      </c>
      <c r="AB15" s="3">
        <f t="shared" si="9"/>
        <v>-250.70874544508024</v>
      </c>
      <c r="AC15" s="3">
        <f t="shared" si="10"/>
        <v>114.51962282901968</v>
      </c>
      <c r="AD15" s="3">
        <f t="shared" si="11"/>
        <v>31.99951966305407</v>
      </c>
      <c r="AE15" s="3">
        <f t="shared" si="12"/>
        <v>157143.05934409163</v>
      </c>
      <c r="AF15" s="3">
        <f t="shared" si="12"/>
        <v>17605.047371160854</v>
      </c>
      <c r="AG15">
        <f t="shared" si="13"/>
        <v>5016.6738677771982</v>
      </c>
      <c r="AH15">
        <f t="shared" si="14"/>
        <v>2849.2159318107156</v>
      </c>
      <c r="AI15">
        <f t="shared" si="15"/>
        <v>2354.2080210479994</v>
      </c>
      <c r="AJ15">
        <v>135.685</v>
      </c>
      <c r="AK15">
        <v>153.904</v>
      </c>
      <c r="AL15">
        <f t="shared" si="16"/>
        <v>0.82626521730554414</v>
      </c>
    </row>
    <row r="16" spans="1:38" x14ac:dyDescent="0.25">
      <c r="A16" s="1" t="s">
        <v>30</v>
      </c>
      <c r="B16" s="1">
        <v>625</v>
      </c>
      <c r="C16" s="1">
        <v>8000</v>
      </c>
      <c r="D16">
        <f t="shared" si="1"/>
        <v>1.0119623094822572E-3</v>
      </c>
      <c r="E16">
        <f t="shared" si="2"/>
        <v>3.7340926032577082E-3</v>
      </c>
      <c r="F16">
        <f t="shared" si="3"/>
        <v>3.6430643141361262E-2</v>
      </c>
      <c r="G16">
        <f t="shared" si="4"/>
        <v>131.15031530890053</v>
      </c>
      <c r="H16">
        <f t="shared" si="5"/>
        <v>0.1344273337172775</v>
      </c>
      <c r="I16" s="2">
        <f t="shared" si="0"/>
        <v>1691.8255328805537</v>
      </c>
      <c r="J16" s="2">
        <f t="shared" si="6"/>
        <v>8072.8894777877022</v>
      </c>
      <c r="K16">
        <v>1692</v>
      </c>
      <c r="L16">
        <v>8068</v>
      </c>
      <c r="M16">
        <v>31.78478218306417</v>
      </c>
      <c r="N16">
        <v>31.744274017710225</v>
      </c>
      <c r="O16">
        <v>35.865151070173127</v>
      </c>
      <c r="P16">
        <v>35.892228006941721</v>
      </c>
      <c r="Q16">
        <v>108.6459133182039</v>
      </c>
      <c r="R16">
        <v>108.89910292350861</v>
      </c>
      <c r="S16">
        <v>31.304354558803819</v>
      </c>
      <c r="T16">
        <v>31.314559248876346</v>
      </c>
      <c r="U16">
        <v>170904.57709251103</v>
      </c>
      <c r="V16">
        <v>19561.726872246694</v>
      </c>
      <c r="W16">
        <v>5279.8345570239835</v>
      </c>
      <c r="X16">
        <v>-382.86196769456637</v>
      </c>
      <c r="Y16" s="3">
        <f t="shared" si="7"/>
        <v>31.764528100387196</v>
      </c>
      <c r="Z16" s="3">
        <f t="shared" si="8"/>
        <v>35.878689538557424</v>
      </c>
      <c r="AA16" s="3">
        <f t="shared" si="9"/>
        <v>5279.8345570239835</v>
      </c>
      <c r="AB16" s="3">
        <f t="shared" si="9"/>
        <v>-382.86196769456637</v>
      </c>
      <c r="AC16" s="3">
        <f t="shared" si="10"/>
        <v>108.77250812085626</v>
      </c>
      <c r="AD16" s="3">
        <f t="shared" si="11"/>
        <v>31.309456903840083</v>
      </c>
      <c r="AE16" s="3">
        <f t="shared" si="12"/>
        <v>170904.57709251103</v>
      </c>
      <c r="AF16" s="3">
        <f t="shared" si="12"/>
        <v>19561.726872246694</v>
      </c>
      <c r="AG16">
        <f t="shared" si="13"/>
        <v>5662.6965247185499</v>
      </c>
      <c r="AH16">
        <f t="shared" si="14"/>
        <v>2853.3653109871279</v>
      </c>
      <c r="AI16">
        <f t="shared" si="15"/>
        <v>2309.5406350796006</v>
      </c>
      <c r="AJ16">
        <v>133.19800000000001</v>
      </c>
      <c r="AK16">
        <v>150.38900000000001</v>
      </c>
      <c r="AL16">
        <f t="shared" si="16"/>
        <v>0.80940937572434779</v>
      </c>
    </row>
    <row r="17" spans="1:38" x14ac:dyDescent="0.25">
      <c r="A17" s="1" t="s">
        <v>31</v>
      </c>
      <c r="B17" s="1">
        <v>650</v>
      </c>
      <c r="C17" s="1">
        <v>8500</v>
      </c>
      <c r="D17">
        <f t="shared" si="1"/>
        <v>1.0752099538248983E-3</v>
      </c>
      <c r="E17">
        <f t="shared" si="2"/>
        <v>3.8834563073880161E-3</v>
      </c>
      <c r="F17">
        <f t="shared" si="3"/>
        <v>3.8707558337696339E-2</v>
      </c>
      <c r="G17">
        <f t="shared" si="4"/>
        <v>139.34721001570682</v>
      </c>
      <c r="H17">
        <f t="shared" si="5"/>
        <v>0.13980442706596857</v>
      </c>
      <c r="I17" s="2">
        <f t="shared" si="0"/>
        <v>1797.5646286855886</v>
      </c>
      <c r="J17" s="2">
        <f t="shared" si="6"/>
        <v>8395.8050568992112</v>
      </c>
      <c r="K17">
        <v>1798</v>
      </c>
      <c r="L17">
        <v>8430</v>
      </c>
      <c r="M17">
        <v>33.702994886778917</v>
      </c>
      <c r="N17">
        <v>33.648194767248668</v>
      </c>
      <c r="O17">
        <v>37.371119264227637</v>
      </c>
      <c r="P17">
        <v>37.373516169732355</v>
      </c>
      <c r="Q17">
        <v>101.96620658742393</v>
      </c>
      <c r="R17">
        <v>102.20262932465639</v>
      </c>
      <c r="S17">
        <v>32.931356995815435</v>
      </c>
      <c r="T17">
        <v>32.940963543395348</v>
      </c>
      <c r="U17">
        <v>186526.87582176772</v>
      </c>
      <c r="V17">
        <v>21987.18334550767</v>
      </c>
      <c r="W17">
        <v>5750.4390065741409</v>
      </c>
      <c r="X17">
        <v>-360.40796201607009</v>
      </c>
      <c r="Y17" s="3">
        <f t="shared" si="7"/>
        <v>33.675594827013796</v>
      </c>
      <c r="Z17" s="3">
        <f t="shared" si="8"/>
        <v>37.372317716979992</v>
      </c>
      <c r="AA17" s="3">
        <f t="shared" si="9"/>
        <v>5750.4390065741409</v>
      </c>
      <c r="AB17" s="3">
        <f t="shared" si="9"/>
        <v>-360.40796201607009</v>
      </c>
      <c r="AC17" s="3">
        <f t="shared" si="10"/>
        <v>102.08441795604016</v>
      </c>
      <c r="AD17" s="3">
        <f t="shared" si="11"/>
        <v>32.936160269605395</v>
      </c>
      <c r="AE17" s="3">
        <f t="shared" si="12"/>
        <v>186526.87582176772</v>
      </c>
      <c r="AF17" s="3">
        <f t="shared" si="12"/>
        <v>21987.18334550767</v>
      </c>
      <c r="AG17">
        <f t="shared" si="13"/>
        <v>6110.846968590211</v>
      </c>
      <c r="AH17">
        <f t="shared" si="14"/>
        <v>2706.6577762744296</v>
      </c>
      <c r="AI17">
        <f t="shared" si="15"/>
        <v>2168.635315119001</v>
      </c>
      <c r="AJ17">
        <v>141.184</v>
      </c>
      <c r="AK17">
        <v>156.63300000000001</v>
      </c>
      <c r="AL17">
        <f t="shared" si="16"/>
        <v>0.80122257572732825</v>
      </c>
    </row>
    <row r="18" spans="1:38" x14ac:dyDescent="0.25">
      <c r="A18" s="1" t="s">
        <v>32</v>
      </c>
      <c r="B18" s="1">
        <v>675</v>
      </c>
      <c r="C18" s="1">
        <v>9000</v>
      </c>
      <c r="D18">
        <f t="shared" si="1"/>
        <v>1.1384575981675394E-3</v>
      </c>
      <c r="E18">
        <f t="shared" si="2"/>
        <v>4.0328200115183239E-3</v>
      </c>
      <c r="F18">
        <f t="shared" si="3"/>
        <v>4.0984473534031417E-2</v>
      </c>
      <c r="G18">
        <f t="shared" si="4"/>
        <v>147.54410472251311</v>
      </c>
      <c r="H18">
        <f t="shared" si="5"/>
        <v>0.14518152041465965</v>
      </c>
      <c r="I18" s="2">
        <f t="shared" si="0"/>
        <v>1903.3037244906229</v>
      </c>
      <c r="J18" s="2">
        <f t="shared" si="6"/>
        <v>8718.7206360107157</v>
      </c>
      <c r="K18">
        <v>1903</v>
      </c>
      <c r="L18">
        <v>8737</v>
      </c>
      <c r="M18">
        <v>34.773739237392412</v>
      </c>
      <c r="N18">
        <v>34.743349658950869</v>
      </c>
      <c r="O18">
        <v>38.238384434753236</v>
      </c>
      <c r="P18">
        <v>38.237273398188343</v>
      </c>
      <c r="Q18">
        <v>97.063669909425442</v>
      </c>
      <c r="R18">
        <v>97.352766409482541</v>
      </c>
      <c r="S18">
        <v>33.868850497595815</v>
      </c>
      <c r="T18">
        <v>33.908460248237809</v>
      </c>
      <c r="U18">
        <v>202302.58302583024</v>
      </c>
      <c r="V18">
        <v>24486.608856088562</v>
      </c>
      <c r="W18">
        <v>7570.6666666666661</v>
      </c>
      <c r="X18">
        <v>953.65067650676519</v>
      </c>
      <c r="Y18" s="3">
        <f t="shared" si="7"/>
        <v>34.758544448171641</v>
      </c>
      <c r="Z18" s="3">
        <f t="shared" si="8"/>
        <v>38.237828916470789</v>
      </c>
      <c r="AA18" s="3">
        <f t="shared" si="9"/>
        <v>7570.6666666666661</v>
      </c>
      <c r="AB18" s="3">
        <f t="shared" si="9"/>
        <v>953.65067650676519</v>
      </c>
      <c r="AC18" s="3">
        <f t="shared" si="10"/>
        <v>97.208218159453992</v>
      </c>
      <c r="AD18" s="3">
        <f t="shared" si="11"/>
        <v>33.888655372916816</v>
      </c>
      <c r="AE18" s="3">
        <f t="shared" si="12"/>
        <v>202302.58302583024</v>
      </c>
      <c r="AF18" s="3">
        <f t="shared" si="12"/>
        <v>24486.608856088562</v>
      </c>
      <c r="AG18">
        <f t="shared" si="13"/>
        <v>6617.0159901599009</v>
      </c>
      <c r="AH18">
        <f t="shared" si="14"/>
        <v>2623.2465756107226</v>
      </c>
      <c r="AI18">
        <f t="shared" si="15"/>
        <v>2115.801485874701</v>
      </c>
      <c r="AJ18">
        <v>145.708</v>
      </c>
      <c r="AK18">
        <v>160.251</v>
      </c>
      <c r="AL18">
        <f t="shared" si="16"/>
        <v>0.8065583714264899</v>
      </c>
    </row>
    <row r="19" spans="1:38" x14ac:dyDescent="0.25">
      <c r="A19" s="1"/>
      <c r="B19" s="1"/>
      <c r="I19" s="2"/>
      <c r="J19" s="4"/>
      <c r="M19">
        <v>-0.56000000000000005</v>
      </c>
      <c r="N19">
        <v>-0.59272727272727233</v>
      </c>
      <c r="O19">
        <v>-0.55545454545454509</v>
      </c>
      <c r="P19">
        <v>-0.61272727272727356</v>
      </c>
      <c r="Q19">
        <v>-0.70636363636363697</v>
      </c>
      <c r="R19">
        <v>-0.77090909090909132</v>
      </c>
      <c r="S19">
        <v>-0.72454545454545471</v>
      </c>
      <c r="T19">
        <v>-0.71181818181818202</v>
      </c>
      <c r="U19">
        <v>558</v>
      </c>
      <c r="V19">
        <v>334</v>
      </c>
      <c r="W19">
        <v>4391</v>
      </c>
      <c r="X19">
        <v>4519</v>
      </c>
      <c r="Y19" s="3"/>
      <c r="Z19" s="3"/>
      <c r="AA19" s="3"/>
      <c r="AB19" s="3"/>
      <c r="AC19" s="3"/>
      <c r="AD19" s="3"/>
      <c r="AE19" s="3"/>
      <c r="AF19" s="3"/>
    </row>
    <row r="20" spans="1:38" x14ac:dyDescent="0.25">
      <c r="A20" s="1"/>
      <c r="B20" s="1"/>
      <c r="J20" s="2"/>
      <c r="M20" s="5">
        <v>34.21373923739241</v>
      </c>
      <c r="N20" s="5">
        <v>34.150622386223596</v>
      </c>
      <c r="O20" s="5">
        <v>37.682929889298691</v>
      </c>
      <c r="P20" s="5">
        <v>37.624546125461066</v>
      </c>
      <c r="Q20" s="5">
        <v>96.357306273061809</v>
      </c>
      <c r="R20" s="5">
        <v>96.581857318573455</v>
      </c>
      <c r="S20" s="5">
        <v>33.144305043050359</v>
      </c>
      <c r="T20" s="5">
        <v>33.196642066419628</v>
      </c>
      <c r="U20" s="5">
        <v>202860.58302583024</v>
      </c>
      <c r="V20" s="5">
        <v>24820.608856088562</v>
      </c>
      <c r="W20" s="5">
        <v>11961.666666666666</v>
      </c>
      <c r="X20" s="5">
        <v>5472.6506765067652</v>
      </c>
      <c r="Y20" s="3"/>
      <c r="Z20" s="3"/>
      <c r="AA20" s="3"/>
      <c r="AB20" s="3"/>
      <c r="AC20" s="3"/>
      <c r="AD20" s="3"/>
      <c r="AE20" s="3"/>
      <c r="AF20" s="3"/>
    </row>
    <row r="21" spans="1:38" x14ac:dyDescent="0.25">
      <c r="D21" s="1"/>
      <c r="E21" s="1"/>
      <c r="F21" s="1"/>
      <c r="G21" s="1"/>
      <c r="H21" s="1"/>
      <c r="I21" s="1"/>
      <c r="J21" s="1"/>
      <c r="K21" s="1"/>
      <c r="M21">
        <f>M20-M19</f>
        <v>34.773739237392412</v>
      </c>
      <c r="N21">
        <f t="shared" ref="N21:X21" si="17">N20-N19</f>
        <v>34.743349658950869</v>
      </c>
      <c r="O21">
        <f t="shared" si="17"/>
        <v>38.238384434753236</v>
      </c>
      <c r="P21">
        <f t="shared" si="17"/>
        <v>38.237273398188343</v>
      </c>
      <c r="Q21">
        <f t="shared" si="17"/>
        <v>97.063669909425442</v>
      </c>
      <c r="R21">
        <f t="shared" si="17"/>
        <v>97.352766409482541</v>
      </c>
      <c r="S21">
        <f t="shared" si="17"/>
        <v>33.868850497595815</v>
      </c>
      <c r="T21">
        <f t="shared" si="17"/>
        <v>33.908460248237809</v>
      </c>
      <c r="U21">
        <f t="shared" si="17"/>
        <v>202302.58302583024</v>
      </c>
      <c r="V21">
        <f t="shared" si="17"/>
        <v>24486.608856088562</v>
      </c>
      <c r="W21">
        <f t="shared" si="17"/>
        <v>7570.6666666666661</v>
      </c>
      <c r="X21">
        <f t="shared" si="17"/>
        <v>953.65067650676519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7B45-4166-450A-8B19-39BC175B7D44}">
  <dimension ref="A1:X53"/>
  <sheetViews>
    <sheetView workbookViewId="0">
      <selection activeCell="H3" sqref="H3:H18"/>
    </sheetView>
  </sheetViews>
  <sheetFormatPr defaultColWidth="9" defaultRowHeight="13.8" x14ac:dyDescent="0.25"/>
  <cols>
    <col min="4" max="4" width="18.109375" customWidth="1"/>
    <col min="5" max="5" width="14.77734375" bestFit="1" customWidth="1"/>
    <col min="6" max="6" width="16.77734375" bestFit="1" customWidth="1"/>
    <col min="7" max="7" width="16.77734375" customWidth="1"/>
    <col min="8" max="8" width="14.77734375" bestFit="1" customWidth="1"/>
    <col min="9" max="9" width="13.44140625" bestFit="1" customWidth="1"/>
    <col min="10" max="10" width="10.44140625" customWidth="1"/>
    <col min="11" max="11" width="17.77734375" bestFit="1" customWidth="1"/>
    <col min="12" max="12" width="17.33203125" bestFit="1" customWidth="1"/>
    <col min="13" max="16" width="17.33203125" customWidth="1"/>
    <col min="17" max="18" width="16" bestFit="1" customWidth="1"/>
    <col min="19" max="20" width="16.109375" bestFit="1" customWidth="1"/>
    <col min="21" max="22" width="13.77734375" bestFit="1" customWidth="1"/>
    <col min="23" max="24" width="15" bestFit="1" customWidth="1"/>
  </cols>
  <sheetData>
    <row r="1" spans="1:22" x14ac:dyDescent="0.25">
      <c r="A1" s="1" t="s">
        <v>0</v>
      </c>
    </row>
    <row r="2" spans="1:22" x14ac:dyDescent="0.25">
      <c r="B2" s="1" t="s">
        <v>33</v>
      </c>
      <c r="C2" s="1" t="s">
        <v>34</v>
      </c>
      <c r="D2" s="1" t="s">
        <v>1</v>
      </c>
      <c r="E2" s="1" t="s">
        <v>2</v>
      </c>
      <c r="F2" s="1" t="s">
        <v>3</v>
      </c>
      <c r="G2" s="1" t="s">
        <v>36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35</v>
      </c>
    </row>
    <row r="3" spans="1:22" x14ac:dyDescent="0.25">
      <c r="A3" s="1" t="s">
        <v>17</v>
      </c>
      <c r="B3" s="1">
        <v>50</v>
      </c>
      <c r="C3" s="1">
        <v>500</v>
      </c>
      <c r="D3">
        <f>C3*0.000024085*15.68/2.57/1000</f>
        <v>7.3473307392996114E-5</v>
      </c>
      <c r="E3">
        <f>B3*0.001137568*15.68/2.57/1000</f>
        <v>3.4702463501945529E-4</v>
      </c>
      <c r="F3">
        <f>D3*36</f>
        <v>2.6450390661478603E-3</v>
      </c>
      <c r="G3">
        <f>F3*3600</f>
        <v>9.5221406381322975</v>
      </c>
      <c r="H3">
        <f>E3*36</f>
        <v>1.2492886860700391E-2</v>
      </c>
      <c r="I3" s="2">
        <f t="shared" ref="I3:I18" si="0">F3*1000/1.292*60</f>
        <v>122.8346315548542</v>
      </c>
      <c r="J3" s="2">
        <f>H3/999.102*1000000*60</f>
        <v>750.246933388206</v>
      </c>
      <c r="L3">
        <v>1012.8</v>
      </c>
      <c r="M3">
        <v>14.5</v>
      </c>
      <c r="N3">
        <v>25.2</v>
      </c>
      <c r="O3">
        <v>2.6</v>
      </c>
      <c r="P3">
        <v>2.85</v>
      </c>
      <c r="U3">
        <f t="shared" ref="U3:U5" si="1">P3-O3</f>
        <v>0.25</v>
      </c>
      <c r="V3">
        <f>(N3-M3)*L3</f>
        <v>10836.96</v>
      </c>
    </row>
    <row r="4" spans="1:22" x14ac:dyDescent="0.25">
      <c r="A4" s="1" t="s">
        <v>18</v>
      </c>
      <c r="B4" s="1">
        <v>100</v>
      </c>
      <c r="C4" s="1">
        <v>1000</v>
      </c>
      <c r="D4">
        <f t="shared" ref="D4:D18" si="2">C4*0.000024085*15.68/2.57/1000</f>
        <v>1.4694661478599223E-4</v>
      </c>
      <c r="E4">
        <f t="shared" ref="E4:E18" si="3">B4*0.001137568*15.68/2.57/1000</f>
        <v>6.9404927003891058E-4</v>
      </c>
      <c r="F4">
        <f t="shared" ref="F4:F18" si="4">D4*36</f>
        <v>5.2900781322957205E-3</v>
      </c>
      <c r="G4">
        <f t="shared" ref="G4:G18" si="5">F4*3600</f>
        <v>19.044281276264595</v>
      </c>
      <c r="H4">
        <f t="shared" ref="H4:H18" si="6">E4*36</f>
        <v>2.4985773721400782E-2</v>
      </c>
      <c r="I4" s="2">
        <f t="shared" si="0"/>
        <v>245.6692631097084</v>
      </c>
      <c r="J4" s="2">
        <f t="shared" ref="J4:J18" si="7">H4/999.102*1000000*60</f>
        <v>1500.493866776412</v>
      </c>
      <c r="L4">
        <v>2036.6</v>
      </c>
      <c r="M4">
        <v>16.5</v>
      </c>
      <c r="N4">
        <v>19.899999999999999</v>
      </c>
      <c r="O4">
        <v>3.33</v>
      </c>
      <c r="P4">
        <v>4.0199999999999996</v>
      </c>
      <c r="U4">
        <f t="shared" si="1"/>
        <v>0.6899999999999995</v>
      </c>
      <c r="V4">
        <f t="shared" ref="V4:V10" si="8">(N4-M4)*L4</f>
        <v>6924.4399999999969</v>
      </c>
    </row>
    <row r="5" spans="1:22" x14ac:dyDescent="0.25">
      <c r="A5" s="1" t="s">
        <v>19</v>
      </c>
      <c r="B5" s="1">
        <v>125</v>
      </c>
      <c r="C5" s="1">
        <v>1500</v>
      </c>
      <c r="D5">
        <f t="shared" si="2"/>
        <v>2.204199221789883E-4</v>
      </c>
      <c r="E5">
        <f t="shared" si="3"/>
        <v>8.6756158754863831E-4</v>
      </c>
      <c r="F5">
        <f t="shared" si="4"/>
        <v>7.9351171984435795E-3</v>
      </c>
      <c r="G5">
        <f t="shared" si="5"/>
        <v>28.566421914396887</v>
      </c>
      <c r="H5">
        <f t="shared" si="6"/>
        <v>3.1232217151750979E-2</v>
      </c>
      <c r="I5" s="2">
        <f t="shared" si="0"/>
        <v>368.50389466456255</v>
      </c>
      <c r="J5" s="2">
        <f t="shared" si="7"/>
        <v>1875.6173334705152</v>
      </c>
      <c r="L5">
        <v>2555</v>
      </c>
      <c r="M5">
        <v>19.2</v>
      </c>
      <c r="N5">
        <v>21.2</v>
      </c>
      <c r="O5">
        <v>3.26</v>
      </c>
      <c r="P5">
        <v>4.2300000000000004</v>
      </c>
      <c r="U5">
        <f t="shared" si="1"/>
        <v>0.97000000000000064</v>
      </c>
      <c r="V5">
        <f t="shared" si="8"/>
        <v>5110</v>
      </c>
    </row>
    <row r="6" spans="1:22" x14ac:dyDescent="0.25">
      <c r="A6" s="1" t="s">
        <v>20</v>
      </c>
      <c r="B6" s="1">
        <v>150</v>
      </c>
      <c r="C6" s="1">
        <v>2000</v>
      </c>
      <c r="D6">
        <f t="shared" si="2"/>
        <v>2.9389322957198446E-4</v>
      </c>
      <c r="E6">
        <f t="shared" si="3"/>
        <v>1.0410739050583657E-3</v>
      </c>
      <c r="F6">
        <f t="shared" si="4"/>
        <v>1.0580156264591441E-2</v>
      </c>
      <c r="G6">
        <f t="shared" si="5"/>
        <v>38.08856255252919</v>
      </c>
      <c r="H6">
        <f t="shared" si="6"/>
        <v>3.7478660582101163E-2</v>
      </c>
      <c r="I6" s="2">
        <f t="shared" si="0"/>
        <v>491.33852621941679</v>
      </c>
      <c r="J6" s="2">
        <f t="shared" si="7"/>
        <v>2250.7408001646181</v>
      </c>
      <c r="L6">
        <v>3060.2</v>
      </c>
      <c r="M6">
        <v>20</v>
      </c>
      <c r="N6">
        <v>21.6</v>
      </c>
      <c r="O6">
        <v>4.1500000000000004</v>
      </c>
      <c r="P6">
        <v>5.54</v>
      </c>
      <c r="U6">
        <f>P6-O6</f>
        <v>1.3899999999999997</v>
      </c>
      <c r="V6">
        <f t="shared" si="8"/>
        <v>4896.3200000000043</v>
      </c>
    </row>
    <row r="7" spans="1:22" x14ac:dyDescent="0.25">
      <c r="A7" s="1" t="s">
        <v>21</v>
      </c>
      <c r="B7" s="1">
        <v>175</v>
      </c>
      <c r="C7" s="1">
        <v>2500</v>
      </c>
      <c r="D7">
        <f t="shared" si="2"/>
        <v>3.6736653696498056E-4</v>
      </c>
      <c r="E7">
        <f t="shared" si="3"/>
        <v>1.2145862225680934E-3</v>
      </c>
      <c r="F7">
        <f t="shared" si="4"/>
        <v>1.3225195330739299E-2</v>
      </c>
      <c r="G7">
        <f t="shared" si="5"/>
        <v>47.610703190661475</v>
      </c>
      <c r="H7">
        <f t="shared" si="6"/>
        <v>4.372510401245136E-2</v>
      </c>
      <c r="I7" s="2">
        <f t="shared" si="0"/>
        <v>614.17315777427086</v>
      </c>
      <c r="J7" s="2">
        <f t="shared" si="7"/>
        <v>2625.8642668587208</v>
      </c>
      <c r="L7">
        <v>3569.1</v>
      </c>
      <c r="M7">
        <v>21.9</v>
      </c>
      <c r="N7">
        <v>22.9</v>
      </c>
      <c r="O7">
        <v>4.9400000000000004</v>
      </c>
      <c r="P7">
        <v>6.84</v>
      </c>
      <c r="U7">
        <f>P7-O7</f>
        <v>1.8999999999999995</v>
      </c>
      <c r="V7">
        <f t="shared" si="8"/>
        <v>3569.1</v>
      </c>
    </row>
    <row r="8" spans="1:22" x14ac:dyDescent="0.25">
      <c r="A8" s="1" t="s">
        <v>22</v>
      </c>
      <c r="B8" s="1">
        <v>200</v>
      </c>
      <c r="C8" s="1">
        <v>3000</v>
      </c>
      <c r="D8">
        <f t="shared" si="2"/>
        <v>4.408398443579766E-4</v>
      </c>
      <c r="E8">
        <f t="shared" si="3"/>
        <v>1.3880985400778212E-3</v>
      </c>
      <c r="F8">
        <f t="shared" si="4"/>
        <v>1.5870234396887159E-2</v>
      </c>
      <c r="G8">
        <f t="shared" si="5"/>
        <v>57.132843828793774</v>
      </c>
      <c r="H8">
        <f t="shared" si="6"/>
        <v>4.9971547442801564E-2</v>
      </c>
      <c r="I8" s="2">
        <f t="shared" si="0"/>
        <v>737.0077893291251</v>
      </c>
      <c r="J8" s="2">
        <f t="shared" si="7"/>
        <v>3000.987733552824</v>
      </c>
      <c r="L8">
        <v>4080.6</v>
      </c>
      <c r="M8">
        <v>23.1</v>
      </c>
      <c r="N8">
        <v>25.2</v>
      </c>
      <c r="O8">
        <v>5.9</v>
      </c>
      <c r="P8">
        <v>8.39</v>
      </c>
      <c r="U8">
        <f>P8-O8</f>
        <v>2.4900000000000002</v>
      </c>
      <c r="V8">
        <f t="shared" si="8"/>
        <v>8569.2599999999911</v>
      </c>
    </row>
    <row r="9" spans="1:22" x14ac:dyDescent="0.25">
      <c r="A9" s="1" t="s">
        <v>23</v>
      </c>
      <c r="B9" s="1">
        <v>225</v>
      </c>
      <c r="C9" s="1">
        <v>3500</v>
      </c>
      <c r="D9">
        <f t="shared" si="2"/>
        <v>5.1431315175097265E-4</v>
      </c>
      <c r="E9">
        <f t="shared" si="3"/>
        <v>1.5616108575875489E-3</v>
      </c>
      <c r="F9">
        <f t="shared" si="4"/>
        <v>1.8515273463035015E-2</v>
      </c>
      <c r="G9">
        <f t="shared" si="5"/>
        <v>66.654984466926052</v>
      </c>
      <c r="H9">
        <f t="shared" si="6"/>
        <v>5.6217990873151762E-2</v>
      </c>
      <c r="I9" s="2">
        <f t="shared" si="0"/>
        <v>859.842420883979</v>
      </c>
      <c r="J9" s="2">
        <f t="shared" si="7"/>
        <v>3376.1112002469276</v>
      </c>
      <c r="L9">
        <v>4598.7</v>
      </c>
      <c r="M9">
        <v>25</v>
      </c>
      <c r="N9">
        <v>26.8</v>
      </c>
      <c r="O9">
        <v>6.48</v>
      </c>
      <c r="P9">
        <v>9.6199999999999992</v>
      </c>
      <c r="U9">
        <f>P9-O9</f>
        <v>3.1399999999999988</v>
      </c>
      <c r="V9">
        <f t="shared" si="8"/>
        <v>8277.6600000000035</v>
      </c>
    </row>
    <row r="10" spans="1:22" x14ac:dyDescent="0.25">
      <c r="A10" s="1" t="s">
        <v>24</v>
      </c>
      <c r="B10" s="1">
        <v>250</v>
      </c>
      <c r="C10" s="1">
        <v>4000</v>
      </c>
      <c r="D10">
        <f t="shared" si="2"/>
        <v>5.8778645914396891E-4</v>
      </c>
      <c r="E10">
        <f t="shared" si="3"/>
        <v>1.7351231750972766E-3</v>
      </c>
      <c r="F10">
        <f t="shared" si="4"/>
        <v>2.1160312529182882E-2</v>
      </c>
      <c r="G10">
        <f t="shared" si="5"/>
        <v>76.17712510505838</v>
      </c>
      <c r="H10">
        <f t="shared" si="6"/>
        <v>6.2464434303501959E-2</v>
      </c>
      <c r="I10" s="2">
        <f t="shared" si="0"/>
        <v>982.67705243883358</v>
      </c>
      <c r="J10" s="2">
        <f t="shared" si="7"/>
        <v>3751.2346669410304</v>
      </c>
      <c r="L10">
        <v>5107.5</v>
      </c>
      <c r="M10">
        <v>26.8</v>
      </c>
      <c r="N10">
        <v>27.2</v>
      </c>
      <c r="O10">
        <v>6.67</v>
      </c>
      <c r="P10">
        <v>10.56</v>
      </c>
      <c r="U10">
        <f>P10-O10</f>
        <v>3.8900000000000006</v>
      </c>
      <c r="V10">
        <f t="shared" si="8"/>
        <v>2042.9999999999927</v>
      </c>
    </row>
    <row r="11" spans="1:22" x14ac:dyDescent="0.25">
      <c r="A11" s="1" t="s">
        <v>25</v>
      </c>
      <c r="B11" s="1">
        <v>275</v>
      </c>
      <c r="C11" s="1">
        <v>4500</v>
      </c>
      <c r="D11">
        <f t="shared" si="2"/>
        <v>6.6125976653696507E-4</v>
      </c>
      <c r="E11">
        <f t="shared" si="3"/>
        <v>1.9086354926070043E-3</v>
      </c>
      <c r="F11">
        <f t="shared" si="4"/>
        <v>2.3805351595330742E-2</v>
      </c>
      <c r="G11">
        <f t="shared" si="5"/>
        <v>85.699265743190665</v>
      </c>
      <c r="H11">
        <f t="shared" si="6"/>
        <v>6.8710877733852149E-2</v>
      </c>
      <c r="I11" s="2">
        <f t="shared" si="0"/>
        <v>1105.5116839936877</v>
      </c>
      <c r="J11" s="2">
        <f t="shared" si="7"/>
        <v>4126.3581336351335</v>
      </c>
    </row>
    <row r="12" spans="1:22" x14ac:dyDescent="0.25">
      <c r="A12" s="1" t="s">
        <v>26</v>
      </c>
      <c r="B12" s="1">
        <v>300</v>
      </c>
      <c r="C12" s="1">
        <v>5000</v>
      </c>
      <c r="D12">
        <f t="shared" si="2"/>
        <v>7.3473307392996111E-4</v>
      </c>
      <c r="E12">
        <f t="shared" si="3"/>
        <v>2.0821478101167314E-3</v>
      </c>
      <c r="F12">
        <f t="shared" si="4"/>
        <v>2.6450390661478598E-2</v>
      </c>
      <c r="G12">
        <f t="shared" si="5"/>
        <v>95.22140638132295</v>
      </c>
      <c r="H12">
        <f t="shared" si="6"/>
        <v>7.4957321164202326E-2</v>
      </c>
      <c r="I12" s="2">
        <f t="shared" si="0"/>
        <v>1228.3463155485417</v>
      </c>
      <c r="J12" s="2">
        <f t="shared" si="7"/>
        <v>4501.4816003292362</v>
      </c>
    </row>
    <row r="13" spans="1:22" x14ac:dyDescent="0.25">
      <c r="A13" s="1" t="s">
        <v>27</v>
      </c>
      <c r="B13" s="1">
        <v>325</v>
      </c>
      <c r="C13" s="1">
        <v>5500</v>
      </c>
      <c r="D13">
        <f t="shared" si="2"/>
        <v>8.0820638132295737E-4</v>
      </c>
      <c r="E13">
        <f t="shared" si="3"/>
        <v>2.2556601276264594E-3</v>
      </c>
      <c r="F13">
        <f t="shared" si="4"/>
        <v>2.9095429727626465E-2</v>
      </c>
      <c r="G13">
        <f t="shared" si="5"/>
        <v>104.74354701945528</v>
      </c>
      <c r="H13">
        <f t="shared" si="6"/>
        <v>8.120376459455253E-2</v>
      </c>
      <c r="I13" s="2">
        <f t="shared" si="0"/>
        <v>1351.1809471033962</v>
      </c>
      <c r="J13" s="2">
        <f t="shared" si="7"/>
        <v>4876.605067023339</v>
      </c>
    </row>
    <row r="14" spans="1:22" x14ac:dyDescent="0.25">
      <c r="A14" s="1" t="s">
        <v>28</v>
      </c>
      <c r="B14" s="1">
        <v>350</v>
      </c>
      <c r="C14" s="1">
        <v>6000</v>
      </c>
      <c r="D14">
        <f t="shared" si="2"/>
        <v>8.816796887159532E-4</v>
      </c>
      <c r="E14">
        <f t="shared" si="3"/>
        <v>2.4291724451361869E-3</v>
      </c>
      <c r="F14">
        <f t="shared" si="4"/>
        <v>3.1740468793774318E-2</v>
      </c>
      <c r="G14">
        <f t="shared" si="5"/>
        <v>114.26568765758755</v>
      </c>
      <c r="H14">
        <f t="shared" si="6"/>
        <v>8.745020802490272E-2</v>
      </c>
      <c r="I14" s="2">
        <f t="shared" si="0"/>
        <v>1474.0155786582502</v>
      </c>
      <c r="J14" s="2">
        <f t="shared" si="7"/>
        <v>5251.7285337174417</v>
      </c>
    </row>
    <row r="15" spans="1:22" x14ac:dyDescent="0.25">
      <c r="A15" s="1" t="s">
        <v>29</v>
      </c>
      <c r="B15" s="1">
        <v>375</v>
      </c>
      <c r="C15" s="1">
        <v>6500</v>
      </c>
      <c r="D15">
        <f t="shared" si="2"/>
        <v>9.5515299610894958E-4</v>
      </c>
      <c r="E15">
        <f t="shared" si="3"/>
        <v>2.6026847626459148E-3</v>
      </c>
      <c r="F15">
        <f t="shared" si="4"/>
        <v>3.4385507859922185E-2</v>
      </c>
      <c r="G15">
        <f t="shared" si="5"/>
        <v>123.78782829571986</v>
      </c>
      <c r="H15">
        <f t="shared" si="6"/>
        <v>9.3696651455252938E-2</v>
      </c>
      <c r="I15" s="2">
        <f t="shared" si="0"/>
        <v>1596.8502102131044</v>
      </c>
      <c r="J15" s="2">
        <f t="shared" si="7"/>
        <v>5626.8520004115462</v>
      </c>
    </row>
    <row r="16" spans="1:22" x14ac:dyDescent="0.25">
      <c r="A16" s="1" t="s">
        <v>30</v>
      </c>
      <c r="B16" s="1">
        <v>400</v>
      </c>
      <c r="C16" s="1">
        <v>7000</v>
      </c>
      <c r="D16">
        <f t="shared" si="2"/>
        <v>1.0286263035019453E-3</v>
      </c>
      <c r="E16">
        <f t="shared" si="3"/>
        <v>2.7761970801556423E-3</v>
      </c>
      <c r="F16">
        <f t="shared" si="4"/>
        <v>3.7030546926070031E-2</v>
      </c>
      <c r="G16">
        <f t="shared" si="5"/>
        <v>133.3099689338521</v>
      </c>
      <c r="H16">
        <f t="shared" si="6"/>
        <v>9.9943094885603129E-2</v>
      </c>
      <c r="I16" s="2">
        <f t="shared" si="0"/>
        <v>1719.684841767958</v>
      </c>
      <c r="J16" s="2">
        <f t="shared" si="7"/>
        <v>6001.975467105648</v>
      </c>
    </row>
    <row r="17" spans="1:10" x14ac:dyDescent="0.25">
      <c r="A17" s="1" t="s">
        <v>31</v>
      </c>
      <c r="B17" s="1">
        <v>425</v>
      </c>
      <c r="C17" s="1">
        <v>7500</v>
      </c>
      <c r="D17">
        <f t="shared" si="2"/>
        <v>1.1020996108949417E-3</v>
      </c>
      <c r="E17">
        <f t="shared" si="3"/>
        <v>2.9497093976653698E-3</v>
      </c>
      <c r="F17">
        <f t="shared" si="4"/>
        <v>3.9675585992217897E-2</v>
      </c>
      <c r="G17">
        <f t="shared" si="5"/>
        <v>142.83210957198443</v>
      </c>
      <c r="H17">
        <f t="shared" si="6"/>
        <v>0.10618953831595332</v>
      </c>
      <c r="I17" s="2">
        <f t="shared" si="0"/>
        <v>1842.5194733228125</v>
      </c>
      <c r="J17" s="2">
        <f t="shared" si="7"/>
        <v>6377.0989337997507</v>
      </c>
    </row>
    <row r="18" spans="1:10" x14ac:dyDescent="0.25">
      <c r="A18" s="1" t="s">
        <v>32</v>
      </c>
      <c r="B18" s="1">
        <v>450</v>
      </c>
      <c r="C18" s="1">
        <v>8100</v>
      </c>
      <c r="D18">
        <f t="shared" si="2"/>
        <v>1.1902675797665369E-3</v>
      </c>
      <c r="E18">
        <f t="shared" si="3"/>
        <v>3.1232217151750978E-3</v>
      </c>
      <c r="F18">
        <f t="shared" si="4"/>
        <v>4.2849632871595329E-2</v>
      </c>
      <c r="G18">
        <f t="shared" si="5"/>
        <v>154.25867833774319</v>
      </c>
      <c r="H18">
        <f t="shared" si="6"/>
        <v>0.11243598174630352</v>
      </c>
      <c r="I18" s="2">
        <f t="shared" si="0"/>
        <v>1989.9210311886377</v>
      </c>
      <c r="J18" s="2">
        <f t="shared" si="7"/>
        <v>6752.2224004938553</v>
      </c>
    </row>
    <row r="19" spans="1:10" x14ac:dyDescent="0.25">
      <c r="A19" s="1"/>
      <c r="B19" s="1"/>
      <c r="C19" s="1"/>
    </row>
    <row r="20" spans="1:10" x14ac:dyDescent="0.25">
      <c r="A20" s="1"/>
      <c r="B20" s="1"/>
      <c r="C20" s="1"/>
    </row>
    <row r="21" spans="1:10" x14ac:dyDescent="0.25">
      <c r="A21" s="1"/>
      <c r="B21" s="1"/>
      <c r="C21" s="1"/>
    </row>
    <row r="22" spans="1:10" x14ac:dyDescent="0.25">
      <c r="A22" s="1"/>
      <c r="B22" s="1"/>
      <c r="C22" s="1"/>
    </row>
    <row r="23" spans="1:10" x14ac:dyDescent="0.25">
      <c r="A23" s="1"/>
      <c r="B23" s="1"/>
      <c r="C23" s="1"/>
    </row>
    <row r="24" spans="1:10" x14ac:dyDescent="0.25">
      <c r="A24" s="1"/>
      <c r="B24" s="1"/>
      <c r="C24" s="1"/>
    </row>
    <row r="25" spans="1:10" x14ac:dyDescent="0.25">
      <c r="A25" s="1"/>
      <c r="B25" s="1"/>
      <c r="C25" s="1"/>
    </row>
    <row r="26" spans="1:10" x14ac:dyDescent="0.25">
      <c r="A26" s="1"/>
      <c r="B26" s="1"/>
      <c r="C26" s="1"/>
    </row>
    <row r="27" spans="1:10" x14ac:dyDescent="0.25">
      <c r="A27" s="1"/>
      <c r="B27" s="1"/>
      <c r="C27" s="1"/>
    </row>
    <row r="28" spans="1:10" x14ac:dyDescent="0.25">
      <c r="A28" s="1"/>
      <c r="B28" s="1"/>
      <c r="C28" s="1"/>
    </row>
    <row r="29" spans="1:10" x14ac:dyDescent="0.25">
      <c r="A29" s="1"/>
      <c r="B29" s="1"/>
      <c r="C29" s="1"/>
    </row>
    <row r="30" spans="1:10" x14ac:dyDescent="0.25">
      <c r="A30" s="1"/>
      <c r="B30" s="1"/>
      <c r="C30" s="1"/>
    </row>
    <row r="31" spans="1:10" x14ac:dyDescent="0.25">
      <c r="A31" s="1"/>
      <c r="B31" s="1"/>
      <c r="C31" s="1"/>
    </row>
    <row r="32" spans="1:10" x14ac:dyDescent="0.25">
      <c r="A32" s="1"/>
      <c r="B32" s="1"/>
      <c r="C32" s="1"/>
    </row>
    <row r="33" spans="1:24" x14ac:dyDescent="0.25">
      <c r="A33" s="1"/>
      <c r="B33" s="1"/>
      <c r="C33" s="1"/>
    </row>
    <row r="34" spans="1:24" x14ac:dyDescent="0.25">
      <c r="A34" s="1"/>
      <c r="B34" s="1"/>
      <c r="C34" s="1"/>
    </row>
    <row r="36" spans="1:24" x14ac:dyDescent="0.25">
      <c r="D36" s="1"/>
    </row>
    <row r="37" spans="1:24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</row>
    <row r="39" spans="1:24" x14ac:dyDescent="0.25">
      <c r="A39" s="1"/>
      <c r="B39" s="1"/>
      <c r="C39" s="1"/>
    </row>
    <row r="40" spans="1:24" x14ac:dyDescent="0.25">
      <c r="A40" s="1"/>
      <c r="B40" s="1"/>
      <c r="C40" s="1"/>
    </row>
    <row r="41" spans="1:24" x14ac:dyDescent="0.25">
      <c r="A41" s="1"/>
      <c r="B41" s="1"/>
      <c r="C41" s="1"/>
    </row>
    <row r="42" spans="1:24" x14ac:dyDescent="0.25">
      <c r="A42" s="1"/>
      <c r="B42" s="1"/>
      <c r="C42" s="1"/>
    </row>
    <row r="43" spans="1:24" x14ac:dyDescent="0.25">
      <c r="A43" s="1"/>
      <c r="B43" s="1"/>
      <c r="C43" s="1"/>
    </row>
    <row r="44" spans="1:24" x14ac:dyDescent="0.25">
      <c r="A44" s="1"/>
      <c r="B44" s="1"/>
      <c r="C44" s="1"/>
    </row>
    <row r="45" spans="1:24" x14ac:dyDescent="0.25">
      <c r="A45" s="1"/>
      <c r="B45" s="1"/>
      <c r="C45" s="1"/>
    </row>
    <row r="46" spans="1:24" x14ac:dyDescent="0.25">
      <c r="A46" s="1"/>
      <c r="B46" s="1"/>
      <c r="C46" s="1"/>
    </row>
    <row r="47" spans="1:24" x14ac:dyDescent="0.25">
      <c r="A47" s="1"/>
      <c r="B47" s="1"/>
      <c r="C47" s="1"/>
    </row>
    <row r="48" spans="1:24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张月亮</dc:creator>
  <cp:lastModifiedBy>Lu Alex</cp:lastModifiedBy>
  <dcterms:created xsi:type="dcterms:W3CDTF">2015-06-05T18:19:00Z</dcterms:created>
  <dcterms:modified xsi:type="dcterms:W3CDTF">2026-06-11T10:04:12Z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524EA06A76C2456C8AB639582DE92FC0</vt:lpwstr>
  </property>
  <property fmtid="{D5CDD505-2E9C-101B-9397-08002B2CF9AE}" pid="3" name="KSOProductBuildVer">
    <vt:lpwstr>2052-11.1.0.13703</vt:lpwstr>
  </property>
</Properties>
</file>