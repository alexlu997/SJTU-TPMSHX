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stgraduate\均质化\SJTU-TPMSHX\data\raw_data\"/>
    </mc:Choice>
  </mc:AlternateContent>
  <xr:revisionPtr revIDLastSave="0" documentId="13_ncr:1_{C7B1898E-5387-4451-85B1-E243B68EFF8E}" xr6:coauthVersionLast="47" xr6:coauthVersionMax="47" xr10:uidLastSave="{00000000-0000-0000-0000-000000000000}"/>
  <bookViews>
    <workbookView xWindow="5200" yWindow="4020" windowWidth="19200" windowHeight="11170" activeTab="1" xr2:uid="{00000000-000D-0000-FFFF-FFFF00000000}"/>
  </bookViews>
  <sheets>
    <sheet name="Diamond_汇总" sheetId="1" r:id="rId1"/>
    <sheet name="Gyroid_汇总" sheetId="2" r:id="rId2"/>
    <sheet name="边界效应系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1" i="2" l="1"/>
  <c r="BB32" i="2"/>
  <c r="BB33" i="2"/>
  <c r="BB34" i="2"/>
  <c r="BB35" i="2"/>
  <c r="BB36" i="2"/>
  <c r="BB37" i="2"/>
  <c r="BB38" i="2"/>
  <c r="BB39" i="2"/>
  <c r="BB40" i="2"/>
  <c r="BB41" i="2"/>
  <c r="BB42" i="2"/>
  <c r="BC42" i="2" s="1"/>
  <c r="BB43" i="2"/>
  <c r="BC43" i="2" s="1"/>
  <c r="BB44" i="2"/>
  <c r="BC44" i="2" s="1"/>
  <c r="BB45" i="2"/>
  <c r="BB46" i="2"/>
  <c r="BC46" i="2" s="1"/>
  <c r="BB47" i="2"/>
  <c r="BB48" i="2"/>
  <c r="BB49" i="2"/>
  <c r="BB50" i="2"/>
  <c r="BB51" i="2"/>
  <c r="BB52" i="2"/>
  <c r="BB53" i="2"/>
  <c r="BB54" i="2"/>
  <c r="BB55" i="2"/>
  <c r="BB58" i="2"/>
  <c r="BC58" i="2" s="1"/>
  <c r="BB59" i="2"/>
  <c r="BB60" i="2"/>
  <c r="BB61" i="2"/>
  <c r="BB62" i="2"/>
  <c r="BB63" i="2"/>
  <c r="BB64" i="2"/>
  <c r="BB65" i="2"/>
  <c r="BB66" i="2"/>
  <c r="BB67" i="2"/>
  <c r="BB68" i="2"/>
  <c r="BB69" i="2"/>
  <c r="BC69" i="2" s="1"/>
  <c r="BB70" i="2"/>
  <c r="BB71" i="2"/>
  <c r="BC71" i="2" s="1"/>
  <c r="BB72" i="2"/>
  <c r="BC72" i="2" s="1"/>
  <c r="BB73" i="2"/>
  <c r="BB74" i="2"/>
  <c r="BC74" i="2" s="1"/>
  <c r="BB75" i="2"/>
  <c r="BB76" i="2"/>
  <c r="BB77" i="2"/>
  <c r="BB78" i="2"/>
  <c r="BB79" i="2"/>
  <c r="BB80" i="2"/>
  <c r="BB81" i="2"/>
  <c r="BB84" i="2"/>
  <c r="BC84" i="2" s="1"/>
  <c r="BB85" i="2"/>
  <c r="BC85" i="2" s="1"/>
  <c r="BB86" i="2"/>
  <c r="BC86" i="2" s="1"/>
  <c r="BB87" i="2"/>
  <c r="BC87" i="2" s="1"/>
  <c r="BB88" i="2"/>
  <c r="BC88" i="2" s="1"/>
  <c r="BB89" i="2"/>
  <c r="BC89" i="2" s="1"/>
  <c r="BB90" i="2"/>
  <c r="BC90" i="2" s="1"/>
  <c r="BB91" i="2"/>
  <c r="BC91" i="2" s="1"/>
  <c r="BB92" i="2"/>
  <c r="BC92" i="2" s="1"/>
  <c r="BB93" i="2"/>
  <c r="BB94" i="2"/>
  <c r="BB95" i="2"/>
  <c r="BB96" i="2"/>
  <c r="BB97" i="2"/>
  <c r="BC97" i="2" s="1"/>
  <c r="BB98" i="2"/>
  <c r="BC98" i="2" s="1"/>
  <c r="BB99" i="2"/>
  <c r="BC99" i="2" s="1"/>
  <c r="BB100" i="2"/>
  <c r="BC100" i="2" s="1"/>
  <c r="BB101" i="2"/>
  <c r="BC101" i="2" s="1"/>
  <c r="BB103" i="2"/>
  <c r="BC103" i="2" s="1"/>
  <c r="BB104" i="2"/>
  <c r="BC104" i="2" s="1"/>
  <c r="BB105" i="2"/>
  <c r="BC105" i="2" s="1"/>
  <c r="BB106" i="2"/>
  <c r="BC106" i="2" s="1"/>
  <c r="BB107" i="2"/>
  <c r="BC107" i="2" s="1"/>
  <c r="BB108" i="2"/>
  <c r="BC108" i="2" s="1"/>
  <c r="BB109" i="2"/>
  <c r="BB110" i="2"/>
  <c r="BB111" i="2"/>
  <c r="BB112" i="2"/>
  <c r="BB113" i="2"/>
  <c r="BB114" i="2"/>
  <c r="BC114" i="2" s="1"/>
  <c r="BB115" i="2"/>
  <c r="BC115" i="2" s="1"/>
  <c r="BB116" i="2"/>
  <c r="BC116" i="2" s="1"/>
  <c r="BB117" i="2"/>
  <c r="BC117" i="2" s="1"/>
  <c r="BB118" i="2"/>
  <c r="BC118" i="2" s="1"/>
  <c r="BB119" i="2"/>
  <c r="BC119" i="2" s="1"/>
  <c r="BB121" i="2"/>
  <c r="BC121" i="2" s="1"/>
  <c r="BB122" i="2"/>
  <c r="BC122" i="2" s="1"/>
  <c r="BB123" i="2"/>
  <c r="BC123" i="2" s="1"/>
  <c r="BB124" i="2"/>
  <c r="BC124" i="2" s="1"/>
  <c r="BB125" i="2"/>
  <c r="BB126" i="2"/>
  <c r="BB127" i="2"/>
  <c r="BB128" i="2"/>
  <c r="BB129" i="2"/>
  <c r="BC129" i="2" s="1"/>
  <c r="BB130" i="2"/>
  <c r="BC130" i="2" s="1"/>
  <c r="BB131" i="2"/>
  <c r="BC131" i="2" s="1"/>
  <c r="BB132" i="2"/>
  <c r="BC132" i="2" s="1"/>
  <c r="BB133" i="2"/>
  <c r="BC133" i="2" s="1"/>
  <c r="BB134" i="2"/>
  <c r="BC134" i="2" s="1"/>
  <c r="BB135" i="2"/>
  <c r="BC135" i="2" s="1"/>
  <c r="BB136" i="2"/>
  <c r="BC136" i="2" s="1"/>
  <c r="BB138" i="2"/>
  <c r="BC138" i="2" s="1"/>
  <c r="BB139" i="2"/>
  <c r="BC139" i="2" s="1"/>
  <c r="BB140" i="2"/>
  <c r="BC140" i="2" s="1"/>
  <c r="BB141" i="2"/>
  <c r="BB142" i="2"/>
  <c r="BB143" i="2"/>
  <c r="BB144" i="2"/>
  <c r="BB145" i="2"/>
  <c r="BB146" i="2"/>
  <c r="BB147" i="2"/>
  <c r="BC147" i="2" s="1"/>
  <c r="BB148" i="2"/>
  <c r="BC148" i="2" s="1"/>
  <c r="BB149" i="2"/>
  <c r="BC149" i="2" s="1"/>
  <c r="BB150" i="2"/>
  <c r="BC150" i="2" s="1"/>
  <c r="BB151" i="2"/>
  <c r="BC151" i="2" s="1"/>
  <c r="BB152" i="2"/>
  <c r="BC152" i="2" s="1"/>
  <c r="BB153" i="2"/>
  <c r="BC153" i="2" s="1"/>
  <c r="BB156" i="2"/>
  <c r="BC156" i="2" s="1"/>
  <c r="BB157" i="2"/>
  <c r="BB158" i="2"/>
  <c r="BB159" i="2"/>
  <c r="BB160" i="2"/>
  <c r="BB161" i="2"/>
  <c r="BB162" i="2"/>
  <c r="BB163" i="2"/>
  <c r="BB164" i="2"/>
  <c r="BB165" i="2"/>
  <c r="BC165" i="2" s="1"/>
  <c r="BB166" i="2"/>
  <c r="BC166" i="2" s="1"/>
  <c r="BB167" i="2"/>
  <c r="BC167" i="2" s="1"/>
  <c r="BB168" i="2"/>
  <c r="BC168" i="2" s="1"/>
  <c r="BB169" i="2"/>
  <c r="BC169" i="2" s="1"/>
  <c r="BB170" i="2"/>
  <c r="BC170" i="2" s="1"/>
  <c r="BB172" i="2"/>
  <c r="BC172" i="2" s="1"/>
  <c r="BB173" i="2"/>
  <c r="BB174" i="2"/>
  <c r="BB175" i="2"/>
  <c r="BB176" i="2"/>
  <c r="BB177" i="2"/>
  <c r="BB178" i="2"/>
  <c r="BB179" i="2"/>
  <c r="BB180" i="2"/>
  <c r="BB181" i="2"/>
  <c r="BB182" i="2"/>
  <c r="BC182" i="2" s="1"/>
  <c r="BB183" i="2"/>
  <c r="BC183" i="2" s="1"/>
  <c r="BB184" i="2"/>
  <c r="BC184" i="2" s="1"/>
  <c r="BB185" i="2"/>
  <c r="BC185" i="2" s="1"/>
  <c r="BB186" i="2"/>
  <c r="BC186" i="2" s="1"/>
  <c r="BB189" i="2"/>
  <c r="BB190" i="2"/>
  <c r="BB191" i="2"/>
  <c r="BB192" i="2"/>
  <c r="BB193" i="2"/>
  <c r="BB194" i="2"/>
  <c r="BB195" i="2"/>
  <c r="BB196" i="2"/>
  <c r="BB197" i="2"/>
  <c r="BB198" i="2"/>
  <c r="BB199" i="2"/>
  <c r="BB201" i="2"/>
  <c r="BC201" i="2" s="1"/>
  <c r="BB202" i="2"/>
  <c r="BC202" i="2" s="1"/>
  <c r="BB203" i="2"/>
  <c r="BC203" i="2" s="1"/>
  <c r="BB204" i="2"/>
  <c r="BC204" i="2" s="1"/>
  <c r="BB205" i="2"/>
  <c r="BB206" i="2"/>
  <c r="BB207" i="2"/>
  <c r="BB208" i="2"/>
  <c r="BB209" i="2"/>
  <c r="BB210" i="2"/>
  <c r="BB212" i="2"/>
  <c r="BB213" i="2"/>
  <c r="BB214" i="2"/>
  <c r="BB215" i="2"/>
  <c r="BB216" i="2"/>
  <c r="BB217" i="2"/>
  <c r="BB218" i="2"/>
  <c r="BC218" i="2" s="1"/>
  <c r="BB219" i="2"/>
  <c r="BC219" i="2" s="1"/>
  <c r="AZ31" i="2"/>
  <c r="BA31" i="2" s="1"/>
  <c r="AZ32" i="2"/>
  <c r="AZ33" i="2"/>
  <c r="AZ34" i="2"/>
  <c r="AZ35" i="2"/>
  <c r="AZ36" i="2"/>
  <c r="AZ37" i="2"/>
  <c r="AZ38" i="2"/>
  <c r="AZ39" i="2"/>
  <c r="AZ40" i="2"/>
  <c r="AZ41" i="2"/>
  <c r="AZ42" i="2"/>
  <c r="AZ43" i="2"/>
  <c r="BA43" i="2" s="1"/>
  <c r="AZ44" i="2"/>
  <c r="BA44" i="2" s="1"/>
  <c r="AZ45" i="2"/>
  <c r="AZ46" i="2"/>
  <c r="AZ47" i="2"/>
  <c r="BA47" i="2" s="1"/>
  <c r="AZ48" i="2"/>
  <c r="AZ49" i="2"/>
  <c r="AZ50" i="2"/>
  <c r="AZ51" i="2"/>
  <c r="AZ52" i="2"/>
  <c r="AZ53" i="2"/>
  <c r="AZ54" i="2"/>
  <c r="AZ55" i="2"/>
  <c r="AZ58" i="2"/>
  <c r="AZ59" i="2"/>
  <c r="BA59" i="2" s="1"/>
  <c r="AZ60" i="2"/>
  <c r="BA60" i="2" s="1"/>
  <c r="AZ61" i="2"/>
  <c r="AZ62" i="2"/>
  <c r="AZ63" i="2"/>
  <c r="AZ64" i="2"/>
  <c r="AZ65" i="2"/>
  <c r="AZ66" i="2"/>
  <c r="AZ67" i="2"/>
  <c r="AZ68" i="2"/>
  <c r="BA68" i="2" s="1"/>
  <c r="AZ69" i="2"/>
  <c r="AZ70" i="2"/>
  <c r="BA70" i="2" s="1"/>
  <c r="AZ71" i="2"/>
  <c r="AZ72" i="2"/>
  <c r="AZ73" i="2"/>
  <c r="AZ74" i="2"/>
  <c r="AZ75" i="2"/>
  <c r="BA75" i="2" s="1"/>
  <c r="AZ76" i="2"/>
  <c r="BA76" i="2" s="1"/>
  <c r="AZ77" i="2"/>
  <c r="AZ78" i="2"/>
  <c r="AZ79" i="2"/>
  <c r="AZ80" i="2"/>
  <c r="AZ81" i="2"/>
  <c r="AZ84" i="2"/>
  <c r="BA84" i="2" s="1"/>
  <c r="AZ85" i="2"/>
  <c r="BA85" i="2" s="1"/>
  <c r="AZ86" i="2"/>
  <c r="BA86" i="2" s="1"/>
  <c r="AZ87" i="2"/>
  <c r="BA87" i="2" s="1"/>
  <c r="AZ88" i="2"/>
  <c r="BA88" i="2" s="1"/>
  <c r="AZ89" i="2"/>
  <c r="BA89" i="2" s="1"/>
  <c r="AZ90" i="2"/>
  <c r="BA90" i="2" s="1"/>
  <c r="AZ91" i="2"/>
  <c r="BA91" i="2" s="1"/>
  <c r="AZ92" i="2"/>
  <c r="BA92" i="2" s="1"/>
  <c r="AZ93" i="2"/>
  <c r="AZ94" i="2"/>
  <c r="AZ95" i="2"/>
  <c r="BA95" i="2" s="1"/>
  <c r="AZ96" i="2"/>
  <c r="BA96" i="2" s="1"/>
  <c r="AZ97" i="2"/>
  <c r="AZ98" i="2"/>
  <c r="BA98" i="2" s="1"/>
  <c r="AZ99" i="2"/>
  <c r="BA99" i="2" s="1"/>
  <c r="AZ100" i="2"/>
  <c r="BA100" i="2" s="1"/>
  <c r="AZ101" i="2"/>
  <c r="BA101" i="2" s="1"/>
  <c r="AZ103" i="2"/>
  <c r="BA103" i="2" s="1"/>
  <c r="AZ104" i="2"/>
  <c r="BA104" i="2" s="1"/>
  <c r="AZ105" i="2"/>
  <c r="BA105" i="2" s="1"/>
  <c r="AZ106" i="2"/>
  <c r="BA106" i="2" s="1"/>
  <c r="AZ107" i="2"/>
  <c r="BA107" i="2" s="1"/>
  <c r="AZ108" i="2"/>
  <c r="BA108" i="2" s="1"/>
  <c r="AZ109" i="2"/>
  <c r="AZ110" i="2"/>
  <c r="AZ111" i="2"/>
  <c r="AZ112" i="2"/>
  <c r="BA112" i="2" s="1"/>
  <c r="AZ113" i="2"/>
  <c r="AZ114" i="2"/>
  <c r="BA114" i="2" s="1"/>
  <c r="AZ115" i="2"/>
  <c r="BA115" i="2" s="1"/>
  <c r="AZ116" i="2"/>
  <c r="BA116" i="2" s="1"/>
  <c r="AZ117" i="2"/>
  <c r="BA117" i="2" s="1"/>
  <c r="AZ118" i="2"/>
  <c r="BA118" i="2" s="1"/>
  <c r="AZ119" i="2"/>
  <c r="BA119" i="2" s="1"/>
  <c r="AZ121" i="2"/>
  <c r="BA121" i="2" s="1"/>
  <c r="AZ122" i="2"/>
  <c r="BA122" i="2" s="1"/>
  <c r="AZ123" i="2"/>
  <c r="BA123" i="2" s="1"/>
  <c r="AZ124" i="2"/>
  <c r="BA124" i="2" s="1"/>
  <c r="AZ125" i="2"/>
  <c r="AZ126" i="2"/>
  <c r="AZ127" i="2"/>
  <c r="AZ128" i="2"/>
  <c r="AZ129" i="2"/>
  <c r="AZ130" i="2"/>
  <c r="BA130" i="2" s="1"/>
  <c r="AZ131" i="2"/>
  <c r="BA131" i="2" s="1"/>
  <c r="AZ132" i="2"/>
  <c r="BA132" i="2" s="1"/>
  <c r="AZ133" i="2"/>
  <c r="BA133" i="2" s="1"/>
  <c r="AZ134" i="2"/>
  <c r="BA134" i="2" s="1"/>
  <c r="AZ135" i="2"/>
  <c r="BA135" i="2" s="1"/>
  <c r="AZ136" i="2"/>
  <c r="BA136" i="2" s="1"/>
  <c r="AZ138" i="2"/>
  <c r="BA138" i="2" s="1"/>
  <c r="AZ139" i="2"/>
  <c r="BA139" i="2" s="1"/>
  <c r="AZ140" i="2"/>
  <c r="BA140" i="2" s="1"/>
  <c r="AZ141" i="2"/>
  <c r="AZ142" i="2"/>
  <c r="AZ143" i="2"/>
  <c r="AZ144" i="2"/>
  <c r="AZ145" i="2"/>
  <c r="AZ146" i="2"/>
  <c r="BA146" i="2" s="1"/>
  <c r="AZ147" i="2"/>
  <c r="BA147" i="2" s="1"/>
  <c r="AZ148" i="2"/>
  <c r="BA148" i="2" s="1"/>
  <c r="AZ149" i="2"/>
  <c r="BA149" i="2" s="1"/>
  <c r="AZ150" i="2"/>
  <c r="BA150" i="2" s="1"/>
  <c r="AZ151" i="2"/>
  <c r="BA151" i="2" s="1"/>
  <c r="AZ152" i="2"/>
  <c r="BA152" i="2" s="1"/>
  <c r="AZ153" i="2"/>
  <c r="BA153" i="2" s="1"/>
  <c r="AZ156" i="2"/>
  <c r="BA156" i="2" s="1"/>
  <c r="AZ157" i="2"/>
  <c r="AZ158" i="2"/>
  <c r="AZ159" i="2"/>
  <c r="AZ160" i="2"/>
  <c r="AZ161" i="2"/>
  <c r="AZ162" i="2"/>
  <c r="AZ163" i="2"/>
  <c r="AZ164" i="2"/>
  <c r="BA164" i="2" s="1"/>
  <c r="AZ165" i="2"/>
  <c r="BA165" i="2" s="1"/>
  <c r="AZ166" i="2"/>
  <c r="BA166" i="2" s="1"/>
  <c r="AZ167" i="2"/>
  <c r="BA167" i="2" s="1"/>
  <c r="AZ168" i="2"/>
  <c r="BA168" i="2" s="1"/>
  <c r="AZ169" i="2"/>
  <c r="BA169" i="2" s="1"/>
  <c r="AZ170" i="2"/>
  <c r="BA170" i="2" s="1"/>
  <c r="AZ172" i="2"/>
  <c r="BA172" i="2" s="1"/>
  <c r="AZ173" i="2"/>
  <c r="AZ174" i="2"/>
  <c r="AZ175" i="2"/>
  <c r="AZ176" i="2"/>
  <c r="AZ177" i="2"/>
  <c r="AZ178" i="2"/>
  <c r="AZ179" i="2"/>
  <c r="AZ180" i="2"/>
  <c r="AZ181" i="2"/>
  <c r="BA181" i="2" s="1"/>
  <c r="AZ182" i="2"/>
  <c r="BA182" i="2" s="1"/>
  <c r="AZ183" i="2"/>
  <c r="BA183" i="2" s="1"/>
  <c r="AZ184" i="2"/>
  <c r="BA184" i="2" s="1"/>
  <c r="AZ185" i="2"/>
  <c r="BA185" i="2" s="1"/>
  <c r="AZ186" i="2"/>
  <c r="BA186" i="2" s="1"/>
  <c r="AZ189" i="2"/>
  <c r="AZ190" i="2"/>
  <c r="AZ191" i="2"/>
  <c r="AZ192" i="2"/>
  <c r="AZ193" i="2"/>
  <c r="AZ194" i="2"/>
  <c r="AZ195" i="2"/>
  <c r="AZ196" i="2"/>
  <c r="AZ197" i="2"/>
  <c r="AZ198" i="2"/>
  <c r="AZ199" i="2"/>
  <c r="BA199" i="2" s="1"/>
  <c r="AZ201" i="2"/>
  <c r="BA201" i="2" s="1"/>
  <c r="AZ202" i="2"/>
  <c r="BA202" i="2" s="1"/>
  <c r="AZ203" i="2"/>
  <c r="BA203" i="2" s="1"/>
  <c r="AZ204" i="2"/>
  <c r="BA204" i="2" s="1"/>
  <c r="AZ205" i="2"/>
  <c r="AZ206" i="2"/>
  <c r="AZ207" i="2"/>
  <c r="AZ208" i="2"/>
  <c r="AZ209" i="2"/>
  <c r="AZ210" i="2"/>
  <c r="AZ212" i="2"/>
  <c r="AZ213" i="2"/>
  <c r="AZ214" i="2"/>
  <c r="AZ215" i="2"/>
  <c r="AZ216" i="2"/>
  <c r="AZ217" i="2"/>
  <c r="BA217" i="2" s="1"/>
  <c r="AZ218" i="2"/>
  <c r="BA218" i="2" s="1"/>
  <c r="AZ219" i="2"/>
  <c r="BA219" i="2" s="1"/>
  <c r="AZ4" i="2"/>
  <c r="AZ5" i="2"/>
  <c r="AZ6" i="2"/>
  <c r="AZ7" i="2"/>
  <c r="AZ8" i="2"/>
  <c r="BA8" i="2" s="1"/>
  <c r="AZ9" i="2"/>
  <c r="BA9" i="2" s="1"/>
  <c r="AZ10" i="2"/>
  <c r="BA10" i="2" s="1"/>
  <c r="AZ11" i="2"/>
  <c r="BA11" i="2" s="1"/>
  <c r="AZ12" i="2"/>
  <c r="BA12" i="2" s="1"/>
  <c r="AZ13" i="2"/>
  <c r="BA13" i="2" s="1"/>
  <c r="AZ14" i="2"/>
  <c r="BA14" i="2" s="1"/>
  <c r="AZ15" i="2"/>
  <c r="BA15" i="2" s="1"/>
  <c r="AZ16" i="2"/>
  <c r="BA16" i="2" s="1"/>
  <c r="AZ17" i="2"/>
  <c r="BA17" i="2" s="1"/>
  <c r="AZ18" i="2"/>
  <c r="BA18" i="2" s="1"/>
  <c r="AZ19" i="2"/>
  <c r="BA19" i="2" s="1"/>
  <c r="AZ20" i="2"/>
  <c r="AZ21" i="2"/>
  <c r="AZ22" i="2"/>
  <c r="AZ23" i="2"/>
  <c r="AZ24" i="2"/>
  <c r="BA24" i="2" s="1"/>
  <c r="AZ25" i="2"/>
  <c r="BA25" i="2" s="1"/>
  <c r="AZ26" i="2"/>
  <c r="BA26" i="2" s="1"/>
  <c r="AZ27" i="2"/>
  <c r="BA27" i="2" s="1"/>
  <c r="AZ28" i="2"/>
  <c r="BA28" i="2" s="1"/>
  <c r="AZ3" i="2"/>
  <c r="AZ26" i="1"/>
  <c r="AZ27" i="1"/>
  <c r="AZ28" i="1"/>
  <c r="AZ29" i="1"/>
  <c r="BA29" i="1" s="1"/>
  <c r="AZ30" i="1"/>
  <c r="BA30" i="1" s="1"/>
  <c r="AZ31" i="1"/>
  <c r="BA31" i="1" s="1"/>
  <c r="AZ32" i="1"/>
  <c r="BA32" i="1" s="1"/>
  <c r="AZ33" i="1"/>
  <c r="BA33" i="1" s="1"/>
  <c r="AZ34" i="1"/>
  <c r="AZ35" i="1"/>
  <c r="AZ36" i="1"/>
  <c r="AZ37" i="1"/>
  <c r="AZ38" i="1"/>
  <c r="AZ39" i="1"/>
  <c r="BA39" i="1" s="1"/>
  <c r="AZ40" i="1"/>
  <c r="AZ41" i="1"/>
  <c r="AZ42" i="1"/>
  <c r="AZ43" i="1"/>
  <c r="AZ44" i="1"/>
  <c r="AZ45" i="1"/>
  <c r="BA45" i="1" s="1"/>
  <c r="AZ48" i="1"/>
  <c r="BA48" i="1" s="1"/>
  <c r="AZ49" i="1"/>
  <c r="BA49" i="1" s="1"/>
  <c r="AZ50" i="1"/>
  <c r="AZ51" i="1"/>
  <c r="AZ52" i="1"/>
  <c r="AZ53" i="1"/>
  <c r="AZ54" i="1"/>
  <c r="AZ55" i="1"/>
  <c r="AZ56" i="1"/>
  <c r="AZ57" i="1"/>
  <c r="AZ58" i="1"/>
  <c r="AZ59" i="1"/>
  <c r="AZ60" i="1"/>
  <c r="AZ61" i="1"/>
  <c r="BA61" i="1" s="1"/>
  <c r="AZ62" i="1"/>
  <c r="AZ63" i="1"/>
  <c r="BA63" i="1" s="1"/>
  <c r="AZ64" i="1"/>
  <c r="BA64" i="1" s="1"/>
  <c r="AZ65" i="1"/>
  <c r="BA65" i="1" s="1"/>
  <c r="AZ66" i="1"/>
  <c r="AZ69" i="1"/>
  <c r="AZ70" i="1"/>
  <c r="AZ71" i="1"/>
  <c r="AZ72" i="1"/>
  <c r="AZ73" i="1"/>
  <c r="AZ74" i="1"/>
  <c r="AZ75" i="1"/>
  <c r="AZ76" i="1"/>
  <c r="AZ77" i="1"/>
  <c r="BA77" i="1" s="1"/>
  <c r="AZ78" i="1"/>
  <c r="BA78" i="1" s="1"/>
  <c r="AZ79" i="1"/>
  <c r="BA79" i="1" s="1"/>
  <c r="AZ80" i="1"/>
  <c r="BA80" i="1" s="1"/>
  <c r="AZ81" i="1"/>
  <c r="BA81" i="1" s="1"/>
  <c r="AZ82" i="1"/>
  <c r="AZ83" i="1"/>
  <c r="BA83" i="1" s="1"/>
  <c r="AZ85" i="1"/>
  <c r="AZ86" i="1"/>
  <c r="AZ87" i="1"/>
  <c r="BA87" i="1" s="1"/>
  <c r="AZ88" i="1"/>
  <c r="AZ89" i="1"/>
  <c r="AZ90" i="1"/>
  <c r="AZ91" i="1"/>
  <c r="AZ92" i="1"/>
  <c r="AZ93" i="1"/>
  <c r="AZ94" i="1"/>
  <c r="BA94" i="1" s="1"/>
  <c r="AZ95" i="1"/>
  <c r="BA95" i="1" s="1"/>
  <c r="AZ96" i="1"/>
  <c r="BA96" i="1" s="1"/>
  <c r="AZ97" i="1"/>
  <c r="BA97" i="1" s="1"/>
  <c r="AZ98" i="1"/>
  <c r="AZ99" i="1"/>
  <c r="BA99" i="1" s="1"/>
  <c r="AZ101" i="1"/>
  <c r="BA101" i="1" s="1"/>
  <c r="AZ102" i="1"/>
  <c r="BA102" i="1" s="1"/>
  <c r="AZ103" i="1"/>
  <c r="BA103" i="1" s="1"/>
  <c r="AZ104" i="1"/>
  <c r="AZ105" i="1"/>
  <c r="AZ106" i="1"/>
  <c r="AZ107" i="1"/>
  <c r="AZ108" i="1"/>
  <c r="AZ109" i="1"/>
  <c r="AZ110" i="1"/>
  <c r="AZ111" i="1"/>
  <c r="BA111" i="1" s="1"/>
  <c r="AZ112" i="1"/>
  <c r="BA112" i="1" s="1"/>
  <c r="AZ113" i="1"/>
  <c r="BA113" i="1" s="1"/>
  <c r="AZ114" i="1"/>
  <c r="AZ115" i="1"/>
  <c r="BA115" i="1" s="1"/>
  <c r="AZ117" i="1"/>
  <c r="BA117" i="1" s="1"/>
  <c r="AZ118" i="1"/>
  <c r="BA118" i="1" s="1"/>
  <c r="AZ119" i="1"/>
  <c r="BA119" i="1" s="1"/>
  <c r="AZ120" i="1"/>
  <c r="AZ121" i="1"/>
  <c r="AZ122" i="1"/>
  <c r="AZ123" i="1"/>
  <c r="AZ124" i="1"/>
  <c r="AZ125" i="1"/>
  <c r="AZ126" i="1"/>
  <c r="AZ127" i="1"/>
  <c r="BA127" i="1" s="1"/>
  <c r="AZ128" i="1"/>
  <c r="BA128" i="1" s="1"/>
  <c r="AZ129" i="1"/>
  <c r="BA129" i="1" s="1"/>
  <c r="AZ131" i="1"/>
  <c r="BA131" i="1" s="1"/>
  <c r="AZ132" i="1"/>
  <c r="AZ133" i="1"/>
  <c r="AZ134" i="1"/>
  <c r="BA134" i="1" s="1"/>
  <c r="AZ135" i="1"/>
  <c r="BA135" i="1" s="1"/>
  <c r="AZ136" i="1"/>
  <c r="BA136" i="1" s="1"/>
  <c r="AZ137" i="1"/>
  <c r="AZ138" i="1"/>
  <c r="AZ139" i="1"/>
  <c r="AZ140" i="1"/>
  <c r="AZ141" i="1"/>
  <c r="AZ142" i="1"/>
  <c r="AZ144" i="1"/>
  <c r="AZ145" i="1"/>
  <c r="BA145" i="1" s="1"/>
  <c r="AZ146" i="1"/>
  <c r="AZ147" i="1"/>
  <c r="BA147" i="1" s="1"/>
  <c r="AZ148" i="1"/>
  <c r="AZ149" i="1"/>
  <c r="AZ150" i="1"/>
  <c r="AZ151" i="1"/>
  <c r="BA151" i="1" s="1"/>
  <c r="AZ152" i="1"/>
  <c r="BA152" i="1" s="1"/>
  <c r="AZ153" i="1"/>
  <c r="AZ155" i="1"/>
  <c r="AZ156" i="1"/>
  <c r="AZ157" i="1"/>
  <c r="AZ158" i="1"/>
  <c r="AZ159" i="1"/>
  <c r="AZ160" i="1"/>
  <c r="AZ161" i="1"/>
  <c r="AZ162" i="1"/>
  <c r="AZ163" i="1"/>
  <c r="AZ165" i="1"/>
  <c r="AZ166" i="1"/>
  <c r="AZ167" i="1"/>
  <c r="BA167" i="1" s="1"/>
  <c r="AZ168" i="1"/>
  <c r="AZ169" i="1"/>
  <c r="AZ170" i="1"/>
  <c r="AZ171" i="1"/>
  <c r="BA171" i="1" s="1"/>
  <c r="AZ172" i="1"/>
  <c r="BA172" i="1" s="1"/>
  <c r="AZ174" i="1"/>
  <c r="BA174" i="1" s="1"/>
  <c r="AZ175" i="1"/>
  <c r="BA175" i="1" s="1"/>
  <c r="AZ176" i="1"/>
  <c r="BA176" i="1" s="1"/>
  <c r="AZ177" i="1"/>
  <c r="BA177" i="1" s="1"/>
  <c r="AZ178" i="1"/>
  <c r="AZ179" i="1"/>
  <c r="AZ5" i="1"/>
  <c r="AZ6" i="1"/>
  <c r="AZ7" i="1"/>
  <c r="AZ8" i="1"/>
  <c r="AZ9" i="1"/>
  <c r="AZ10" i="1"/>
  <c r="AZ11" i="1"/>
  <c r="AZ12" i="1"/>
  <c r="BA12" i="1" s="1"/>
  <c r="AZ13" i="1"/>
  <c r="BA13" i="1" s="1"/>
  <c r="AZ14" i="1"/>
  <c r="BA14" i="1" s="1"/>
  <c r="AZ15" i="1"/>
  <c r="BA15" i="1" s="1"/>
  <c r="AZ16" i="1"/>
  <c r="BA16" i="1" s="1"/>
  <c r="AZ17" i="1"/>
  <c r="BA17" i="1" s="1"/>
  <c r="AZ18" i="1"/>
  <c r="BA18" i="1" s="1"/>
  <c r="AZ19" i="1"/>
  <c r="BA19" i="1" s="1"/>
  <c r="AZ20" i="1"/>
  <c r="BA20" i="1" s="1"/>
  <c r="AZ21" i="1"/>
  <c r="AZ22" i="1"/>
  <c r="AZ23" i="1"/>
  <c r="BA6" i="1"/>
  <c r="BA8" i="1"/>
  <c r="AZ4" i="1"/>
  <c r="BA9" i="1"/>
  <c r="BA10" i="1"/>
  <c r="BA11" i="1"/>
  <c r="BA4" i="1"/>
  <c r="BA5" i="1"/>
  <c r="BA21" i="1"/>
  <c r="AZ3" i="1"/>
  <c r="BC31" i="2"/>
  <c r="BC32" i="2"/>
  <c r="BC33" i="2"/>
  <c r="BC34" i="2"/>
  <c r="BC35" i="2"/>
  <c r="BC36" i="2"/>
  <c r="BC37" i="2"/>
  <c r="BC38" i="2"/>
  <c r="BC39" i="2"/>
  <c r="BC40" i="2"/>
  <c r="BC41" i="2"/>
  <c r="BC45" i="2"/>
  <c r="BC47" i="2"/>
  <c r="BC48" i="2"/>
  <c r="BC49" i="2"/>
  <c r="BC50" i="2"/>
  <c r="BC51" i="2"/>
  <c r="BC52" i="2"/>
  <c r="BC53" i="2"/>
  <c r="BC54" i="2"/>
  <c r="BC55" i="2"/>
  <c r="BC59" i="2"/>
  <c r="BC60" i="2"/>
  <c r="BC61" i="2"/>
  <c r="BC62" i="2"/>
  <c r="BC63" i="2"/>
  <c r="BC64" i="2"/>
  <c r="BC65" i="2"/>
  <c r="BC66" i="2"/>
  <c r="BC67" i="2"/>
  <c r="BC68" i="2"/>
  <c r="BC70" i="2"/>
  <c r="BC73" i="2"/>
  <c r="BC75" i="2"/>
  <c r="BC76" i="2"/>
  <c r="BC77" i="2"/>
  <c r="BC78" i="2"/>
  <c r="BC79" i="2"/>
  <c r="BC80" i="2"/>
  <c r="BC81" i="2"/>
  <c r="BC93" i="2"/>
  <c r="BC94" i="2"/>
  <c r="BC95" i="2"/>
  <c r="BC96" i="2"/>
  <c r="BC109" i="2"/>
  <c r="BC110" i="2"/>
  <c r="BC111" i="2"/>
  <c r="BC112" i="2"/>
  <c r="BC113" i="2"/>
  <c r="BC125" i="2"/>
  <c r="BC126" i="2"/>
  <c r="BC127" i="2"/>
  <c r="BC128" i="2"/>
  <c r="BC141" i="2"/>
  <c r="BC142" i="2"/>
  <c r="BC143" i="2"/>
  <c r="BC144" i="2"/>
  <c r="BC145" i="2"/>
  <c r="BC146" i="2"/>
  <c r="BC157" i="2"/>
  <c r="BC158" i="2"/>
  <c r="BC159" i="2"/>
  <c r="BC160" i="2"/>
  <c r="BC161" i="2"/>
  <c r="BC162" i="2"/>
  <c r="BC163" i="2"/>
  <c r="BC164" i="2"/>
  <c r="BC173" i="2"/>
  <c r="BC174" i="2"/>
  <c r="BC175" i="2"/>
  <c r="BC176" i="2"/>
  <c r="BC177" i="2"/>
  <c r="BC178" i="2"/>
  <c r="BC179" i="2"/>
  <c r="BC180" i="2"/>
  <c r="BC181" i="2"/>
  <c r="BC189" i="2"/>
  <c r="BC190" i="2"/>
  <c r="BC191" i="2"/>
  <c r="BC192" i="2"/>
  <c r="BC193" i="2"/>
  <c r="BC194" i="2"/>
  <c r="BC195" i="2"/>
  <c r="BC196" i="2"/>
  <c r="BC197" i="2"/>
  <c r="BC198" i="2"/>
  <c r="BC199" i="2"/>
  <c r="BC205" i="2"/>
  <c r="BC206" i="2"/>
  <c r="BC207" i="2"/>
  <c r="BC208" i="2"/>
  <c r="BC209" i="2"/>
  <c r="BC210" i="2"/>
  <c r="BC212" i="2"/>
  <c r="BC213" i="2"/>
  <c r="BC214" i="2"/>
  <c r="BC215" i="2"/>
  <c r="BC216" i="2"/>
  <c r="BC217" i="2"/>
  <c r="BA3" i="2"/>
  <c r="BA32" i="2"/>
  <c r="BA33" i="2"/>
  <c r="BA34" i="2"/>
  <c r="BA35" i="2"/>
  <c r="BA36" i="2"/>
  <c r="BA37" i="2"/>
  <c r="BA38" i="2"/>
  <c r="BA39" i="2"/>
  <c r="BA40" i="2"/>
  <c r="BA41" i="2"/>
  <c r="BA42" i="2"/>
  <c r="BA45" i="2"/>
  <c r="BA46" i="2"/>
  <c r="BA48" i="2"/>
  <c r="BA49" i="2"/>
  <c r="BA50" i="2"/>
  <c r="BA51" i="2"/>
  <c r="BA52" i="2"/>
  <c r="BA53" i="2"/>
  <c r="BA54" i="2"/>
  <c r="BA55" i="2"/>
  <c r="BA58" i="2"/>
  <c r="BA61" i="2"/>
  <c r="BA62" i="2"/>
  <c r="BA63" i="2"/>
  <c r="BA64" i="2"/>
  <c r="BA65" i="2"/>
  <c r="BA66" i="2"/>
  <c r="BA67" i="2"/>
  <c r="BA69" i="2"/>
  <c r="BA71" i="2"/>
  <c r="BA72" i="2"/>
  <c r="BA73" i="2"/>
  <c r="BA74" i="2"/>
  <c r="BA77" i="2"/>
  <c r="BA78" i="2"/>
  <c r="BA79" i="2"/>
  <c r="BA80" i="2"/>
  <c r="BA81" i="2"/>
  <c r="BA93" i="2"/>
  <c r="BA94" i="2"/>
  <c r="BA97" i="2"/>
  <c r="BA109" i="2"/>
  <c r="BA110" i="2"/>
  <c r="BA111" i="2"/>
  <c r="BA113" i="2"/>
  <c r="BA125" i="2"/>
  <c r="BA126" i="2"/>
  <c r="BA127" i="2"/>
  <c r="BA128" i="2"/>
  <c r="BA129" i="2"/>
  <c r="BA141" i="2"/>
  <c r="BA142" i="2"/>
  <c r="BA143" i="2"/>
  <c r="BA144" i="2"/>
  <c r="BA145" i="2"/>
  <c r="BA157" i="2"/>
  <c r="BA158" i="2"/>
  <c r="BA159" i="2"/>
  <c r="BA160" i="2"/>
  <c r="BA161" i="2"/>
  <c r="BA162" i="2"/>
  <c r="BA163" i="2"/>
  <c r="BA173" i="2"/>
  <c r="BA174" i="2"/>
  <c r="BA175" i="2"/>
  <c r="BA176" i="2"/>
  <c r="BA177" i="2"/>
  <c r="BA178" i="2"/>
  <c r="BA179" i="2"/>
  <c r="BA180" i="2"/>
  <c r="BA189" i="2"/>
  <c r="BA190" i="2"/>
  <c r="BA191" i="2"/>
  <c r="BA192" i="2"/>
  <c r="BA193" i="2"/>
  <c r="BA194" i="2"/>
  <c r="BA195" i="2"/>
  <c r="BA196" i="2"/>
  <c r="BA197" i="2"/>
  <c r="BA198" i="2"/>
  <c r="BA205" i="2"/>
  <c r="BA206" i="2"/>
  <c r="BA207" i="2"/>
  <c r="BA208" i="2"/>
  <c r="BA209" i="2"/>
  <c r="BA210" i="2"/>
  <c r="BA212" i="2"/>
  <c r="BA213" i="2"/>
  <c r="BA214" i="2"/>
  <c r="BA215" i="2"/>
  <c r="BA216" i="2"/>
  <c r="BB4" i="2"/>
  <c r="BB5" i="2"/>
  <c r="BB6" i="2"/>
  <c r="BB7" i="2"/>
  <c r="BB8" i="2"/>
  <c r="BB9" i="2"/>
  <c r="BB10" i="2"/>
  <c r="BC10" i="2" s="1"/>
  <c r="BB11" i="2"/>
  <c r="BC11" i="2" s="1"/>
  <c r="BB12" i="2"/>
  <c r="BC12" i="2" s="1"/>
  <c r="BB13" i="2"/>
  <c r="BC13" i="2" s="1"/>
  <c r="BB14" i="2"/>
  <c r="BC14" i="2" s="1"/>
  <c r="BB15" i="2"/>
  <c r="BC15" i="2" s="1"/>
  <c r="BB16" i="2"/>
  <c r="BC16" i="2" s="1"/>
  <c r="BB17" i="2"/>
  <c r="BC17" i="2" s="1"/>
  <c r="BB18" i="2"/>
  <c r="BC18" i="2" s="1"/>
  <c r="BB19" i="2"/>
  <c r="BC19" i="2" s="1"/>
  <c r="BB20" i="2"/>
  <c r="BB21" i="2"/>
  <c r="BB22" i="2"/>
  <c r="BB23" i="2"/>
  <c r="BB24" i="2"/>
  <c r="BB25" i="2"/>
  <c r="BB26" i="2"/>
  <c r="BB27" i="2"/>
  <c r="BC27" i="2" s="1"/>
  <c r="BB28" i="2"/>
  <c r="BC28" i="2" s="1"/>
  <c r="BB3" i="2"/>
  <c r="BC4" i="2"/>
  <c r="BC5" i="2"/>
  <c r="BC6" i="2"/>
  <c r="BC7" i="2"/>
  <c r="BC8" i="2"/>
  <c r="BC9" i="2"/>
  <c r="BC20" i="2"/>
  <c r="BC21" i="2"/>
  <c r="BC22" i="2"/>
  <c r="BC23" i="2"/>
  <c r="BC24" i="2"/>
  <c r="BC25" i="2"/>
  <c r="BC26" i="2"/>
  <c r="BC3" i="2"/>
  <c r="BA4" i="2"/>
  <c r="BA5" i="2"/>
  <c r="BA6" i="2"/>
  <c r="BA7" i="2"/>
  <c r="BA20" i="2"/>
  <c r="BA21" i="2"/>
  <c r="BA22" i="2"/>
  <c r="BA23" i="2"/>
  <c r="BA155" i="1"/>
  <c r="BA7" i="1"/>
  <c r="BA22" i="1"/>
  <c r="BA23" i="1"/>
  <c r="BA26" i="1"/>
  <c r="BA27" i="1"/>
  <c r="BA28" i="1"/>
  <c r="BA34" i="1"/>
  <c r="BA35" i="1"/>
  <c r="BA36" i="1"/>
  <c r="BA37" i="1"/>
  <c r="BA38" i="1"/>
  <c r="BA40" i="1"/>
  <c r="BA41" i="1"/>
  <c r="BA42" i="1"/>
  <c r="BA43" i="1"/>
  <c r="BA44" i="1"/>
  <c r="BA50" i="1"/>
  <c r="BA51" i="1"/>
  <c r="BA52" i="1"/>
  <c r="BA53" i="1"/>
  <c r="BA54" i="1"/>
  <c r="BA55" i="1"/>
  <c r="BA56" i="1"/>
  <c r="BA57" i="1"/>
  <c r="BA58" i="1"/>
  <c r="BA59" i="1"/>
  <c r="BA60" i="1"/>
  <c r="BA62" i="1"/>
  <c r="BA66" i="1"/>
  <c r="BA69" i="1"/>
  <c r="BA70" i="1"/>
  <c r="BA71" i="1"/>
  <c r="BA72" i="1"/>
  <c r="BA73" i="1"/>
  <c r="BA74" i="1"/>
  <c r="BA75" i="1"/>
  <c r="BA76" i="1"/>
  <c r="BA82" i="1"/>
  <c r="BA85" i="1"/>
  <c r="BA86" i="1"/>
  <c r="BA88" i="1"/>
  <c r="BA89" i="1"/>
  <c r="BA90" i="1"/>
  <c r="BA91" i="1"/>
  <c r="BA92" i="1"/>
  <c r="BA93" i="1"/>
  <c r="BA98" i="1"/>
  <c r="BA104" i="1"/>
  <c r="BA105" i="1"/>
  <c r="BA106" i="1"/>
  <c r="BA107" i="1"/>
  <c r="BA108" i="1"/>
  <c r="BA109" i="1"/>
  <c r="BA110" i="1"/>
  <c r="BA114" i="1"/>
  <c r="BA120" i="1"/>
  <c r="BA121" i="1"/>
  <c r="BA122" i="1"/>
  <c r="BA123" i="1"/>
  <c r="BA124" i="1"/>
  <c r="BA125" i="1"/>
  <c r="BA126" i="1"/>
  <c r="BA132" i="1"/>
  <c r="BA133" i="1"/>
  <c r="BA137" i="1"/>
  <c r="BA138" i="1"/>
  <c r="BA139" i="1"/>
  <c r="BA140" i="1"/>
  <c r="BA141" i="1"/>
  <c r="BA142" i="1"/>
  <c r="BA144" i="1"/>
  <c r="BA146" i="1"/>
  <c r="BA148" i="1"/>
  <c r="BA149" i="1"/>
  <c r="BA150" i="1"/>
  <c r="BA153" i="1"/>
  <c r="BA156" i="1"/>
  <c r="BA157" i="1"/>
  <c r="BA158" i="1"/>
  <c r="BA159" i="1"/>
  <c r="BA160" i="1"/>
  <c r="BA161" i="1"/>
  <c r="BA162" i="1"/>
  <c r="BA163" i="1"/>
  <c r="BA165" i="1"/>
  <c r="BA166" i="1"/>
  <c r="BA168" i="1"/>
  <c r="BA169" i="1"/>
  <c r="BA170" i="1"/>
  <c r="BA178" i="1"/>
  <c r="BA179" i="1"/>
  <c r="BA3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4" i="1"/>
  <c r="BC145" i="1"/>
  <c r="BC146" i="1"/>
  <c r="BC147" i="1"/>
  <c r="BC148" i="1"/>
  <c r="BC149" i="1"/>
  <c r="BC150" i="1"/>
  <c r="BC151" i="1"/>
  <c r="BC152" i="1"/>
  <c r="BC153" i="1"/>
  <c r="BC155" i="1"/>
  <c r="BC156" i="1"/>
  <c r="BC157" i="1"/>
  <c r="BC158" i="1"/>
  <c r="BC159" i="1"/>
  <c r="BC160" i="1"/>
  <c r="BC161" i="1"/>
  <c r="BC162" i="1"/>
  <c r="BC163" i="1"/>
  <c r="BC165" i="1"/>
  <c r="BC166" i="1"/>
  <c r="BC167" i="1"/>
  <c r="BC168" i="1"/>
  <c r="BC169" i="1"/>
  <c r="BC170" i="1"/>
  <c r="BC171" i="1"/>
  <c r="BC172" i="1"/>
  <c r="BC174" i="1"/>
  <c r="BC175" i="1"/>
  <c r="BC176" i="1"/>
  <c r="BC177" i="1"/>
  <c r="BC178" i="1"/>
  <c r="BC179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3" i="1"/>
  <c r="BB144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5" i="1"/>
  <c r="BB146" i="1"/>
  <c r="BB147" i="1"/>
  <c r="BB148" i="1"/>
  <c r="BB149" i="1"/>
  <c r="BB150" i="1"/>
  <c r="BB151" i="1"/>
  <c r="BB152" i="1"/>
  <c r="BB153" i="1"/>
  <c r="BB155" i="1"/>
  <c r="BB156" i="1"/>
  <c r="BB157" i="1"/>
  <c r="BB158" i="1"/>
  <c r="BB159" i="1"/>
  <c r="BB160" i="1"/>
  <c r="BB161" i="1"/>
  <c r="BB162" i="1"/>
  <c r="BB163" i="1"/>
  <c r="BB165" i="1"/>
  <c r="BB166" i="1"/>
  <c r="BB167" i="1"/>
  <c r="BB168" i="1"/>
  <c r="BB169" i="1"/>
  <c r="BB170" i="1"/>
  <c r="BB171" i="1"/>
  <c r="BB172" i="1"/>
  <c r="BB174" i="1"/>
  <c r="BB175" i="1"/>
  <c r="BB176" i="1"/>
  <c r="BB177" i="1"/>
  <c r="BB178" i="1"/>
  <c r="BB179" i="1"/>
</calcChain>
</file>

<file path=xl/sharedStrings.xml><?xml version="1.0" encoding="utf-8"?>
<sst xmlns="http://schemas.openxmlformats.org/spreadsheetml/2006/main" count="538" uniqueCount="107">
  <si>
    <t>编号</t>
  </si>
  <si>
    <t>L/mm</t>
  </si>
  <si>
    <t>t/mm</t>
  </si>
  <si>
    <t>Re</t>
  </si>
  <si>
    <t>D/mm</t>
  </si>
  <si>
    <t>尺寸距形修正Re</t>
  </si>
  <si>
    <t>A/mm2</t>
  </si>
  <si>
    <t>T_inlet/℃</t>
  </si>
  <si>
    <t>P_inlet/Pa</t>
  </si>
  <si>
    <t>动力粘度Pas</t>
  </si>
  <si>
    <t>Cp/J/kgK</t>
  </si>
  <si>
    <t>m/kg/s</t>
  </si>
  <si>
    <t>密度/kg/m3</t>
  </si>
  <si>
    <t>速度/m/s</t>
  </si>
  <si>
    <t>标准流量SLM</t>
  </si>
  <si>
    <t>实际流量SLM</t>
  </si>
  <si>
    <t>电流1/A</t>
  </si>
  <si>
    <t>电压1/V</t>
  </si>
  <si>
    <t>电流2/A</t>
  </si>
  <si>
    <t>电压2/V</t>
  </si>
  <si>
    <t>功率1/W</t>
  </si>
  <si>
    <t>功率2/W</t>
  </si>
  <si>
    <t>总加热功率/W</t>
  </si>
  <si>
    <t>出口温度/℃</t>
  </si>
  <si>
    <t>加热面热密度/W/m2</t>
  </si>
  <si>
    <t>散热/W/m2</t>
  </si>
  <si>
    <t>实际加热功率/W/m2</t>
  </si>
  <si>
    <t>CFD质量流量/kg/s</t>
  </si>
  <si>
    <t>实际出口温度/℃</t>
  </si>
  <si>
    <t>CFD出口温度/K</t>
  </si>
  <si>
    <t>CFD_inletT</t>
  </si>
  <si>
    <t>CFD_outletT</t>
  </si>
  <si>
    <t>CFD_TPMST</t>
  </si>
  <si>
    <t>CFD_solidwall3T</t>
  </si>
  <si>
    <t>CFD_solidwall4T</t>
  </si>
  <si>
    <t>CFD_inletP</t>
  </si>
  <si>
    <t>Area_TPMS</t>
  </si>
  <si>
    <t>Area_Solidwall3</t>
  </si>
  <si>
    <t>Area_Solidwall4</t>
  </si>
  <si>
    <t>h/W/m2K</t>
  </si>
  <si>
    <t>Nu</t>
  </si>
  <si>
    <t>Pressureloss</t>
  </si>
  <si>
    <t>Inlet_Pressureloss</t>
  </si>
  <si>
    <t>Pressureloss_TPMS</t>
  </si>
  <si>
    <t>P_Exp/P_CFD</t>
  </si>
  <si>
    <t>f</t>
  </si>
  <si>
    <t>转折f</t>
  </si>
  <si>
    <t>摩擦压损</t>
  </si>
  <si>
    <t>G (千克每平方米每秒)</t>
  </si>
  <si>
    <t>==== D_8_03  (L=8mm, t=0.3mm, ε=0.855) ====</t>
  </si>
  <si>
    <t>D_8_03</t>
  </si>
  <si>
    <t>标况密度</t>
  </si>
  <si>
    <t>==== D_8_04  (L=8mm, t=0.4mm, ε=0.807) ====</t>
  </si>
  <si>
    <t>D_8_04</t>
  </si>
  <si>
    <t>==== D_8_05  (L=8mm, t=0.5mm, ε=0.760) ====</t>
  </si>
  <si>
    <t>D_8_05</t>
  </si>
  <si>
    <t>==== D_6_03  (L=6mm, t=0.3mm, ε=0.807) ====</t>
  </si>
  <si>
    <t>D_6_03</t>
  </si>
  <si>
    <t>==== D_6_04  (L=6mm, t=0.4mm, ε=0.745) ====</t>
  </si>
  <si>
    <t>D_6_04</t>
  </si>
  <si>
    <t>==== D_6_05  (L=6mm, t=0.5mm, ε=0.683) ====</t>
  </si>
  <si>
    <t>D_6_05</t>
  </si>
  <si>
    <t>==== D_5_03  (L=5mm, t=0.3mm, ε=0.770) ====</t>
  </si>
  <si>
    <t>D_5_03</t>
  </si>
  <si>
    <t>==== D_5_04  (L=5mm, t=0.4mm, ε=0.695) ====</t>
  </si>
  <si>
    <t>D_5_04</t>
  </si>
  <si>
    <t>==== D_5_05  (L=5mm, t=0.5mm, ε=0.622) ====</t>
  </si>
  <si>
    <t>D_5_05</t>
  </si>
  <si>
    <t>==== D_4_03  (L=4mm, t=0.3mm, ε=0.714) ====</t>
  </si>
  <si>
    <t>D_4_03</t>
  </si>
  <si>
    <t>==== D_4_04  (L=4mm, t=0.4mm, ε=0.622) ====</t>
  </si>
  <si>
    <t>D_4_04</t>
  </si>
  <si>
    <t>==== D_4_05  (L=4mm, t=0.5mm, ε=0.531) ====</t>
  </si>
  <si>
    <t>D_4_05</t>
  </si>
  <si>
    <t>==== G_8_03  (L=8mm, t=0.3mm, ε=0.884) ====</t>
  </si>
  <si>
    <t>G_8_03</t>
  </si>
  <si>
    <t>==== G_8_04  (L=8mm, t=0.4mm, ε=0.845) ====</t>
  </si>
  <si>
    <t>G_8_04</t>
  </si>
  <si>
    <t>==== G_8_05  (L=8mm, t=0.5mm, ε=0.807) ====</t>
  </si>
  <si>
    <t>G_8_05</t>
  </si>
  <si>
    <t>==== G_6_03  (L=6mm, t=0.3mm, ε=0.845) ====</t>
  </si>
  <si>
    <t>G_6_03</t>
  </si>
  <si>
    <t>==== G_6_04  (L=6mm, t=0.4mm, ε=0.794) ====</t>
  </si>
  <si>
    <t>G_6_04</t>
  </si>
  <si>
    <t>==== G_6_05  (L=6mm, t=0.5mm, ε=0.744) ====</t>
  </si>
  <si>
    <t>G_6_05</t>
  </si>
  <si>
    <t>==== G_5_03  (L=5mm, t=0.3mm, ε=0.815) ====</t>
  </si>
  <si>
    <t>G_5_03</t>
  </si>
  <si>
    <t>16/17分别取代8/9</t>
  </si>
  <si>
    <t>==== G_5_04  (L=5mm, t=0.4mm, ε=0.754) ====</t>
  </si>
  <si>
    <t>G_5_04</t>
  </si>
  <si>
    <t>==== G_5_05  (L=5mm, t=0.5mm, ε=0.694) ====</t>
  </si>
  <si>
    <t>G_5_05</t>
  </si>
  <si>
    <t>==== G_4_03  (L=4mm, t=0.3mm, ε=0.769) ====</t>
  </si>
  <si>
    <t>G_4_03</t>
  </si>
  <si>
    <t>==== G_4_04  (L=4mm, t=0.4mm, ε=0.694) ====</t>
  </si>
  <si>
    <t>G_4_04</t>
  </si>
  <si>
    <t>==== G_4_05  (L=4mm, t=0.5mm, ε=0.620) ====</t>
  </si>
  <si>
    <t>G_4_05</t>
  </si>
  <si>
    <t>Nu_pre_deepseek</t>
    <phoneticPr fontId="1" type="noConversion"/>
  </si>
  <si>
    <t>Nu_pre_gpt</t>
    <phoneticPr fontId="1" type="noConversion"/>
  </si>
  <si>
    <t>Pr</t>
    <phoneticPr fontId="1" type="noConversion"/>
  </si>
  <si>
    <t>ε</t>
    <phoneticPr fontId="1" type="noConversion"/>
  </si>
  <si>
    <t>误差1</t>
    <phoneticPr fontId="1" type="noConversion"/>
  </si>
  <si>
    <t>误差2</t>
    <phoneticPr fontId="1" type="noConversion"/>
  </si>
  <si>
    <t>误差(Exp Vs Gpt)</t>
    <phoneticPr fontId="1" type="noConversion"/>
  </si>
  <si>
    <t>误差(Exp Vs Deepseek)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</si>
</sst>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Diamond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347184208185006E-2"/>
          <c:y val="0.19178537458155023"/>
          <c:w val="0.89019685039370078"/>
          <c:h val="0.59736876640419945"/>
        </c:manualLayout>
      </c:layout>
      <c:lineChart>
        <c:grouping val="standard"/>
        <c:varyColors val="0"/>
        <c:ser>
          <c:idx val="0"/>
          <c:order val="0"/>
          <c:tx>
            <c:strRef>
              <c:f>Diamond_汇总!$AO$1</c:f>
              <c:strCache>
                <c:ptCount val="1"/>
                <c:pt idx="0">
                  <c:v>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Diamond_汇总!$AO$2:$AO$179</c:f>
              <c:numCache>
                <c:formatCode>General</c:formatCode>
                <c:ptCount val="178"/>
                <c:pt idx="1">
                  <c:v>11.16007675467096</c:v>
                </c:pt>
                <c:pt idx="2">
                  <c:v>16.140139346576721</c:v>
                </c:pt>
                <c:pt idx="3">
                  <c:v>19.99953361320577</c:v>
                </c:pt>
                <c:pt idx="4">
                  <c:v>23.558507376505069</c:v>
                </c:pt>
                <c:pt idx="5">
                  <c:v>26.254026539829528</c:v>
                </c:pt>
                <c:pt idx="6">
                  <c:v>29.011519355015519</c:v>
                </c:pt>
                <c:pt idx="7">
                  <c:v>31.150226411597821</c:v>
                </c:pt>
                <c:pt idx="8">
                  <c:v>33.915040227570643</c:v>
                </c:pt>
                <c:pt idx="9">
                  <c:v>35.54569531391531</c:v>
                </c:pt>
                <c:pt idx="10">
                  <c:v>40.827560628431947</c:v>
                </c:pt>
                <c:pt idx="11">
                  <c:v>47.368086099690402</c:v>
                </c:pt>
                <c:pt idx="12">
                  <c:v>51.854797973606672</c:v>
                </c:pt>
                <c:pt idx="13">
                  <c:v>55.646028463586347</c:v>
                </c:pt>
                <c:pt idx="14">
                  <c:v>62.533228861268483</c:v>
                </c:pt>
                <c:pt idx="15">
                  <c:v>68.454428220770453</c:v>
                </c:pt>
                <c:pt idx="16">
                  <c:v>82.119835733196794</c:v>
                </c:pt>
                <c:pt idx="17">
                  <c:v>91.525451879669987</c:v>
                </c:pt>
                <c:pt idx="18">
                  <c:v>106.3239858005595</c:v>
                </c:pt>
                <c:pt idx="19">
                  <c:v>123.56143244157241</c:v>
                </c:pt>
                <c:pt idx="20">
                  <c:v>145.99587530630379</c:v>
                </c:pt>
                <c:pt idx="21">
                  <c:v>170.53376992332429</c:v>
                </c:pt>
                <c:pt idx="24">
                  <c:v>10.926094957329431</c:v>
                </c:pt>
                <c:pt idx="25">
                  <c:v>16.065626836045329</c:v>
                </c:pt>
                <c:pt idx="26">
                  <c:v>20.070874273689689</c:v>
                </c:pt>
                <c:pt idx="27">
                  <c:v>23.48763008999676</c:v>
                </c:pt>
                <c:pt idx="28">
                  <c:v>26.76019938725538</c:v>
                </c:pt>
                <c:pt idx="29">
                  <c:v>29.163631531436309</c:v>
                </c:pt>
                <c:pt idx="30">
                  <c:v>31.314690513946541</c:v>
                </c:pt>
                <c:pt idx="31">
                  <c:v>33.635516411622532</c:v>
                </c:pt>
                <c:pt idx="32">
                  <c:v>36.051620485077947</c:v>
                </c:pt>
                <c:pt idx="33">
                  <c:v>41.439645790304347</c:v>
                </c:pt>
                <c:pt idx="34">
                  <c:v>47.93773256217645</c:v>
                </c:pt>
                <c:pt idx="35">
                  <c:v>52.538917213725412</c:v>
                </c:pt>
                <c:pt idx="36">
                  <c:v>57.668129616908757</c:v>
                </c:pt>
                <c:pt idx="37">
                  <c:v>64.527988219748607</c:v>
                </c:pt>
                <c:pt idx="38">
                  <c:v>71.945949874081975</c:v>
                </c:pt>
                <c:pt idx="39">
                  <c:v>90.182296148702846</c:v>
                </c:pt>
                <c:pt idx="40">
                  <c:v>99.924959334449213</c:v>
                </c:pt>
                <c:pt idx="41">
                  <c:v>119.4841584859187</c:v>
                </c:pt>
                <c:pt idx="42">
                  <c:v>140.65303392496779</c:v>
                </c:pt>
                <c:pt idx="43">
                  <c:v>177.3068098331662</c:v>
                </c:pt>
                <c:pt idx="46">
                  <c:v>10.67965175907363</c:v>
                </c:pt>
                <c:pt idx="47">
                  <c:v>15.671275404840189</c:v>
                </c:pt>
                <c:pt idx="48">
                  <c:v>19.752528483342189</c:v>
                </c:pt>
                <c:pt idx="49">
                  <c:v>23.017507962860751</c:v>
                </c:pt>
                <c:pt idx="50">
                  <c:v>26.035676946116439</c:v>
                </c:pt>
                <c:pt idx="51">
                  <c:v>28.90262751132521</c:v>
                </c:pt>
                <c:pt idx="52">
                  <c:v>31.14552885805314</c:v>
                </c:pt>
                <c:pt idx="53">
                  <c:v>33.59516727054681</c:v>
                </c:pt>
                <c:pt idx="54">
                  <c:v>36.308993694850763</c:v>
                </c:pt>
                <c:pt idx="55">
                  <c:v>41.088934133688753</c:v>
                </c:pt>
                <c:pt idx="56">
                  <c:v>48.148878042649251</c:v>
                </c:pt>
                <c:pt idx="57">
                  <c:v>52.855600547083853</c:v>
                </c:pt>
                <c:pt idx="58">
                  <c:v>59.606652622579333</c:v>
                </c:pt>
                <c:pt idx="59">
                  <c:v>64.820409868344782</c:v>
                </c:pt>
                <c:pt idx="60">
                  <c:v>73.857944725982975</c:v>
                </c:pt>
                <c:pt idx="61">
                  <c:v>93.806003465187516</c:v>
                </c:pt>
                <c:pt idx="62">
                  <c:v>102.1525655245308</c:v>
                </c:pt>
                <c:pt idx="63">
                  <c:v>127.1570089108844</c:v>
                </c:pt>
                <c:pt idx="64">
                  <c:v>157.8018053980424</c:v>
                </c:pt>
                <c:pt idx="67">
                  <c:v>10.076929292125159</c:v>
                </c:pt>
                <c:pt idx="68">
                  <c:v>14.602982899087809</c:v>
                </c:pt>
                <c:pt idx="69">
                  <c:v>18.217621712948279</c:v>
                </c:pt>
                <c:pt idx="70">
                  <c:v>21.78994437183902</c:v>
                </c:pt>
                <c:pt idx="71">
                  <c:v>24.780077779436201</c:v>
                </c:pt>
                <c:pt idx="72">
                  <c:v>27.330161431629939</c:v>
                </c:pt>
                <c:pt idx="73">
                  <c:v>29.66256777907461</c:v>
                </c:pt>
                <c:pt idx="74">
                  <c:v>32.265136316678777</c:v>
                </c:pt>
                <c:pt idx="75">
                  <c:v>35.730004449534498</c:v>
                </c:pt>
                <c:pt idx="76">
                  <c:v>41.718290054042761</c:v>
                </c:pt>
                <c:pt idx="77">
                  <c:v>48.239513936290749</c:v>
                </c:pt>
                <c:pt idx="78">
                  <c:v>54.645464716861113</c:v>
                </c:pt>
                <c:pt idx="79">
                  <c:v>64.060278674963371</c:v>
                </c:pt>
                <c:pt idx="80">
                  <c:v>68.935875370363632</c:v>
                </c:pt>
                <c:pt idx="81">
                  <c:v>73.951677279247036</c:v>
                </c:pt>
                <c:pt idx="83">
                  <c:v>9.7191321020602626</c:v>
                </c:pt>
                <c:pt idx="84">
                  <c:v>14.608141291810149</c:v>
                </c:pt>
                <c:pt idx="85">
                  <c:v>18.51262377999306</c:v>
                </c:pt>
                <c:pt idx="86">
                  <c:v>21.993771044876169</c:v>
                </c:pt>
                <c:pt idx="87">
                  <c:v>25.031750573875978</c:v>
                </c:pt>
                <c:pt idx="88">
                  <c:v>28.176979328685881</c:v>
                </c:pt>
                <c:pt idx="89">
                  <c:v>30.660502532045669</c:v>
                </c:pt>
                <c:pt idx="90">
                  <c:v>33.782347780004223</c:v>
                </c:pt>
                <c:pt idx="91">
                  <c:v>36.65153808895483</c:v>
                </c:pt>
                <c:pt idx="92">
                  <c:v>43.782794470471352</c:v>
                </c:pt>
                <c:pt idx="93">
                  <c:v>49.858263477521433</c:v>
                </c:pt>
                <c:pt idx="94">
                  <c:v>59.634686129892891</c:v>
                </c:pt>
                <c:pt idx="95">
                  <c:v>66.121348109567634</c:v>
                </c:pt>
                <c:pt idx="96">
                  <c:v>70.252017065136883</c:v>
                </c:pt>
                <c:pt idx="97">
                  <c:v>85.316476724253462</c:v>
                </c:pt>
                <c:pt idx="99">
                  <c:v>8.2223671475892726</c:v>
                </c:pt>
                <c:pt idx="100">
                  <c:v>14.377076423951531</c:v>
                </c:pt>
                <c:pt idx="101">
                  <c:v>18.189313193334421</c:v>
                </c:pt>
                <c:pt idx="102">
                  <c:v>23.01784363000489</c:v>
                </c:pt>
                <c:pt idx="103">
                  <c:v>27.091444389030681</c:v>
                </c:pt>
                <c:pt idx="104">
                  <c:v>30.79583122740307</c:v>
                </c:pt>
                <c:pt idx="105">
                  <c:v>34.648898674861627</c:v>
                </c:pt>
                <c:pt idx="106">
                  <c:v>38.050511405915678</c:v>
                </c:pt>
                <c:pt idx="107">
                  <c:v>41.743550082794727</c:v>
                </c:pt>
                <c:pt idx="108">
                  <c:v>51.958286985307723</c:v>
                </c:pt>
                <c:pt idx="109">
                  <c:v>58.495422244711222</c:v>
                </c:pt>
                <c:pt idx="110">
                  <c:v>69.59407964907389</c:v>
                </c:pt>
                <c:pt idx="111">
                  <c:v>81.046063196089477</c:v>
                </c:pt>
                <c:pt idx="112">
                  <c:v>87.952638530534998</c:v>
                </c:pt>
                <c:pt idx="113">
                  <c:v>108.86151693947861</c:v>
                </c:pt>
                <c:pt idx="115">
                  <c:v>13.620215816825651</c:v>
                </c:pt>
                <c:pt idx="116">
                  <c:v>17.27060799064504</c:v>
                </c:pt>
                <c:pt idx="117">
                  <c:v>20.248237566633069</c:v>
                </c:pt>
                <c:pt idx="118">
                  <c:v>23.78965226073386</c:v>
                </c:pt>
                <c:pt idx="119">
                  <c:v>26.981807524659509</c:v>
                </c:pt>
                <c:pt idx="120">
                  <c:v>30.111049049988079</c:v>
                </c:pt>
                <c:pt idx="121">
                  <c:v>33.341084864062587</c:v>
                </c:pt>
                <c:pt idx="122">
                  <c:v>36.08081968942934</c:v>
                </c:pt>
                <c:pt idx="123">
                  <c:v>42.921420852374247</c:v>
                </c:pt>
                <c:pt idx="124">
                  <c:v>54.314152293758497</c:v>
                </c:pt>
                <c:pt idx="125">
                  <c:v>64.537558335079609</c:v>
                </c:pt>
                <c:pt idx="126">
                  <c:v>71.558382149556053</c:v>
                </c:pt>
                <c:pt idx="127">
                  <c:v>85.354706582114247</c:v>
                </c:pt>
                <c:pt idx="129">
                  <c:v>12.67881940850153</c:v>
                </c:pt>
                <c:pt idx="130">
                  <c:v>16.505499130785481</c:v>
                </c:pt>
                <c:pt idx="131">
                  <c:v>19.779403907642461</c:v>
                </c:pt>
                <c:pt idx="132">
                  <c:v>23.10840587572849</c:v>
                </c:pt>
                <c:pt idx="133">
                  <c:v>26.33430265258227</c:v>
                </c:pt>
                <c:pt idx="134">
                  <c:v>29.774456005097221</c:v>
                </c:pt>
                <c:pt idx="135">
                  <c:v>32.572142867094072</c:v>
                </c:pt>
                <c:pt idx="136">
                  <c:v>35.892423519609643</c:v>
                </c:pt>
                <c:pt idx="137">
                  <c:v>45.713471577421878</c:v>
                </c:pt>
                <c:pt idx="138">
                  <c:v>53.565196977182048</c:v>
                </c:pt>
                <c:pt idx="139">
                  <c:v>66.527545671617887</c:v>
                </c:pt>
                <c:pt idx="140">
                  <c:v>76.349928781206842</c:v>
                </c:pt>
                <c:pt idx="142">
                  <c:v>11.71754224638047</c:v>
                </c:pt>
                <c:pt idx="143">
                  <c:v>15.26656404060382</c:v>
                </c:pt>
                <c:pt idx="144">
                  <c:v>18.911479905881261</c:v>
                </c:pt>
                <c:pt idx="145">
                  <c:v>22.3507553418148</c:v>
                </c:pt>
                <c:pt idx="146">
                  <c:v>25.083122175746048</c:v>
                </c:pt>
                <c:pt idx="147">
                  <c:v>28.846441269817849</c:v>
                </c:pt>
                <c:pt idx="148">
                  <c:v>31.96424123523202</c:v>
                </c:pt>
                <c:pt idx="149">
                  <c:v>35.431672629658557</c:v>
                </c:pt>
                <c:pt idx="150">
                  <c:v>44.331528520181713</c:v>
                </c:pt>
                <c:pt idx="151">
                  <c:v>56.115817614661502</c:v>
                </c:pt>
                <c:pt idx="153">
                  <c:v>10.49314799406053</c:v>
                </c:pt>
                <c:pt idx="154">
                  <c:v>16.079378590496852</c:v>
                </c:pt>
                <c:pt idx="155">
                  <c:v>19.7047968135684</c:v>
                </c:pt>
                <c:pt idx="156">
                  <c:v>23.274365677120119</c:v>
                </c:pt>
                <c:pt idx="157">
                  <c:v>27.13386630963608</c:v>
                </c:pt>
                <c:pt idx="158">
                  <c:v>30.16332535168225</c:v>
                </c:pt>
                <c:pt idx="159">
                  <c:v>33.794955908131257</c:v>
                </c:pt>
                <c:pt idx="160">
                  <c:v>37.974425528518353</c:v>
                </c:pt>
                <c:pt idx="161">
                  <c:v>47.917019254647663</c:v>
                </c:pt>
                <c:pt idx="163">
                  <c:v>12.046516871060611</c:v>
                </c:pt>
                <c:pt idx="164">
                  <c:v>16.067367450003651</c:v>
                </c:pt>
                <c:pt idx="165">
                  <c:v>19.906081072257301</c:v>
                </c:pt>
                <c:pt idx="166">
                  <c:v>23.843830793440809</c:v>
                </c:pt>
                <c:pt idx="167">
                  <c:v>27.967636402903949</c:v>
                </c:pt>
                <c:pt idx="168">
                  <c:v>32.775099356774277</c:v>
                </c:pt>
                <c:pt idx="169">
                  <c:v>35.917387817099282</c:v>
                </c:pt>
                <c:pt idx="170">
                  <c:v>41.077029194788139</c:v>
                </c:pt>
                <c:pt idx="172">
                  <c:v>9.547654432503963</c:v>
                </c:pt>
                <c:pt idx="173">
                  <c:v>12.91924839163395</c:v>
                </c:pt>
                <c:pt idx="174">
                  <c:v>16.32920904856817</c:v>
                </c:pt>
                <c:pt idx="175">
                  <c:v>20.1560371637723</c:v>
                </c:pt>
                <c:pt idx="176">
                  <c:v>23.976866285526</c:v>
                </c:pt>
                <c:pt idx="177">
                  <c:v>28.166954294772381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B-40B5-B3C0-A536B25EDB2C}"/>
            </c:ext>
          </c:extLst>
        </c:ser>
        <c:ser>
          <c:idx val="1"/>
          <c:order val="1"/>
          <c:tx>
            <c:strRef>
              <c:f>Diamond_汇总!$AZ$1</c:f>
              <c:strCache>
                <c:ptCount val="1"/>
                <c:pt idx="0">
                  <c:v>Nu_pre_deepseek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Diamond_汇总!$AZ$2:$AZ$179</c:f>
              <c:numCache>
                <c:formatCode>General</c:formatCode>
                <c:ptCount val="178"/>
                <c:pt idx="1">
                  <c:v>10.032940190000861</c:v>
                </c:pt>
                <c:pt idx="2">
                  <c:v>14.031642846733579</c:v>
                </c:pt>
                <c:pt idx="3">
                  <c:v>17.802063206801733</c:v>
                </c:pt>
                <c:pt idx="4">
                  <c:v>21.411347126951807</c:v>
                </c:pt>
                <c:pt idx="5">
                  <c:v>24.897207411020869</c:v>
                </c:pt>
                <c:pt idx="6">
                  <c:v>28.283667062295308</c:v>
                </c:pt>
                <c:pt idx="7">
                  <c:v>31.587296287763159</c:v>
                </c:pt>
                <c:pt idx="8">
                  <c:v>34.820173912794303</c:v>
                </c:pt>
                <c:pt idx="9">
                  <c:v>37.991470862813586</c:v>
                </c:pt>
                <c:pt idx="10">
                  <c:v>45.6940614724016</c:v>
                </c:pt>
                <c:pt idx="11">
                  <c:v>53.133253091688104</c:v>
                </c:pt>
                <c:pt idx="12">
                  <c:v>60.360313330432277</c:v>
                </c:pt>
                <c:pt idx="13">
                  <c:v>67.410604749066664</c:v>
                </c:pt>
                <c:pt idx="14">
                  <c:v>74.309904828367834</c:v>
                </c:pt>
                <c:pt idx="15">
                  <c:v>81.077785285502429</c:v>
                </c:pt>
                <c:pt idx="16">
                  <c:v>94.277600783857935</c:v>
                </c:pt>
                <c:pt idx="17">
                  <c:v>107.10101851914064</c:v>
                </c:pt>
                <c:pt idx="18">
                  <c:v>119.61078445853975</c:v>
                </c:pt>
                <c:pt idx="19">
                  <c:v>131.85263717254483</c:v>
                </c:pt>
                <c:pt idx="20">
                  <c:v>143.86130396336887</c:v>
                </c:pt>
                <c:pt idx="21">
                  <c:v>155.66399097626444</c:v>
                </c:pt>
                <c:pt idx="24">
                  <c:v>9.9233539643123816</c:v>
                </c:pt>
                <c:pt idx="25">
                  <c:v>13.878380218763887</c:v>
                </c:pt>
                <c:pt idx="26">
                  <c:v>17.607617622620396</c:v>
                </c:pt>
                <c:pt idx="27">
                  <c:v>21.177478622394492</c:v>
                </c:pt>
                <c:pt idx="28">
                  <c:v>24.625264098423809</c:v>
                </c:pt>
                <c:pt idx="29">
                  <c:v>27.974734659301859</c:v>
                </c:pt>
                <c:pt idx="30">
                  <c:v>31.242279521558419</c:v>
                </c:pt>
                <c:pt idx="31">
                  <c:v>34.439845577863871</c:v>
                </c:pt>
                <c:pt idx="32">
                  <c:v>37.576503582897089</c:v>
                </c:pt>
                <c:pt idx="33">
                  <c:v>45.194961543735786</c:v>
                </c:pt>
                <c:pt idx="34">
                  <c:v>52.552897527456608</c:v>
                </c:pt>
                <c:pt idx="35">
                  <c:v>59.701019166010923</c:v>
                </c:pt>
                <c:pt idx="36">
                  <c:v>66.674302767201922</c:v>
                </c:pt>
                <c:pt idx="37">
                  <c:v>73.498244253581717</c:v>
                </c:pt>
                <c:pt idx="38">
                  <c:v>80.192201567434012</c:v>
                </c:pt>
                <c:pt idx="39">
                  <c:v>93.2478401911291</c:v>
                </c:pt>
                <c:pt idx="40">
                  <c:v>105.9311923102092</c:v>
                </c:pt>
                <c:pt idx="41">
                  <c:v>118.30431854005325</c:v>
                </c:pt>
                <c:pt idx="42">
                  <c:v>130.41245786506602</c:v>
                </c:pt>
                <c:pt idx="43">
                  <c:v>142.28995827353006</c:v>
                </c:pt>
                <c:pt idx="46">
                  <c:v>9.8081870569415255</c:v>
                </c:pt>
                <c:pt idx="47">
                  <c:v>13.717312687074498</c:v>
                </c:pt>
                <c:pt idx="48">
                  <c:v>17.40326989149456</c:v>
                </c:pt>
                <c:pt idx="49">
                  <c:v>20.931700357543228</c:v>
                </c:pt>
                <c:pt idx="50">
                  <c:v>24.339472064842692</c:v>
                </c:pt>
                <c:pt idx="51">
                  <c:v>27.650069864836336</c:v>
                </c:pt>
                <c:pt idx="52">
                  <c:v>30.879692766651395</c:v>
                </c:pt>
                <c:pt idx="53">
                  <c:v>34.040149011582287</c:v>
                </c:pt>
                <c:pt idx="54">
                  <c:v>37.140404082363752</c:v>
                </c:pt>
                <c:pt idx="55">
                  <c:v>44.670444936905511</c:v>
                </c:pt>
                <c:pt idx="56">
                  <c:v>51.942987339491829</c:v>
                </c:pt>
                <c:pt idx="57">
                  <c:v>59.008150427380357</c:v>
                </c:pt>
                <c:pt idx="58">
                  <c:v>65.900504585818709</c:v>
                </c:pt>
                <c:pt idx="59">
                  <c:v>72.645249840773886</c:v>
                </c:pt>
                <c:pt idx="60">
                  <c:v>79.261519473154635</c:v>
                </c:pt>
                <c:pt idx="61">
                  <c:v>92.165639010717172</c:v>
                </c:pt>
                <c:pt idx="62">
                  <c:v>104.70179266807725</c:v>
                </c:pt>
                <c:pt idx="63">
                  <c:v>116.93132080724298</c:v>
                </c:pt>
                <c:pt idx="64">
                  <c:v>128.89893738509872</c:v>
                </c:pt>
                <c:pt idx="67">
                  <c:v>9.9218821520972984</c:v>
                </c:pt>
                <c:pt idx="68">
                  <c:v>13.876321804884366</c:v>
                </c:pt>
                <c:pt idx="69">
                  <c:v>17.605006095631769</c:v>
                </c:pt>
                <c:pt idx="70">
                  <c:v>21.174337620689506</c:v>
                </c:pt>
                <c:pt idx="71">
                  <c:v>24.62161172800247</c:v>
                </c:pt>
                <c:pt idx="72">
                  <c:v>27.970585502037761</c:v>
                </c:pt>
                <c:pt idx="73">
                  <c:v>31.237645728508991</c:v>
                </c:pt>
                <c:pt idx="74">
                  <c:v>34.434737528147075</c:v>
                </c:pt>
                <c:pt idx="75">
                  <c:v>37.57093031027452</c:v>
                </c:pt>
                <c:pt idx="76">
                  <c:v>45.188258316510442</c:v>
                </c:pt>
                <c:pt idx="77">
                  <c:v>52.545102985732392</c:v>
                </c:pt>
                <c:pt idx="78">
                  <c:v>59.692164429036154</c:v>
                </c:pt>
                <c:pt idx="79">
                  <c:v>66.664413766608192</c:v>
                </c:pt>
                <c:pt idx="80">
                  <c:v>73.487343139495835</c:v>
                </c:pt>
                <c:pt idx="81">
                  <c:v>80.180307618851117</c:v>
                </c:pt>
                <c:pt idx="83">
                  <c:v>9.7713354043923282</c:v>
                </c:pt>
                <c:pt idx="84">
                  <c:v>13.665773535331363</c:v>
                </c:pt>
                <c:pt idx="85">
                  <c:v>17.337881736523823</c:v>
                </c:pt>
                <c:pt idx="86">
                  <c:v>20.853055064140698</c:v>
                </c:pt>
                <c:pt idx="87">
                  <c:v>24.248022976182657</c:v>
                </c:pt>
                <c:pt idx="88">
                  <c:v>27.546182086013967</c:v>
                </c:pt>
                <c:pt idx="89">
                  <c:v>30.763670539296221</c:v>
                </c:pt>
                <c:pt idx="90">
                  <c:v>33.91225221099976</c:v>
                </c:pt>
                <c:pt idx="91">
                  <c:v>37.000858898444015</c:v>
                </c:pt>
                <c:pt idx="92">
                  <c:v>44.50260762849409</c:v>
                </c:pt>
                <c:pt idx="93">
                  <c:v>51.747825388492174</c:v>
                </c:pt>
                <c:pt idx="94">
                  <c:v>58.786443006376231</c:v>
                </c:pt>
                <c:pt idx="95">
                  <c:v>65.652900978371747</c:v>
                </c:pt>
                <c:pt idx="96">
                  <c:v>72.372304648054794</c:v>
                </c:pt>
                <c:pt idx="97">
                  <c:v>78.963715408123193</c:v>
                </c:pt>
                <c:pt idx="99">
                  <c:v>9.6185595622652045</c:v>
                </c:pt>
                <c:pt idx="100">
                  <c:v>13.452107749256687</c:v>
                </c:pt>
                <c:pt idx="101">
                  <c:v>17.066802158004062</c:v>
                </c:pt>
                <c:pt idx="102">
                  <c:v>20.527015386195007</c:v>
                </c:pt>
                <c:pt idx="103">
                  <c:v>23.868902622946301</c:v>
                </c:pt>
                <c:pt idx="104">
                  <c:v>27.115494673146515</c:v>
                </c:pt>
                <c:pt idx="105">
                  <c:v>30.282677360876651</c:v>
                </c:pt>
                <c:pt idx="106">
                  <c:v>33.382030631702229</c:v>
                </c:pt>
                <c:pt idx="107">
                  <c:v>36.422346633365528</c:v>
                </c:pt>
                <c:pt idx="108">
                  <c:v>43.806804744249632</c:v>
                </c:pt>
                <c:pt idx="109">
                  <c:v>50.938742773395326</c:v>
                </c:pt>
                <c:pt idx="110">
                  <c:v>57.867310875068959</c:v>
                </c:pt>
                <c:pt idx="111">
                  <c:v>64.626411064766828</c:v>
                </c:pt>
                <c:pt idx="112">
                  <c:v>71.240756161415277</c:v>
                </c:pt>
                <c:pt idx="113">
                  <c:v>77.729109530861038</c:v>
                </c:pt>
                <c:pt idx="115">
                  <c:v>13.749371403514797</c:v>
                </c:pt>
                <c:pt idx="116">
                  <c:v>17.443943054475756</c:v>
                </c:pt>
                <c:pt idx="117">
                  <c:v>20.9806198114978</c:v>
                </c:pt>
                <c:pt idx="118">
                  <c:v>24.396355818317868</c:v>
                </c:pt>
                <c:pt idx="119">
                  <c:v>27.714690812799891</c:v>
                </c:pt>
                <c:pt idx="120">
                  <c:v>30.95186166275759</c:v>
                </c:pt>
                <c:pt idx="121">
                  <c:v>34.119704206513155</c:v>
                </c:pt>
                <c:pt idx="122">
                  <c:v>37.227204880021191</c:v>
                </c:pt>
                <c:pt idx="123">
                  <c:v>44.774844184787625</c:v>
                </c:pt>
                <c:pt idx="124">
                  <c:v>52.06438323824888</c:v>
                </c:pt>
                <c:pt idx="125">
                  <c:v>59.146058311043348</c:v>
                </c:pt>
                <c:pt idx="126">
                  <c:v>66.054520582828104</c:v>
                </c:pt>
                <c:pt idx="127">
                  <c:v>72.815028974523216</c:v>
                </c:pt>
                <c:pt idx="129">
                  <c:v>13.494820085067031</c:v>
                </c:pt>
                <c:pt idx="130">
                  <c:v>17.120991657417019</c:v>
                </c:pt>
                <c:pt idx="131">
                  <c:v>20.592191549715384</c:v>
                </c:pt>
                <c:pt idx="132">
                  <c:v>23.944689748894056</c:v>
                </c:pt>
                <c:pt idx="133">
                  <c:v>27.20159018588927</c:v>
                </c:pt>
                <c:pt idx="134">
                  <c:v>30.378829124509789</c:v>
                </c:pt>
                <c:pt idx="135">
                  <c:v>33.488023278278462</c:v>
                </c:pt>
                <c:pt idx="136">
                  <c:v>36.537992711244364</c:v>
                </c:pt>
                <c:pt idx="137">
                  <c:v>43.945897516169929</c:v>
                </c:pt>
                <c:pt idx="138">
                  <c:v>51.100480452549299</c:v>
                </c:pt>
                <c:pt idx="139">
                  <c:v>58.051047733307705</c:v>
                </c:pt>
                <c:pt idx="140">
                  <c:v>64.831609017613161</c:v>
                </c:pt>
                <c:pt idx="142">
                  <c:v>13.233581803943624</c:v>
                </c:pt>
                <c:pt idx="143">
                  <c:v>16.789556454611972</c:v>
                </c:pt>
                <c:pt idx="144">
                  <c:v>20.193559430791151</c:v>
                </c:pt>
                <c:pt idx="145">
                  <c:v>23.481158590078813</c:v>
                </c:pt>
                <c:pt idx="146">
                  <c:v>26.675010608007501</c:v>
                </c:pt>
                <c:pt idx="147">
                  <c:v>29.790743247632445</c:v>
                </c:pt>
                <c:pt idx="148">
                  <c:v>32.839748341355168</c:v>
                </c:pt>
                <c:pt idx="149">
                  <c:v>35.83067521079488</c:v>
                </c:pt>
                <c:pt idx="150">
                  <c:v>43.095174745715696</c:v>
                </c:pt>
                <c:pt idx="151">
                  <c:v>50.111256321078571</c:v>
                </c:pt>
                <c:pt idx="153">
                  <c:v>13.556525224361939</c:v>
                </c:pt>
                <c:pt idx="154">
                  <c:v>17.199277486233434</c:v>
                </c:pt>
                <c:pt idx="155">
                  <c:v>20.686349459191234</c:v>
                </c:pt>
                <c:pt idx="156">
                  <c:v>24.05417697488263</c:v>
                </c:pt>
                <c:pt idx="157">
                  <c:v>27.325969607095534</c:v>
                </c:pt>
                <c:pt idx="158">
                  <c:v>30.517736488292904</c:v>
                </c:pt>
                <c:pt idx="159">
                  <c:v>33.641147449484265</c:v>
                </c:pt>
                <c:pt idx="160">
                  <c:v>36.70506288451022</c:v>
                </c:pt>
                <c:pt idx="161">
                  <c:v>44.146840375028468</c:v>
                </c:pt>
                <c:pt idx="163">
                  <c:v>13.233331694986283</c:v>
                </c:pt>
                <c:pt idx="164">
                  <c:v>16.789239139275786</c:v>
                </c:pt>
                <c:pt idx="165">
                  <c:v>20.193177781274862</c:v>
                </c:pt>
                <c:pt idx="166">
                  <c:v>23.480714806364084</c:v>
                </c:pt>
                <c:pt idx="167">
                  <c:v>26.67450646187465</c:v>
                </c:pt>
                <c:pt idx="168">
                  <c:v>29.790180215503845</c:v>
                </c:pt>
                <c:pt idx="169">
                  <c:v>32.839127684352498</c:v>
                </c:pt>
                <c:pt idx="170">
                  <c:v>35.829998026571403</c:v>
                </c:pt>
                <c:pt idx="172">
                  <c:v>12.908481095257416</c:v>
                </c:pt>
                <c:pt idx="173">
                  <c:v>16.377098453234382</c:v>
                </c:pt>
                <c:pt idx="174">
                  <c:v>19.697477524992156</c:v>
                </c:pt>
                <c:pt idx="175">
                  <c:v>22.904312395941638</c:v>
                </c:pt>
                <c:pt idx="176">
                  <c:v>26.019703149954758</c:v>
                </c:pt>
                <c:pt idx="177">
                  <c:v>29.058893633100425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1B-40B5-B3C0-A536B25E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01664"/>
        <c:axId val="528604064"/>
      </c:lineChart>
      <c:catAx>
        <c:axId val="528601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8604064"/>
        <c:crosses val="autoZero"/>
        <c:auto val="1"/>
        <c:lblAlgn val="ctr"/>
        <c:lblOffset val="100"/>
        <c:noMultiLvlLbl val="0"/>
      </c:catAx>
      <c:valAx>
        <c:axId val="5286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860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Diamond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Diamond_汇总!$AO$1</c:f>
              <c:strCache>
                <c:ptCount val="1"/>
                <c:pt idx="0">
                  <c:v>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Diamond_汇总!$AO$2:$AO$219</c:f>
              <c:numCache>
                <c:formatCode>General</c:formatCode>
                <c:ptCount val="218"/>
                <c:pt idx="1">
                  <c:v>11.16007675467096</c:v>
                </c:pt>
                <c:pt idx="2">
                  <c:v>16.140139346576721</c:v>
                </c:pt>
                <c:pt idx="3">
                  <c:v>19.99953361320577</c:v>
                </c:pt>
                <c:pt idx="4">
                  <c:v>23.558507376505069</c:v>
                </c:pt>
                <c:pt idx="5">
                  <c:v>26.254026539829528</c:v>
                </c:pt>
                <c:pt idx="6">
                  <c:v>29.011519355015519</c:v>
                </c:pt>
                <c:pt idx="7">
                  <c:v>31.150226411597821</c:v>
                </c:pt>
                <c:pt idx="8">
                  <c:v>33.915040227570643</c:v>
                </c:pt>
                <c:pt idx="9">
                  <c:v>35.54569531391531</c:v>
                </c:pt>
                <c:pt idx="10">
                  <c:v>40.827560628431947</c:v>
                </c:pt>
                <c:pt idx="11">
                  <c:v>47.368086099690402</c:v>
                </c:pt>
                <c:pt idx="12">
                  <c:v>51.854797973606672</c:v>
                </c:pt>
                <c:pt idx="13">
                  <c:v>55.646028463586347</c:v>
                </c:pt>
                <c:pt idx="14">
                  <c:v>62.533228861268483</c:v>
                </c:pt>
                <c:pt idx="15">
                  <c:v>68.454428220770453</c:v>
                </c:pt>
                <c:pt idx="16">
                  <c:v>82.119835733196794</c:v>
                </c:pt>
                <c:pt idx="17">
                  <c:v>91.525451879669987</c:v>
                </c:pt>
                <c:pt idx="18">
                  <c:v>106.3239858005595</c:v>
                </c:pt>
                <c:pt idx="19">
                  <c:v>123.56143244157241</c:v>
                </c:pt>
                <c:pt idx="20">
                  <c:v>145.99587530630379</c:v>
                </c:pt>
                <c:pt idx="21">
                  <c:v>170.53376992332429</c:v>
                </c:pt>
                <c:pt idx="24">
                  <c:v>10.926094957329431</c:v>
                </c:pt>
                <c:pt idx="25">
                  <c:v>16.065626836045329</c:v>
                </c:pt>
                <c:pt idx="26">
                  <c:v>20.070874273689689</c:v>
                </c:pt>
                <c:pt idx="27">
                  <c:v>23.48763008999676</c:v>
                </c:pt>
                <c:pt idx="28">
                  <c:v>26.76019938725538</c:v>
                </c:pt>
                <c:pt idx="29">
                  <c:v>29.163631531436309</c:v>
                </c:pt>
                <c:pt idx="30">
                  <c:v>31.314690513946541</c:v>
                </c:pt>
                <c:pt idx="31">
                  <c:v>33.635516411622532</c:v>
                </c:pt>
                <c:pt idx="32">
                  <c:v>36.051620485077947</c:v>
                </c:pt>
                <c:pt idx="33">
                  <c:v>41.439645790304347</c:v>
                </c:pt>
                <c:pt idx="34">
                  <c:v>47.93773256217645</c:v>
                </c:pt>
                <c:pt idx="35">
                  <c:v>52.538917213725412</c:v>
                </c:pt>
                <c:pt idx="36">
                  <c:v>57.668129616908757</c:v>
                </c:pt>
                <c:pt idx="37">
                  <c:v>64.527988219748607</c:v>
                </c:pt>
                <c:pt idx="38">
                  <c:v>71.945949874081975</c:v>
                </c:pt>
                <c:pt idx="39">
                  <c:v>90.182296148702846</c:v>
                </c:pt>
                <c:pt idx="40">
                  <c:v>99.924959334449213</c:v>
                </c:pt>
                <c:pt idx="41">
                  <c:v>119.4841584859187</c:v>
                </c:pt>
                <c:pt idx="42">
                  <c:v>140.65303392496779</c:v>
                </c:pt>
                <c:pt idx="43">
                  <c:v>177.3068098331662</c:v>
                </c:pt>
                <c:pt idx="46">
                  <c:v>10.67965175907363</c:v>
                </c:pt>
                <c:pt idx="47">
                  <c:v>15.671275404840189</c:v>
                </c:pt>
                <c:pt idx="48">
                  <c:v>19.752528483342189</c:v>
                </c:pt>
                <c:pt idx="49">
                  <c:v>23.017507962860751</c:v>
                </c:pt>
                <c:pt idx="50">
                  <c:v>26.035676946116439</c:v>
                </c:pt>
                <c:pt idx="51">
                  <c:v>28.90262751132521</c:v>
                </c:pt>
                <c:pt idx="52">
                  <c:v>31.14552885805314</c:v>
                </c:pt>
                <c:pt idx="53">
                  <c:v>33.59516727054681</c:v>
                </c:pt>
                <c:pt idx="54">
                  <c:v>36.308993694850763</c:v>
                </c:pt>
                <c:pt idx="55">
                  <c:v>41.088934133688753</c:v>
                </c:pt>
                <c:pt idx="56">
                  <c:v>48.148878042649251</c:v>
                </c:pt>
                <c:pt idx="57">
                  <c:v>52.855600547083853</c:v>
                </c:pt>
                <c:pt idx="58">
                  <c:v>59.606652622579333</c:v>
                </c:pt>
                <c:pt idx="59">
                  <c:v>64.820409868344782</c:v>
                </c:pt>
                <c:pt idx="60">
                  <c:v>73.857944725982975</c:v>
                </c:pt>
                <c:pt idx="61">
                  <c:v>93.806003465187516</c:v>
                </c:pt>
                <c:pt idx="62">
                  <c:v>102.1525655245308</c:v>
                </c:pt>
                <c:pt idx="63">
                  <c:v>127.1570089108844</c:v>
                </c:pt>
                <c:pt idx="64">
                  <c:v>157.8018053980424</c:v>
                </c:pt>
                <c:pt idx="67">
                  <c:v>10.076929292125159</c:v>
                </c:pt>
                <c:pt idx="68">
                  <c:v>14.602982899087809</c:v>
                </c:pt>
                <c:pt idx="69">
                  <c:v>18.217621712948279</c:v>
                </c:pt>
                <c:pt idx="70">
                  <c:v>21.78994437183902</c:v>
                </c:pt>
                <c:pt idx="71">
                  <c:v>24.780077779436201</c:v>
                </c:pt>
                <c:pt idx="72">
                  <c:v>27.330161431629939</c:v>
                </c:pt>
                <c:pt idx="73">
                  <c:v>29.66256777907461</c:v>
                </c:pt>
                <c:pt idx="74">
                  <c:v>32.265136316678777</c:v>
                </c:pt>
                <c:pt idx="75">
                  <c:v>35.730004449534498</c:v>
                </c:pt>
                <c:pt idx="76">
                  <c:v>41.718290054042761</c:v>
                </c:pt>
                <c:pt idx="77">
                  <c:v>48.239513936290749</c:v>
                </c:pt>
                <c:pt idx="78">
                  <c:v>54.645464716861113</c:v>
                </c:pt>
                <c:pt idx="79">
                  <c:v>64.060278674963371</c:v>
                </c:pt>
                <c:pt idx="80">
                  <c:v>68.935875370363632</c:v>
                </c:pt>
                <c:pt idx="81">
                  <c:v>73.951677279247036</c:v>
                </c:pt>
                <c:pt idx="83">
                  <c:v>9.7191321020602626</c:v>
                </c:pt>
                <c:pt idx="84">
                  <c:v>14.608141291810149</c:v>
                </c:pt>
                <c:pt idx="85">
                  <c:v>18.51262377999306</c:v>
                </c:pt>
                <c:pt idx="86">
                  <c:v>21.993771044876169</c:v>
                </c:pt>
                <c:pt idx="87">
                  <c:v>25.031750573875978</c:v>
                </c:pt>
                <c:pt idx="88">
                  <c:v>28.176979328685881</c:v>
                </c:pt>
                <c:pt idx="89">
                  <c:v>30.660502532045669</c:v>
                </c:pt>
                <c:pt idx="90">
                  <c:v>33.782347780004223</c:v>
                </c:pt>
                <c:pt idx="91">
                  <c:v>36.65153808895483</c:v>
                </c:pt>
                <c:pt idx="92">
                  <c:v>43.782794470471352</c:v>
                </c:pt>
                <c:pt idx="93">
                  <c:v>49.858263477521433</c:v>
                </c:pt>
                <c:pt idx="94">
                  <c:v>59.634686129892891</c:v>
                </c:pt>
                <c:pt idx="95">
                  <c:v>66.121348109567634</c:v>
                </c:pt>
                <c:pt idx="96">
                  <c:v>70.252017065136883</c:v>
                </c:pt>
                <c:pt idx="97">
                  <c:v>85.316476724253462</c:v>
                </c:pt>
                <c:pt idx="99">
                  <c:v>8.2223671475892726</c:v>
                </c:pt>
                <c:pt idx="100">
                  <c:v>14.377076423951531</c:v>
                </c:pt>
                <c:pt idx="101">
                  <c:v>18.189313193334421</c:v>
                </c:pt>
                <c:pt idx="102">
                  <c:v>23.01784363000489</c:v>
                </c:pt>
                <c:pt idx="103">
                  <c:v>27.091444389030681</c:v>
                </c:pt>
                <c:pt idx="104">
                  <c:v>30.79583122740307</c:v>
                </c:pt>
                <c:pt idx="105">
                  <c:v>34.648898674861627</c:v>
                </c:pt>
                <c:pt idx="106">
                  <c:v>38.050511405915678</c:v>
                </c:pt>
                <c:pt idx="107">
                  <c:v>41.743550082794727</c:v>
                </c:pt>
                <c:pt idx="108">
                  <c:v>51.958286985307723</c:v>
                </c:pt>
                <c:pt idx="109">
                  <c:v>58.495422244711222</c:v>
                </c:pt>
                <c:pt idx="110">
                  <c:v>69.59407964907389</c:v>
                </c:pt>
                <c:pt idx="111">
                  <c:v>81.046063196089477</c:v>
                </c:pt>
                <c:pt idx="112">
                  <c:v>87.952638530534998</c:v>
                </c:pt>
                <c:pt idx="113">
                  <c:v>108.86151693947861</c:v>
                </c:pt>
                <c:pt idx="115">
                  <c:v>13.620215816825651</c:v>
                </c:pt>
                <c:pt idx="116">
                  <c:v>17.27060799064504</c:v>
                </c:pt>
                <c:pt idx="117">
                  <c:v>20.248237566633069</c:v>
                </c:pt>
                <c:pt idx="118">
                  <c:v>23.78965226073386</c:v>
                </c:pt>
                <c:pt idx="119">
                  <c:v>26.981807524659509</c:v>
                </c:pt>
                <c:pt idx="120">
                  <c:v>30.111049049988079</c:v>
                </c:pt>
                <c:pt idx="121">
                  <c:v>33.341084864062587</c:v>
                </c:pt>
                <c:pt idx="122">
                  <c:v>36.08081968942934</c:v>
                </c:pt>
                <c:pt idx="123">
                  <c:v>42.921420852374247</c:v>
                </c:pt>
                <c:pt idx="124">
                  <c:v>54.314152293758497</c:v>
                </c:pt>
                <c:pt idx="125">
                  <c:v>64.537558335079609</c:v>
                </c:pt>
                <c:pt idx="126">
                  <c:v>71.558382149556053</c:v>
                </c:pt>
                <c:pt idx="127">
                  <c:v>85.354706582114247</c:v>
                </c:pt>
                <c:pt idx="129">
                  <c:v>12.67881940850153</c:v>
                </c:pt>
                <c:pt idx="130">
                  <c:v>16.505499130785481</c:v>
                </c:pt>
                <c:pt idx="131">
                  <c:v>19.779403907642461</c:v>
                </c:pt>
                <c:pt idx="132">
                  <c:v>23.10840587572849</c:v>
                </c:pt>
                <c:pt idx="133">
                  <c:v>26.33430265258227</c:v>
                </c:pt>
                <c:pt idx="134">
                  <c:v>29.774456005097221</c:v>
                </c:pt>
                <c:pt idx="135">
                  <c:v>32.572142867094072</c:v>
                </c:pt>
                <c:pt idx="136">
                  <c:v>35.892423519609643</c:v>
                </c:pt>
                <c:pt idx="137">
                  <c:v>45.713471577421878</c:v>
                </c:pt>
                <c:pt idx="138">
                  <c:v>53.565196977182048</c:v>
                </c:pt>
                <c:pt idx="139">
                  <c:v>66.527545671617887</c:v>
                </c:pt>
                <c:pt idx="140">
                  <c:v>76.349928781206842</c:v>
                </c:pt>
                <c:pt idx="142">
                  <c:v>11.71754224638047</c:v>
                </c:pt>
                <c:pt idx="143">
                  <c:v>15.26656404060382</c:v>
                </c:pt>
                <c:pt idx="144">
                  <c:v>18.911479905881261</c:v>
                </c:pt>
                <c:pt idx="145">
                  <c:v>22.3507553418148</c:v>
                </c:pt>
                <c:pt idx="146">
                  <c:v>25.083122175746048</c:v>
                </c:pt>
                <c:pt idx="147">
                  <c:v>28.846441269817849</c:v>
                </c:pt>
                <c:pt idx="148">
                  <c:v>31.96424123523202</c:v>
                </c:pt>
                <c:pt idx="149">
                  <c:v>35.431672629658557</c:v>
                </c:pt>
                <c:pt idx="150">
                  <c:v>44.331528520181713</c:v>
                </c:pt>
                <c:pt idx="151">
                  <c:v>56.115817614661502</c:v>
                </c:pt>
                <c:pt idx="153">
                  <c:v>10.49314799406053</c:v>
                </c:pt>
                <c:pt idx="154">
                  <c:v>16.079378590496852</c:v>
                </c:pt>
                <c:pt idx="155">
                  <c:v>19.7047968135684</c:v>
                </c:pt>
                <c:pt idx="156">
                  <c:v>23.274365677120119</c:v>
                </c:pt>
                <c:pt idx="157">
                  <c:v>27.13386630963608</c:v>
                </c:pt>
                <c:pt idx="158">
                  <c:v>30.16332535168225</c:v>
                </c:pt>
                <c:pt idx="159">
                  <c:v>33.794955908131257</c:v>
                </c:pt>
                <c:pt idx="160">
                  <c:v>37.974425528518353</c:v>
                </c:pt>
                <c:pt idx="161">
                  <c:v>47.917019254647663</c:v>
                </c:pt>
                <c:pt idx="163">
                  <c:v>12.046516871060611</c:v>
                </c:pt>
                <c:pt idx="164">
                  <c:v>16.067367450003651</c:v>
                </c:pt>
                <c:pt idx="165">
                  <c:v>19.906081072257301</c:v>
                </c:pt>
                <c:pt idx="166">
                  <c:v>23.843830793440809</c:v>
                </c:pt>
                <c:pt idx="167">
                  <c:v>27.967636402903949</c:v>
                </c:pt>
                <c:pt idx="168">
                  <c:v>32.775099356774277</c:v>
                </c:pt>
                <c:pt idx="169">
                  <c:v>35.917387817099282</c:v>
                </c:pt>
                <c:pt idx="170">
                  <c:v>41.077029194788139</c:v>
                </c:pt>
                <c:pt idx="172">
                  <c:v>9.547654432503963</c:v>
                </c:pt>
                <c:pt idx="173">
                  <c:v>12.91924839163395</c:v>
                </c:pt>
                <c:pt idx="174">
                  <c:v>16.32920904856817</c:v>
                </c:pt>
                <c:pt idx="175">
                  <c:v>20.1560371637723</c:v>
                </c:pt>
                <c:pt idx="176">
                  <c:v>23.976866285526</c:v>
                </c:pt>
                <c:pt idx="177">
                  <c:v>28.166954294772381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D-49D9-A57E-C10EDF9203CA}"/>
            </c:ext>
          </c:extLst>
        </c:ser>
        <c:ser>
          <c:idx val="1"/>
          <c:order val="1"/>
          <c:tx>
            <c:strRef>
              <c:f>Diamond_汇总!$AZ$1</c:f>
              <c:strCache>
                <c:ptCount val="1"/>
                <c:pt idx="0">
                  <c:v>Nu_pre_deepseek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Diamond_汇总!$AZ$2:$AZ$219</c:f>
              <c:numCache>
                <c:formatCode>General</c:formatCode>
                <c:ptCount val="218"/>
                <c:pt idx="1">
                  <c:v>10.032940190000861</c:v>
                </c:pt>
                <c:pt idx="2">
                  <c:v>14.031642846733579</c:v>
                </c:pt>
                <c:pt idx="3">
                  <c:v>17.802063206801733</c:v>
                </c:pt>
                <c:pt idx="4">
                  <c:v>21.411347126951807</c:v>
                </c:pt>
                <c:pt idx="5">
                  <c:v>24.897207411020869</c:v>
                </c:pt>
                <c:pt idx="6">
                  <c:v>28.283667062295308</c:v>
                </c:pt>
                <c:pt idx="7">
                  <c:v>31.587296287763159</c:v>
                </c:pt>
                <c:pt idx="8">
                  <c:v>34.820173912794303</c:v>
                </c:pt>
                <c:pt idx="9">
                  <c:v>37.991470862813586</c:v>
                </c:pt>
                <c:pt idx="10">
                  <c:v>45.6940614724016</c:v>
                </c:pt>
                <c:pt idx="11">
                  <c:v>53.133253091688104</c:v>
                </c:pt>
                <c:pt idx="12">
                  <c:v>60.360313330432277</c:v>
                </c:pt>
                <c:pt idx="13">
                  <c:v>67.410604749066664</c:v>
                </c:pt>
                <c:pt idx="14">
                  <c:v>74.309904828367834</c:v>
                </c:pt>
                <c:pt idx="15">
                  <c:v>81.077785285502429</c:v>
                </c:pt>
                <c:pt idx="16">
                  <c:v>94.277600783857935</c:v>
                </c:pt>
                <c:pt idx="17">
                  <c:v>107.10101851914064</c:v>
                </c:pt>
                <c:pt idx="18">
                  <c:v>119.61078445853975</c:v>
                </c:pt>
                <c:pt idx="19">
                  <c:v>131.85263717254483</c:v>
                </c:pt>
                <c:pt idx="20">
                  <c:v>143.86130396336887</c:v>
                </c:pt>
                <c:pt idx="21">
                  <c:v>155.66399097626444</c:v>
                </c:pt>
                <c:pt idx="24">
                  <c:v>9.9233539643123816</c:v>
                </c:pt>
                <c:pt idx="25">
                  <c:v>13.878380218763887</c:v>
                </c:pt>
                <c:pt idx="26">
                  <c:v>17.607617622620396</c:v>
                </c:pt>
                <c:pt idx="27">
                  <c:v>21.177478622394492</c:v>
                </c:pt>
                <c:pt idx="28">
                  <c:v>24.625264098423809</c:v>
                </c:pt>
                <c:pt idx="29">
                  <c:v>27.974734659301859</c:v>
                </c:pt>
                <c:pt idx="30">
                  <c:v>31.242279521558419</c:v>
                </c:pt>
                <c:pt idx="31">
                  <c:v>34.439845577863871</c:v>
                </c:pt>
                <c:pt idx="32">
                  <c:v>37.576503582897089</c:v>
                </c:pt>
                <c:pt idx="33">
                  <c:v>45.194961543735786</c:v>
                </c:pt>
                <c:pt idx="34">
                  <c:v>52.552897527456608</c:v>
                </c:pt>
                <c:pt idx="35">
                  <c:v>59.701019166010923</c:v>
                </c:pt>
                <c:pt idx="36">
                  <c:v>66.674302767201922</c:v>
                </c:pt>
                <c:pt idx="37">
                  <c:v>73.498244253581717</c:v>
                </c:pt>
                <c:pt idx="38">
                  <c:v>80.192201567434012</c:v>
                </c:pt>
                <c:pt idx="39">
                  <c:v>93.2478401911291</c:v>
                </c:pt>
                <c:pt idx="40">
                  <c:v>105.9311923102092</c:v>
                </c:pt>
                <c:pt idx="41">
                  <c:v>118.30431854005325</c:v>
                </c:pt>
                <c:pt idx="42">
                  <c:v>130.41245786506602</c:v>
                </c:pt>
                <c:pt idx="43">
                  <c:v>142.28995827353006</c:v>
                </c:pt>
                <c:pt idx="46">
                  <c:v>9.8081870569415255</c:v>
                </c:pt>
                <c:pt idx="47">
                  <c:v>13.717312687074498</c:v>
                </c:pt>
                <c:pt idx="48">
                  <c:v>17.40326989149456</c:v>
                </c:pt>
                <c:pt idx="49">
                  <c:v>20.931700357543228</c:v>
                </c:pt>
                <c:pt idx="50">
                  <c:v>24.339472064842692</c:v>
                </c:pt>
                <c:pt idx="51">
                  <c:v>27.650069864836336</c:v>
                </c:pt>
                <c:pt idx="52">
                  <c:v>30.879692766651395</c:v>
                </c:pt>
                <c:pt idx="53">
                  <c:v>34.040149011582287</c:v>
                </c:pt>
                <c:pt idx="54">
                  <c:v>37.140404082363752</c:v>
                </c:pt>
                <c:pt idx="55">
                  <c:v>44.670444936905511</c:v>
                </c:pt>
                <c:pt idx="56">
                  <c:v>51.942987339491829</c:v>
                </c:pt>
                <c:pt idx="57">
                  <c:v>59.008150427380357</c:v>
                </c:pt>
                <c:pt idx="58">
                  <c:v>65.900504585818709</c:v>
                </c:pt>
                <c:pt idx="59">
                  <c:v>72.645249840773886</c:v>
                </c:pt>
                <c:pt idx="60">
                  <c:v>79.261519473154635</c:v>
                </c:pt>
                <c:pt idx="61">
                  <c:v>92.165639010717172</c:v>
                </c:pt>
                <c:pt idx="62">
                  <c:v>104.70179266807725</c:v>
                </c:pt>
                <c:pt idx="63">
                  <c:v>116.93132080724298</c:v>
                </c:pt>
                <c:pt idx="64">
                  <c:v>128.89893738509872</c:v>
                </c:pt>
                <c:pt idx="67">
                  <c:v>9.9218821520972984</c:v>
                </c:pt>
                <c:pt idx="68">
                  <c:v>13.876321804884366</c:v>
                </c:pt>
                <c:pt idx="69">
                  <c:v>17.605006095631769</c:v>
                </c:pt>
                <c:pt idx="70">
                  <c:v>21.174337620689506</c:v>
                </c:pt>
                <c:pt idx="71">
                  <c:v>24.62161172800247</c:v>
                </c:pt>
                <c:pt idx="72">
                  <c:v>27.970585502037761</c:v>
                </c:pt>
                <c:pt idx="73">
                  <c:v>31.237645728508991</c:v>
                </c:pt>
                <c:pt idx="74">
                  <c:v>34.434737528147075</c:v>
                </c:pt>
                <c:pt idx="75">
                  <c:v>37.57093031027452</c:v>
                </c:pt>
                <c:pt idx="76">
                  <c:v>45.188258316510442</c:v>
                </c:pt>
                <c:pt idx="77">
                  <c:v>52.545102985732392</c:v>
                </c:pt>
                <c:pt idx="78">
                  <c:v>59.692164429036154</c:v>
                </c:pt>
                <c:pt idx="79">
                  <c:v>66.664413766608192</c:v>
                </c:pt>
                <c:pt idx="80">
                  <c:v>73.487343139495835</c:v>
                </c:pt>
                <c:pt idx="81">
                  <c:v>80.180307618851117</c:v>
                </c:pt>
                <c:pt idx="83">
                  <c:v>9.7713354043923282</c:v>
                </c:pt>
                <c:pt idx="84">
                  <c:v>13.665773535331363</c:v>
                </c:pt>
                <c:pt idx="85">
                  <c:v>17.337881736523823</c:v>
                </c:pt>
                <c:pt idx="86">
                  <c:v>20.853055064140698</c:v>
                </c:pt>
                <c:pt idx="87">
                  <c:v>24.248022976182657</c:v>
                </c:pt>
                <c:pt idx="88">
                  <c:v>27.546182086013967</c:v>
                </c:pt>
                <c:pt idx="89">
                  <c:v>30.763670539296221</c:v>
                </c:pt>
                <c:pt idx="90">
                  <c:v>33.91225221099976</c:v>
                </c:pt>
                <c:pt idx="91">
                  <c:v>37.000858898444015</c:v>
                </c:pt>
                <c:pt idx="92">
                  <c:v>44.50260762849409</c:v>
                </c:pt>
                <c:pt idx="93">
                  <c:v>51.747825388492174</c:v>
                </c:pt>
                <c:pt idx="94">
                  <c:v>58.786443006376231</c:v>
                </c:pt>
                <c:pt idx="95">
                  <c:v>65.652900978371747</c:v>
                </c:pt>
                <c:pt idx="96">
                  <c:v>72.372304648054794</c:v>
                </c:pt>
                <c:pt idx="97">
                  <c:v>78.963715408123193</c:v>
                </c:pt>
                <c:pt idx="99">
                  <c:v>9.6185595622652045</c:v>
                </c:pt>
                <c:pt idx="100">
                  <c:v>13.452107749256687</c:v>
                </c:pt>
                <c:pt idx="101">
                  <c:v>17.066802158004062</c:v>
                </c:pt>
                <c:pt idx="102">
                  <c:v>20.527015386195007</c:v>
                </c:pt>
                <c:pt idx="103">
                  <c:v>23.868902622946301</c:v>
                </c:pt>
                <c:pt idx="104">
                  <c:v>27.115494673146515</c:v>
                </c:pt>
                <c:pt idx="105">
                  <c:v>30.282677360876651</c:v>
                </c:pt>
                <c:pt idx="106">
                  <c:v>33.382030631702229</c:v>
                </c:pt>
                <c:pt idx="107">
                  <c:v>36.422346633365528</c:v>
                </c:pt>
                <c:pt idx="108">
                  <c:v>43.806804744249632</c:v>
                </c:pt>
                <c:pt idx="109">
                  <c:v>50.938742773395326</c:v>
                </c:pt>
                <c:pt idx="110">
                  <c:v>57.867310875068959</c:v>
                </c:pt>
                <c:pt idx="111">
                  <c:v>64.626411064766828</c:v>
                </c:pt>
                <c:pt idx="112">
                  <c:v>71.240756161415277</c:v>
                </c:pt>
                <c:pt idx="113">
                  <c:v>77.729109530861038</c:v>
                </c:pt>
                <c:pt idx="115">
                  <c:v>13.749371403514797</c:v>
                </c:pt>
                <c:pt idx="116">
                  <c:v>17.443943054475756</c:v>
                </c:pt>
                <c:pt idx="117">
                  <c:v>20.9806198114978</c:v>
                </c:pt>
                <c:pt idx="118">
                  <c:v>24.396355818317868</c:v>
                </c:pt>
                <c:pt idx="119">
                  <c:v>27.714690812799891</c:v>
                </c:pt>
                <c:pt idx="120">
                  <c:v>30.95186166275759</c:v>
                </c:pt>
                <c:pt idx="121">
                  <c:v>34.119704206513155</c:v>
                </c:pt>
                <c:pt idx="122">
                  <c:v>37.227204880021191</c:v>
                </c:pt>
                <c:pt idx="123">
                  <c:v>44.774844184787625</c:v>
                </c:pt>
                <c:pt idx="124">
                  <c:v>52.06438323824888</c:v>
                </c:pt>
                <c:pt idx="125">
                  <c:v>59.146058311043348</c:v>
                </c:pt>
                <c:pt idx="126">
                  <c:v>66.054520582828104</c:v>
                </c:pt>
                <c:pt idx="127">
                  <c:v>72.815028974523216</c:v>
                </c:pt>
                <c:pt idx="129">
                  <c:v>13.494820085067031</c:v>
                </c:pt>
                <c:pt idx="130">
                  <c:v>17.120991657417019</c:v>
                </c:pt>
                <c:pt idx="131">
                  <c:v>20.592191549715384</c:v>
                </c:pt>
                <c:pt idx="132">
                  <c:v>23.944689748894056</c:v>
                </c:pt>
                <c:pt idx="133">
                  <c:v>27.20159018588927</c:v>
                </c:pt>
                <c:pt idx="134">
                  <c:v>30.378829124509789</c:v>
                </c:pt>
                <c:pt idx="135">
                  <c:v>33.488023278278462</c:v>
                </c:pt>
                <c:pt idx="136">
                  <c:v>36.537992711244364</c:v>
                </c:pt>
                <c:pt idx="137">
                  <c:v>43.945897516169929</c:v>
                </c:pt>
                <c:pt idx="138">
                  <c:v>51.100480452549299</c:v>
                </c:pt>
                <c:pt idx="139">
                  <c:v>58.051047733307705</c:v>
                </c:pt>
                <c:pt idx="140">
                  <c:v>64.831609017613161</c:v>
                </c:pt>
                <c:pt idx="142">
                  <c:v>13.233581803943624</c:v>
                </c:pt>
                <c:pt idx="143">
                  <c:v>16.789556454611972</c:v>
                </c:pt>
                <c:pt idx="144">
                  <c:v>20.193559430791151</c:v>
                </c:pt>
                <c:pt idx="145">
                  <c:v>23.481158590078813</c:v>
                </c:pt>
                <c:pt idx="146">
                  <c:v>26.675010608007501</c:v>
                </c:pt>
                <c:pt idx="147">
                  <c:v>29.790743247632445</c:v>
                </c:pt>
                <c:pt idx="148">
                  <c:v>32.839748341355168</c:v>
                </c:pt>
                <c:pt idx="149">
                  <c:v>35.83067521079488</c:v>
                </c:pt>
                <c:pt idx="150">
                  <c:v>43.095174745715696</c:v>
                </c:pt>
                <c:pt idx="151">
                  <c:v>50.111256321078571</c:v>
                </c:pt>
                <c:pt idx="153">
                  <c:v>13.556525224361939</c:v>
                </c:pt>
                <c:pt idx="154">
                  <c:v>17.199277486233434</c:v>
                </c:pt>
                <c:pt idx="155">
                  <c:v>20.686349459191234</c:v>
                </c:pt>
                <c:pt idx="156">
                  <c:v>24.05417697488263</c:v>
                </c:pt>
                <c:pt idx="157">
                  <c:v>27.325969607095534</c:v>
                </c:pt>
                <c:pt idx="158">
                  <c:v>30.517736488292904</c:v>
                </c:pt>
                <c:pt idx="159">
                  <c:v>33.641147449484265</c:v>
                </c:pt>
                <c:pt idx="160">
                  <c:v>36.70506288451022</c:v>
                </c:pt>
                <c:pt idx="161">
                  <c:v>44.146840375028468</c:v>
                </c:pt>
                <c:pt idx="163">
                  <c:v>13.233331694986283</c:v>
                </c:pt>
                <c:pt idx="164">
                  <c:v>16.789239139275786</c:v>
                </c:pt>
                <c:pt idx="165">
                  <c:v>20.193177781274862</c:v>
                </c:pt>
                <c:pt idx="166">
                  <c:v>23.480714806364084</c:v>
                </c:pt>
                <c:pt idx="167">
                  <c:v>26.67450646187465</c:v>
                </c:pt>
                <c:pt idx="168">
                  <c:v>29.790180215503845</c:v>
                </c:pt>
                <c:pt idx="169">
                  <c:v>32.839127684352498</c:v>
                </c:pt>
                <c:pt idx="170">
                  <c:v>35.829998026571403</c:v>
                </c:pt>
                <c:pt idx="172">
                  <c:v>12.908481095257416</c:v>
                </c:pt>
                <c:pt idx="173">
                  <c:v>16.377098453234382</c:v>
                </c:pt>
                <c:pt idx="174">
                  <c:v>19.697477524992156</c:v>
                </c:pt>
                <c:pt idx="175">
                  <c:v>22.904312395941638</c:v>
                </c:pt>
                <c:pt idx="176">
                  <c:v>26.019703149954758</c:v>
                </c:pt>
                <c:pt idx="177">
                  <c:v>29.058893633100425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D-49D9-A57E-C10EDF9203CA}"/>
            </c:ext>
          </c:extLst>
        </c:ser>
        <c:ser>
          <c:idx val="2"/>
          <c:order val="2"/>
          <c:tx>
            <c:strRef>
              <c:f>Diamond_汇总!$BB$1</c:f>
              <c:strCache>
                <c:ptCount val="1"/>
                <c:pt idx="0">
                  <c:v>Nu_pre_gpt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Diamond_汇总!$BB$2:$BB$219</c:f>
              <c:numCache>
                <c:formatCode>General</c:formatCode>
                <c:ptCount val="218"/>
                <c:pt idx="1">
                  <c:v>6.5852698233565876</c:v>
                </c:pt>
                <c:pt idx="2">
                  <c:v>9.6919953478071417</c:v>
                </c:pt>
                <c:pt idx="3">
                  <c:v>12.749621864616039</c:v>
                </c:pt>
                <c:pt idx="4">
                  <c:v>15.771249932613808</c:v>
                </c:pt>
                <c:pt idx="5">
                  <c:v>18.764496992953021</c:v>
                </c:pt>
                <c:pt idx="6">
                  <c:v>21.734346680920289</c:v>
                </c:pt>
                <c:pt idx="7">
                  <c:v>24.684312420146281</c:v>
                </c:pt>
                <c:pt idx="8">
                  <c:v>27.617003165854012</c:v>
                </c:pt>
                <c:pt idx="9">
                  <c:v>30.534431901331832</c:v>
                </c:pt>
                <c:pt idx="10">
                  <c:v>37.771014872430733</c:v>
                </c:pt>
                <c:pt idx="11">
                  <c:v>44.939627361358184</c:v>
                </c:pt>
                <c:pt idx="12">
                  <c:v>52.052204817957147</c:v>
                </c:pt>
                <c:pt idx="13">
                  <c:v>59.117161640374242</c:v>
                </c:pt>
                <c:pt idx="14">
                  <c:v>66.140746089651273</c:v>
                </c:pt>
                <c:pt idx="15">
                  <c:v>73.127779116698534</c:v>
                </c:pt>
                <c:pt idx="16">
                  <c:v>87.006800171177204</c:v>
                </c:pt>
                <c:pt idx="17">
                  <c:v>100.77733281249671</c:v>
                </c:pt>
                <c:pt idx="18">
                  <c:v>114.45566800480415</c:v>
                </c:pt>
                <c:pt idx="19">
                  <c:v>128.05390289335341</c:v>
                </c:pt>
                <c:pt idx="20">
                  <c:v>141.58137123405561</c:v>
                </c:pt>
                <c:pt idx="21">
                  <c:v>155.04549008835744</c:v>
                </c:pt>
                <c:pt idx="24">
                  <c:v>9.9118719643086042</c:v>
                </c:pt>
                <c:pt idx="25">
                  <c:v>13.870136940766752</c:v>
                </c:pt>
                <c:pt idx="26">
                  <c:v>17.604197431937529</c:v>
                </c:pt>
                <c:pt idx="27">
                  <c:v>21.179933355669373</c:v>
                </c:pt>
                <c:pt idx="28">
                  <c:v>24.634360693167025</c:v>
                </c:pt>
                <c:pt idx="29">
                  <c:v>27.991065539056184</c:v>
                </c:pt>
                <c:pt idx="30">
                  <c:v>31.266320664610518</c:v>
                </c:pt>
                <c:pt idx="31">
                  <c:v>34.471990507224248</c:v>
                </c:pt>
                <c:pt idx="32">
                  <c:v>37.617084818194677</c:v>
                </c:pt>
                <c:pt idx="33">
                  <c:v>45.257805847968022</c:v>
                </c:pt>
                <c:pt idx="34">
                  <c:v>52.639311688000895</c:v>
                </c:pt>
                <c:pt idx="35">
                  <c:v>59.812001689101457</c:v>
                </c:pt>
                <c:pt idx="36">
                  <c:v>66.810647911716799</c:v>
                </c:pt>
                <c:pt idx="37">
                  <c:v>73.660602579343902</c:v>
                </c:pt>
                <c:pt idx="38">
                  <c:v>80.381117951567632</c:v>
                </c:pt>
                <c:pt idx="39">
                  <c:v>93.49120317268985</c:v>
                </c:pt>
                <c:pt idx="40">
                  <c:v>106.23041644664445</c:v>
                </c:pt>
                <c:pt idx="41">
                  <c:v>118.66051545345688</c:v>
                </c:pt>
                <c:pt idx="42">
                  <c:v>130.82652756529117</c:v>
                </c:pt>
                <c:pt idx="43">
                  <c:v>142.76264617971788</c:v>
                </c:pt>
                <c:pt idx="46">
                  <c:v>10.076196010891689</c:v>
                </c:pt>
                <c:pt idx="47">
                  <c:v>14.100083114100649</c:v>
                </c:pt>
                <c:pt idx="48">
                  <c:v>17.896048756216135</c:v>
                </c:pt>
                <c:pt idx="49">
                  <c:v>21.531065045817918</c:v>
                </c:pt>
                <c:pt idx="50">
                  <c:v>25.042761633843508</c:v>
                </c:pt>
                <c:pt idx="51">
                  <c:v>28.455115637172121</c:v>
                </c:pt>
                <c:pt idx="52">
                  <c:v>31.784669605342774</c:v>
                </c:pt>
                <c:pt idx="53">
                  <c:v>35.043484670417456</c:v>
                </c:pt>
                <c:pt idx="54">
                  <c:v>38.240719951925556</c:v>
                </c:pt>
                <c:pt idx="55">
                  <c:v>46.008112734819385</c:v>
                </c:pt>
                <c:pt idx="56">
                  <c:v>53.511992926930105</c:v>
                </c:pt>
                <c:pt idx="57">
                  <c:v>60.803595425095907</c:v>
                </c:pt>
                <c:pt idx="58">
                  <c:v>67.918268758638902</c:v>
                </c:pt>
                <c:pt idx="59">
                  <c:v>74.881785453090842</c:v>
                </c:pt>
                <c:pt idx="60">
                  <c:v>81.71371694177212</c:v>
                </c:pt>
                <c:pt idx="61">
                  <c:v>95.041147812872609</c:v>
                </c:pt>
                <c:pt idx="62">
                  <c:v>107.99155823333989</c:v>
                </c:pt>
                <c:pt idx="63">
                  <c:v>120.6277297333789</c:v>
                </c:pt>
                <c:pt idx="64">
                  <c:v>132.99543617179393</c:v>
                </c:pt>
                <c:pt idx="67">
                  <c:v>9.9118719643086006</c:v>
                </c:pt>
                <c:pt idx="68">
                  <c:v>13.870136940766749</c:v>
                </c:pt>
                <c:pt idx="69">
                  <c:v>17.604197431937521</c:v>
                </c:pt>
                <c:pt idx="70">
                  <c:v>21.17993335566937</c:v>
                </c:pt>
                <c:pt idx="71">
                  <c:v>24.634360693167014</c:v>
                </c:pt>
                <c:pt idx="72">
                  <c:v>27.991065539056173</c:v>
                </c:pt>
                <c:pt idx="73">
                  <c:v>31.266320664610511</c:v>
                </c:pt>
                <c:pt idx="74">
                  <c:v>34.471990507224241</c:v>
                </c:pt>
                <c:pt idx="75">
                  <c:v>37.61708481819467</c:v>
                </c:pt>
                <c:pt idx="76">
                  <c:v>45.257805847968008</c:v>
                </c:pt>
                <c:pt idx="77">
                  <c:v>52.63931168800088</c:v>
                </c:pt>
                <c:pt idx="78">
                  <c:v>59.812001689101443</c:v>
                </c:pt>
                <c:pt idx="79">
                  <c:v>66.810647911716785</c:v>
                </c:pt>
                <c:pt idx="80">
                  <c:v>73.660602579343873</c:v>
                </c:pt>
                <c:pt idx="81">
                  <c:v>80.381117951567603</c:v>
                </c:pt>
                <c:pt idx="83">
                  <c:v>10.086416463690037</c:v>
                </c:pt>
                <c:pt idx="84">
                  <c:v>14.114385062352222</c:v>
                </c:pt>
                <c:pt idx="85">
                  <c:v>17.914201015401265</c:v>
                </c:pt>
                <c:pt idx="86">
                  <c:v>21.552904362337873</c:v>
                </c:pt>
                <c:pt idx="87">
                  <c:v>25.068162922478855</c:v>
                </c:pt>
                <c:pt idx="88">
                  <c:v>28.483978133090908</c:v>
                </c:pt>
                <c:pt idx="89">
                  <c:v>31.816909323095526</c:v>
                </c:pt>
                <c:pt idx="90">
                  <c:v>35.079029858361054</c:v>
                </c:pt>
                <c:pt idx="91">
                  <c:v>38.279508148663794</c:v>
                </c:pt>
                <c:pt idx="92">
                  <c:v>46.054779526934091</c:v>
                </c:pt>
                <c:pt idx="93">
                  <c:v>53.566271029228254</c:v>
                </c:pt>
                <c:pt idx="94">
                  <c:v>60.865269520790392</c:v>
                </c:pt>
                <c:pt idx="95">
                  <c:v>67.987159385542455</c:v>
                </c:pt>
                <c:pt idx="96">
                  <c:v>74.957739290516415</c:v>
                </c:pt>
                <c:pt idx="97">
                  <c:v>81.796600520662238</c:v>
                </c:pt>
                <c:pt idx="99">
                  <c:v>9.8614241337967599</c:v>
                </c:pt>
                <c:pt idx="100">
                  <c:v>13.799542978285853</c:v>
                </c:pt>
                <c:pt idx="101">
                  <c:v>17.514598456936504</c:v>
                </c:pt>
                <c:pt idx="102">
                  <c:v>21.072135182728235</c:v>
                </c:pt>
                <c:pt idx="103">
                  <c:v>24.508980738957412</c:v>
                </c:pt>
                <c:pt idx="104">
                  <c:v>27.848601175589319</c:v>
                </c:pt>
                <c:pt idx="105">
                  <c:v>31.107186441398493</c:v>
                </c:pt>
                <c:pt idx="106">
                  <c:v>34.296540588099347</c:v>
                </c:pt>
                <c:pt idx="107">
                  <c:v>37.425627510625404</c:v>
                </c:pt>
                <c:pt idx="108">
                  <c:v>45.027460043766986</c:v>
                </c:pt>
                <c:pt idx="109">
                  <c:v>52.371396698394626</c:v>
                </c:pt>
                <c:pt idx="110">
                  <c:v>59.507580310914648</c:v>
                </c:pt>
                <c:pt idx="111">
                  <c:v>66.470605964607984</c:v>
                </c:pt>
                <c:pt idx="112">
                  <c:v>73.285696849356256</c:v>
                </c:pt>
                <c:pt idx="113">
                  <c:v>79.972007237731233</c:v>
                </c:pt>
                <c:pt idx="115">
                  <c:v>14.100517683014175</c:v>
                </c:pt>
                <c:pt idx="116">
                  <c:v>17.89660031796237</c:v>
                </c:pt>
                <c:pt idx="117">
                  <c:v>21.531728639888133</c:v>
                </c:pt>
                <c:pt idx="118">
                  <c:v>25.043533459486436</c:v>
                </c:pt>
                <c:pt idx="119">
                  <c:v>28.455992632618649</c:v>
                </c:pt>
                <c:pt idx="120">
                  <c:v>31.785649218670258</c:v>
                </c:pt>
                <c:pt idx="121">
                  <c:v>35.044564721431065</c:v>
                </c:pt>
                <c:pt idx="122">
                  <c:v>38.241898542717365</c:v>
                </c:pt>
                <c:pt idx="123">
                  <c:v>46.00953071905414</c:v>
                </c:pt>
                <c:pt idx="124">
                  <c:v>53.513642183068441</c:v>
                </c:pt>
                <c:pt idx="125">
                  <c:v>60.805469410673766</c:v>
                </c:pt>
                <c:pt idx="126">
                  <c:v>67.920362020644831</c:v>
                </c:pt>
                <c:pt idx="127">
                  <c:v>74.88409333283056</c:v>
                </c:pt>
                <c:pt idx="129">
                  <c:v>13.887228115492896</c:v>
                </c:pt>
                <c:pt idx="130">
                  <c:v>17.625889821530198</c:v>
                </c:pt>
                <c:pt idx="131">
                  <c:v>21.206031868122118</c:v>
                </c:pt>
                <c:pt idx="132">
                  <c:v>24.664715848611547</c:v>
                </c:pt>
                <c:pt idx="133">
                  <c:v>28.025556921076561</c:v>
                </c:pt>
                <c:pt idx="134">
                  <c:v>31.304847908559484</c:v>
                </c:pt>
                <c:pt idx="135">
                  <c:v>34.514467868149595</c:v>
                </c:pt>
                <c:pt idx="136">
                  <c:v>37.66343765321438</c:v>
                </c:pt>
                <c:pt idx="137">
                  <c:v>45.313573795377103</c:v>
                </c:pt>
                <c:pt idx="138">
                  <c:v>52.70417533551683</c:v>
                </c:pt>
                <c:pt idx="139">
                  <c:v>59.885703727946094</c:v>
                </c:pt>
                <c:pt idx="140">
                  <c:v>66.892973880227601</c:v>
                </c:pt>
                <c:pt idx="142">
                  <c:v>13.111287563273471</c:v>
                </c:pt>
                <c:pt idx="143">
                  <c:v>16.641053786020784</c:v>
                </c:pt>
                <c:pt idx="144">
                  <c:v>20.021157540337708</c:v>
                </c:pt>
                <c:pt idx="145">
                  <c:v>23.286589625239753</c:v>
                </c:pt>
                <c:pt idx="146">
                  <c:v>26.459645715993343</c:v>
                </c:pt>
                <c:pt idx="147">
                  <c:v>29.555708283913049</c:v>
                </c:pt>
                <c:pt idx="148">
                  <c:v>32.585992650889082</c:v>
                </c:pt>
                <c:pt idx="149">
                  <c:v>35.559015635510683</c:v>
                </c:pt>
                <c:pt idx="150">
                  <c:v>42.78170500331813</c:v>
                </c:pt>
                <c:pt idx="151">
                  <c:v>49.759361109524058</c:v>
                </c:pt>
                <c:pt idx="153">
                  <c:v>14.015507837822673</c:v>
                </c:pt>
                <c:pt idx="154">
                  <c:v>17.788704476356717</c:v>
                </c:pt>
                <c:pt idx="155">
                  <c:v>21.4019171705839</c:v>
                </c:pt>
                <c:pt idx="156">
                  <c:v>24.892549860848511</c:v>
                </c:pt>
                <c:pt idx="157">
                  <c:v>28.284435844219061</c:v>
                </c:pt>
                <c:pt idx="158">
                  <c:v>31.594018444528853</c:v>
                </c:pt>
                <c:pt idx="159">
                  <c:v>34.833286448622594</c:v>
                </c:pt>
                <c:pt idx="160">
                  <c:v>38.011344037696475</c:v>
                </c:pt>
                <c:pt idx="161">
                  <c:v>45.732146358303176</c:v>
                </c:pt>
                <c:pt idx="163">
                  <c:v>13.111287563273471</c:v>
                </c:pt>
                <c:pt idx="164">
                  <c:v>16.641053786020784</c:v>
                </c:pt>
                <c:pt idx="165">
                  <c:v>20.021157540337708</c:v>
                </c:pt>
                <c:pt idx="166">
                  <c:v>23.286589625239753</c:v>
                </c:pt>
                <c:pt idx="167">
                  <c:v>26.459645715993343</c:v>
                </c:pt>
                <c:pt idx="168">
                  <c:v>29.555708283913049</c:v>
                </c:pt>
                <c:pt idx="169">
                  <c:v>32.585992650889082</c:v>
                </c:pt>
                <c:pt idx="170">
                  <c:v>35.559015635510683</c:v>
                </c:pt>
                <c:pt idx="172">
                  <c:v>11.559340491298107</c:v>
                </c:pt>
                <c:pt idx="173">
                  <c:v>14.671297987960047</c:v>
                </c:pt>
                <c:pt idx="174">
                  <c:v>17.651308151226534</c:v>
                </c:pt>
                <c:pt idx="175">
                  <c:v>20.530220015407181</c:v>
                </c:pt>
                <c:pt idx="176">
                  <c:v>23.327690177967675</c:v>
                </c:pt>
                <c:pt idx="177">
                  <c:v>26.057280329372414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D-49D9-A57E-C10EDF920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118928"/>
        <c:axId val="2104115568"/>
      </c:lineChart>
      <c:catAx>
        <c:axId val="210411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4115568"/>
        <c:crosses val="autoZero"/>
        <c:auto val="1"/>
        <c:lblAlgn val="ctr"/>
        <c:lblOffset val="100"/>
        <c:noMultiLvlLbl val="0"/>
      </c:catAx>
      <c:valAx>
        <c:axId val="21041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41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Gyroid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591947310723613E-2"/>
          <c:y val="0.18365167935903282"/>
          <c:w val="0.89019685039370078"/>
          <c:h val="0.59736876640419945"/>
        </c:manualLayout>
      </c:layout>
      <c:lineChart>
        <c:grouping val="standard"/>
        <c:varyColors val="0"/>
        <c:ser>
          <c:idx val="0"/>
          <c:order val="0"/>
          <c:tx>
            <c:strRef>
              <c:f>Gyroid_汇总!$AO$1</c:f>
              <c:strCache>
                <c:ptCount val="1"/>
                <c:pt idx="0">
                  <c:v>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Gyroid_汇总!$AO$2:$AO$219</c:f>
              <c:numCache>
                <c:formatCode>General</c:formatCode>
                <c:ptCount val="218"/>
                <c:pt idx="1">
                  <c:v>12.66917862137446</c:v>
                </c:pt>
                <c:pt idx="2">
                  <c:v>17.68576222224927</c:v>
                </c:pt>
                <c:pt idx="3">
                  <c:v>23.130792056559748</c:v>
                </c:pt>
                <c:pt idx="4">
                  <c:v>26.134532438164609</c:v>
                </c:pt>
                <c:pt idx="5">
                  <c:v>29.740481017454481</c:v>
                </c:pt>
                <c:pt idx="6">
                  <c:v>32.028948330756613</c:v>
                </c:pt>
                <c:pt idx="7">
                  <c:v>34.383727509483883</c:v>
                </c:pt>
                <c:pt idx="8">
                  <c:v>37.410980525451329</c:v>
                </c:pt>
                <c:pt idx="9">
                  <c:v>40.115614682948632</c:v>
                </c:pt>
                <c:pt idx="10">
                  <c:v>44.473254918859347</c:v>
                </c:pt>
                <c:pt idx="11">
                  <c:v>51.60817439797075</c:v>
                </c:pt>
                <c:pt idx="12">
                  <c:v>54.689185898080197</c:v>
                </c:pt>
                <c:pt idx="13">
                  <c:v>60.449953227403078</c:v>
                </c:pt>
                <c:pt idx="14">
                  <c:v>65.668288880173805</c:v>
                </c:pt>
                <c:pt idx="15">
                  <c:v>70.307389614922783</c:v>
                </c:pt>
                <c:pt idx="16">
                  <c:v>80.414490120435019</c:v>
                </c:pt>
                <c:pt idx="17">
                  <c:v>90.259012199254826</c:v>
                </c:pt>
                <c:pt idx="18">
                  <c:v>103.4968041263654</c:v>
                </c:pt>
                <c:pt idx="19">
                  <c:v>118.4017308184813</c:v>
                </c:pt>
                <c:pt idx="20">
                  <c:v>131.68616991517649</c:v>
                </c:pt>
                <c:pt idx="21">
                  <c:v>147.670454476636</c:v>
                </c:pt>
                <c:pt idx="22">
                  <c:v>168.851645916162</c:v>
                </c:pt>
                <c:pt idx="23">
                  <c:v>185.23902466655599</c:v>
                </c:pt>
                <c:pt idx="24">
                  <c:v>201.612402984657</c:v>
                </c:pt>
                <c:pt idx="25">
                  <c:v>225.12727262334079</c:v>
                </c:pt>
                <c:pt idx="26">
                  <c:v>268.26715058598069</c:v>
                </c:pt>
                <c:pt idx="29">
                  <c:v>12.21802450817613</c:v>
                </c:pt>
                <c:pt idx="30">
                  <c:v>17.477993404524479</c:v>
                </c:pt>
                <c:pt idx="31">
                  <c:v>22.362665092097071</c:v>
                </c:pt>
                <c:pt idx="32">
                  <c:v>25.84424261746468</c:v>
                </c:pt>
                <c:pt idx="33">
                  <c:v>28.631737583744439</c:v>
                </c:pt>
                <c:pt idx="34">
                  <c:v>31.831291337160408</c:v>
                </c:pt>
                <c:pt idx="35">
                  <c:v>34.494552866670809</c:v>
                </c:pt>
                <c:pt idx="36">
                  <c:v>36.599640424238871</c:v>
                </c:pt>
                <c:pt idx="37">
                  <c:v>38.14648935222209</c:v>
                </c:pt>
                <c:pt idx="38">
                  <c:v>46.72565037387988</c:v>
                </c:pt>
                <c:pt idx="39">
                  <c:v>50.871491973092787</c:v>
                </c:pt>
                <c:pt idx="40">
                  <c:v>56.093699875125729</c:v>
                </c:pt>
                <c:pt idx="41">
                  <c:v>62.279651906399778</c:v>
                </c:pt>
                <c:pt idx="42">
                  <c:v>66.097204270708943</c:v>
                </c:pt>
                <c:pt idx="43">
                  <c:v>71.314471548022411</c:v>
                </c:pt>
                <c:pt idx="44">
                  <c:v>81.439608610466337</c:v>
                </c:pt>
                <c:pt idx="45">
                  <c:v>96.23133047565247</c:v>
                </c:pt>
                <c:pt idx="46">
                  <c:v>106.7969774064758</c:v>
                </c:pt>
                <c:pt idx="47">
                  <c:v>122.73551276114431</c:v>
                </c:pt>
                <c:pt idx="48">
                  <c:v>137.5588139575022</c:v>
                </c:pt>
                <c:pt idx="49">
                  <c:v>165.03589868964519</c:v>
                </c:pt>
                <c:pt idx="50">
                  <c:v>189.76041552687499</c:v>
                </c:pt>
                <c:pt idx="51">
                  <c:v>202.84381118632211</c:v>
                </c:pt>
                <c:pt idx="52">
                  <c:v>228.05346627346171</c:v>
                </c:pt>
                <c:pt idx="53">
                  <c:v>259.87991562871059</c:v>
                </c:pt>
                <c:pt idx="56">
                  <c:v>11.88786044682441</c:v>
                </c:pt>
                <c:pt idx="57">
                  <c:v>16.856346530968828</c:v>
                </c:pt>
                <c:pt idx="58">
                  <c:v>21.521301807195261</c:v>
                </c:pt>
                <c:pt idx="59">
                  <c:v>25.29998875407647</c:v>
                </c:pt>
                <c:pt idx="60">
                  <c:v>28.474814232842029</c:v>
                </c:pt>
                <c:pt idx="61">
                  <c:v>30.870264195584689</c:v>
                </c:pt>
                <c:pt idx="62">
                  <c:v>33.713780261818449</c:v>
                </c:pt>
                <c:pt idx="63">
                  <c:v>35.621142538411647</c:v>
                </c:pt>
                <c:pt idx="64">
                  <c:v>37.642442673279277</c:v>
                </c:pt>
                <c:pt idx="65">
                  <c:v>45.037980715450551</c:v>
                </c:pt>
                <c:pt idx="66">
                  <c:v>51.070438875269453</c:v>
                </c:pt>
                <c:pt idx="67">
                  <c:v>54.061833736084807</c:v>
                </c:pt>
                <c:pt idx="68">
                  <c:v>61.121292638103377</c:v>
                </c:pt>
                <c:pt idx="69">
                  <c:v>67.553474120933402</c:v>
                </c:pt>
                <c:pt idx="70">
                  <c:v>72.241539942735272</c:v>
                </c:pt>
                <c:pt idx="71">
                  <c:v>83.388428395372969</c:v>
                </c:pt>
                <c:pt idx="72">
                  <c:v>98.725427197159888</c:v>
                </c:pt>
                <c:pt idx="73">
                  <c:v>113.0053990276954</c:v>
                </c:pt>
                <c:pt idx="74">
                  <c:v>128.12148671012829</c:v>
                </c:pt>
                <c:pt idx="75">
                  <c:v>151.82437048347009</c:v>
                </c:pt>
                <c:pt idx="76">
                  <c:v>178.51764947082029</c:v>
                </c:pt>
                <c:pt idx="77">
                  <c:v>208.21741907969559</c:v>
                </c:pt>
                <c:pt idx="78">
                  <c:v>215.45092447017649</c:v>
                </c:pt>
                <c:pt idx="79">
                  <c:v>270.00637383724711</c:v>
                </c:pt>
                <c:pt idx="82">
                  <c:v>11.283744270004229</c:v>
                </c:pt>
                <c:pt idx="83">
                  <c:v>16.55899829032472</c:v>
                </c:pt>
                <c:pt idx="84">
                  <c:v>20.56401834067</c:v>
                </c:pt>
                <c:pt idx="85">
                  <c:v>23.17270320169397</c:v>
                </c:pt>
                <c:pt idx="86">
                  <c:v>27.207241738823932</c:v>
                </c:pt>
                <c:pt idx="87">
                  <c:v>30.76260861676127</c:v>
                </c:pt>
                <c:pt idx="88">
                  <c:v>33.186296795453501</c:v>
                </c:pt>
                <c:pt idx="89">
                  <c:v>36.089585448673638</c:v>
                </c:pt>
                <c:pt idx="90">
                  <c:v>37.713193818702273</c:v>
                </c:pt>
                <c:pt idx="91">
                  <c:v>43.857001969065507</c:v>
                </c:pt>
                <c:pt idx="92">
                  <c:v>49.656979743934073</c:v>
                </c:pt>
                <c:pt idx="93">
                  <c:v>56.149505551706177</c:v>
                </c:pt>
                <c:pt idx="94">
                  <c:v>62.879917608734218</c:v>
                </c:pt>
                <c:pt idx="95">
                  <c:v>71.462927994880133</c:v>
                </c:pt>
                <c:pt idx="96">
                  <c:v>76.245461746102208</c:v>
                </c:pt>
                <c:pt idx="97">
                  <c:v>89.050909317603669</c:v>
                </c:pt>
                <c:pt idx="98">
                  <c:v>102.3966289907794</c:v>
                </c:pt>
                <c:pt idx="99">
                  <c:v>125.7717265750329</c:v>
                </c:pt>
                <c:pt idx="101">
                  <c:v>10.821357838823021</c:v>
                </c:pt>
                <c:pt idx="102">
                  <c:v>16.382043723732931</c:v>
                </c:pt>
                <c:pt idx="103">
                  <c:v>20.126698901646069</c:v>
                </c:pt>
                <c:pt idx="104">
                  <c:v>23.42610449368852</c:v>
                </c:pt>
                <c:pt idx="105">
                  <c:v>27.64775655869315</c:v>
                </c:pt>
                <c:pt idx="106">
                  <c:v>30.194244559115639</c:v>
                </c:pt>
                <c:pt idx="107">
                  <c:v>32.796797150700407</c:v>
                </c:pt>
                <c:pt idx="108">
                  <c:v>35.850390569090273</c:v>
                </c:pt>
                <c:pt idx="109">
                  <c:v>39.113320544904447</c:v>
                </c:pt>
                <c:pt idx="110">
                  <c:v>46.67581904066455</c:v>
                </c:pt>
                <c:pt idx="111">
                  <c:v>53.286911345365993</c:v>
                </c:pt>
                <c:pt idx="112">
                  <c:v>60.412974126764219</c:v>
                </c:pt>
                <c:pt idx="113">
                  <c:v>67.834496340477386</c:v>
                </c:pt>
                <c:pt idx="114">
                  <c:v>72.566536150959124</c:v>
                </c:pt>
                <c:pt idx="115">
                  <c:v>82.773623283165662</c:v>
                </c:pt>
                <c:pt idx="116">
                  <c:v>99.547169888467408</c:v>
                </c:pt>
                <c:pt idx="117">
                  <c:v>115.9768616724452</c:v>
                </c:pt>
                <c:pt idx="119">
                  <c:v>10.376452432931149</c:v>
                </c:pt>
                <c:pt idx="120">
                  <c:v>15.24424859511103</c:v>
                </c:pt>
                <c:pt idx="121">
                  <c:v>19.048258731985118</c:v>
                </c:pt>
                <c:pt idx="122">
                  <c:v>23.60674456988502</c:v>
                </c:pt>
                <c:pt idx="123">
                  <c:v>26.262577871737761</c:v>
                </c:pt>
                <c:pt idx="124">
                  <c:v>29.89734763471472</c:v>
                </c:pt>
                <c:pt idx="125">
                  <c:v>32.253702523040673</c:v>
                </c:pt>
                <c:pt idx="126">
                  <c:v>34.717681101066731</c:v>
                </c:pt>
                <c:pt idx="127">
                  <c:v>37.661825032268503</c:v>
                </c:pt>
                <c:pt idx="128">
                  <c:v>44.676202591884973</c:v>
                </c:pt>
                <c:pt idx="129">
                  <c:v>52.791647322234567</c:v>
                </c:pt>
                <c:pt idx="130">
                  <c:v>60.662953379425097</c:v>
                </c:pt>
                <c:pt idx="131">
                  <c:v>65.474254593012844</c:v>
                </c:pt>
                <c:pt idx="132">
                  <c:v>75.626608541982236</c:v>
                </c:pt>
                <c:pt idx="133">
                  <c:v>83.169478986676694</c:v>
                </c:pt>
                <c:pt idx="134">
                  <c:v>98.529457453813606</c:v>
                </c:pt>
                <c:pt idx="136">
                  <c:v>15.80678545880259</c:v>
                </c:pt>
                <c:pt idx="137">
                  <c:v>18.88625486224209</c:v>
                </c:pt>
                <c:pt idx="138">
                  <c:v>22.379960910356811</c:v>
                </c:pt>
                <c:pt idx="139">
                  <c:v>25.676026080856929</c:v>
                </c:pt>
                <c:pt idx="140">
                  <c:v>28.66616291753963</c:v>
                </c:pt>
                <c:pt idx="141">
                  <c:v>31.62597221053327</c:v>
                </c:pt>
                <c:pt idx="142">
                  <c:v>33.953683969485951</c:v>
                </c:pt>
                <c:pt idx="143">
                  <c:v>37.843363308915457</c:v>
                </c:pt>
                <c:pt idx="144">
                  <c:v>44.462750700614137</c:v>
                </c:pt>
                <c:pt idx="145">
                  <c:v>51.467455627148453</c:v>
                </c:pt>
                <c:pt idx="146">
                  <c:v>60.597283276742239</c:v>
                </c:pt>
                <c:pt idx="147">
                  <c:v>65.642835280390159</c:v>
                </c:pt>
                <c:pt idx="148">
                  <c:v>72.162251617535773</c:v>
                </c:pt>
                <c:pt idx="149">
                  <c:v>83.276663672540849</c:v>
                </c:pt>
                <c:pt idx="150">
                  <c:v>106.2108037831287</c:v>
                </c:pt>
                <c:pt idx="151">
                  <c:v>138.94261460625589</c:v>
                </c:pt>
                <c:pt idx="154">
                  <c:v>15.217182786493259</c:v>
                </c:pt>
                <c:pt idx="155">
                  <c:v>19.391212978013389</c:v>
                </c:pt>
                <c:pt idx="156">
                  <c:v>22.829793500593489</c:v>
                </c:pt>
                <c:pt idx="157">
                  <c:v>26.555964710262899</c:v>
                </c:pt>
                <c:pt idx="158">
                  <c:v>28.882144796861919</c:v>
                </c:pt>
                <c:pt idx="159">
                  <c:v>29.878201788960521</c:v>
                </c:pt>
                <c:pt idx="160">
                  <c:v>33.99320717925368</c:v>
                </c:pt>
                <c:pt idx="161">
                  <c:v>35.548839513921372</c:v>
                </c:pt>
                <c:pt idx="162">
                  <c:v>39.417984560472583</c:v>
                </c:pt>
                <c:pt idx="163">
                  <c:v>43.600259977573593</c:v>
                </c:pt>
                <c:pt idx="164">
                  <c:v>48.803257256517142</c:v>
                </c:pt>
                <c:pt idx="165">
                  <c:v>54.511863893404112</c:v>
                </c:pt>
                <c:pt idx="166">
                  <c:v>60.112472462974871</c:v>
                </c:pt>
                <c:pt idx="167">
                  <c:v>65.904568236891876</c:v>
                </c:pt>
                <c:pt idx="168">
                  <c:v>78.216313048711044</c:v>
                </c:pt>
                <c:pt idx="170">
                  <c:v>13.91221374759213</c:v>
                </c:pt>
                <c:pt idx="171">
                  <c:v>17.253546947742791</c:v>
                </c:pt>
                <c:pt idx="172">
                  <c:v>20.827501175386079</c:v>
                </c:pt>
                <c:pt idx="173">
                  <c:v>23.976199258602762</c:v>
                </c:pt>
                <c:pt idx="174">
                  <c:v>27.53075137731194</c:v>
                </c:pt>
                <c:pt idx="175">
                  <c:v>28.932464645138172</c:v>
                </c:pt>
                <c:pt idx="176">
                  <c:v>31.61482065220698</c:v>
                </c:pt>
                <c:pt idx="177">
                  <c:v>34.738903974878163</c:v>
                </c:pt>
                <c:pt idx="178">
                  <c:v>43.123849792455893</c:v>
                </c:pt>
                <c:pt idx="179">
                  <c:v>52.080510320890461</c:v>
                </c:pt>
                <c:pt idx="180">
                  <c:v>61.01666689366175</c:v>
                </c:pt>
                <c:pt idx="181">
                  <c:v>66.211907688885617</c:v>
                </c:pt>
                <c:pt idx="182">
                  <c:v>81.482135324249938</c:v>
                </c:pt>
                <c:pt idx="183">
                  <c:v>89.031215264002554</c:v>
                </c:pt>
                <c:pt idx="184">
                  <c:v>134.40746278394721</c:v>
                </c:pt>
                <c:pt idx="187">
                  <c:v>14.13899069715761</c:v>
                </c:pt>
                <c:pt idx="188">
                  <c:v>18.019715999095869</c:v>
                </c:pt>
                <c:pt idx="189">
                  <c:v>21.201574709445222</c:v>
                </c:pt>
                <c:pt idx="190">
                  <c:v>24.394517728634149</c:v>
                </c:pt>
                <c:pt idx="191">
                  <c:v>28.470244744301841</c:v>
                </c:pt>
                <c:pt idx="192">
                  <c:v>31.398047911912592</c:v>
                </c:pt>
                <c:pt idx="193">
                  <c:v>34.606359789742953</c:v>
                </c:pt>
                <c:pt idx="194">
                  <c:v>37.468088707097003</c:v>
                </c:pt>
                <c:pt idx="195">
                  <c:v>45.945775616177578</c:v>
                </c:pt>
                <c:pt idx="196">
                  <c:v>55.895841509640483</c:v>
                </c:pt>
                <c:pt idx="197">
                  <c:v>65.017215181263268</c:v>
                </c:pt>
                <c:pt idx="199">
                  <c:v>15.355604226337491</c:v>
                </c:pt>
                <c:pt idx="200">
                  <c:v>19.543670944461859</c:v>
                </c:pt>
                <c:pt idx="201">
                  <c:v>24.039221168847519</c:v>
                </c:pt>
                <c:pt idx="202">
                  <c:v>27.445694444247859</c:v>
                </c:pt>
                <c:pt idx="203">
                  <c:v>31.879570424227119</c:v>
                </c:pt>
                <c:pt idx="204">
                  <c:v>35.033962857073192</c:v>
                </c:pt>
                <c:pt idx="205">
                  <c:v>39.017054868303227</c:v>
                </c:pt>
                <c:pt idx="206">
                  <c:v>43.945714006396209</c:v>
                </c:pt>
                <c:pt idx="207">
                  <c:v>56.280726554711798</c:v>
                </c:pt>
                <c:pt idx="208">
                  <c:v>70.20879569638268</c:v>
                </c:pt>
                <c:pt idx="210">
                  <c:v>17.098163907979249</c:v>
                </c:pt>
                <c:pt idx="211">
                  <c:v>20.132746067525449</c:v>
                </c:pt>
                <c:pt idx="212">
                  <c:v>24.911547568617511</c:v>
                </c:pt>
                <c:pt idx="213">
                  <c:v>29.063847467813339</c:v>
                </c:pt>
                <c:pt idx="214">
                  <c:v>32.656677763632267</c:v>
                </c:pt>
                <c:pt idx="215">
                  <c:v>36.383308865977362</c:v>
                </c:pt>
                <c:pt idx="216">
                  <c:v>39.81773571000317</c:v>
                </c:pt>
                <c:pt idx="217">
                  <c:v>51.463827017872248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6-4543-A237-5A286419C552}"/>
            </c:ext>
          </c:extLst>
        </c:ser>
        <c:ser>
          <c:idx val="1"/>
          <c:order val="1"/>
          <c:tx>
            <c:strRef>
              <c:f>Gyroid_汇总!$AZ$1</c:f>
              <c:strCache>
                <c:ptCount val="1"/>
                <c:pt idx="0">
                  <c:v>Nu_pre_deepseek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Gyroid_汇总!$AZ$2:$AZ$219</c:f>
              <c:numCache>
                <c:formatCode>General</c:formatCode>
                <c:ptCount val="218"/>
                <c:pt idx="1">
                  <c:v>11.219009214649756</c:v>
                </c:pt>
                <c:pt idx="2">
                  <c:v>15.453661001345903</c:v>
                </c:pt>
                <c:pt idx="3">
                  <c:v>19.395813311854944</c:v>
                </c:pt>
                <c:pt idx="4">
                  <c:v>23.133829134450572</c:v>
                </c:pt>
                <c:pt idx="5">
                  <c:v>26.716826596006662</c:v>
                </c:pt>
                <c:pt idx="6">
                  <c:v>30.175845407912728</c:v>
                </c:pt>
                <c:pt idx="7">
                  <c:v>33.532156613000339</c:v>
                </c:pt>
                <c:pt idx="8">
                  <c:v>36.801180331263197</c:v>
                </c:pt>
                <c:pt idx="9">
                  <c:v>39.994568370105583</c:v>
                </c:pt>
                <c:pt idx="10">
                  <c:v>47.702434340024034</c:v>
                </c:pt>
                <c:pt idx="11">
                  <c:v>55.090649241975683</c:v>
                </c:pt>
                <c:pt idx="12">
                  <c:v>62.223217603092174</c:v>
                </c:pt>
                <c:pt idx="13">
                  <c:v>69.144000753813842</c:v>
                </c:pt>
                <c:pt idx="14">
                  <c:v>75.884795300627161</c:v>
                </c:pt>
                <c:pt idx="15">
                  <c:v>82.469627511488767</c:v>
                </c:pt>
                <c:pt idx="16">
                  <c:v>95.242630385842133</c:v>
                </c:pt>
                <c:pt idx="17">
                  <c:v>107.57366262936785</c:v>
                </c:pt>
                <c:pt idx="18">
                  <c:v>119.53855323556741</c:v>
                </c:pt>
                <c:pt idx="19">
                  <c:v>131.1922732835763</c:v>
                </c:pt>
                <c:pt idx="20">
                  <c:v>142.57636022103839</c:v>
                </c:pt>
                <c:pt idx="21">
                  <c:v>153.72321765451369</c:v>
                </c:pt>
                <c:pt idx="22">
                  <c:v>164.65877181753146</c:v>
                </c:pt>
                <c:pt idx="23">
                  <c:v>175.40419799051611</c:v>
                </c:pt>
                <c:pt idx="24">
                  <c:v>185.97708921632474</c:v>
                </c:pt>
                <c:pt idx="25">
                  <c:v>196.39227453210438</c:v>
                </c:pt>
                <c:pt idx="26">
                  <c:v>206.66240821861035</c:v>
                </c:pt>
                <c:pt idx="29">
                  <c:v>11.111890182016548</c:v>
                </c:pt>
                <c:pt idx="30">
                  <c:v>15.306109538874145</c:v>
                </c:pt>
                <c:pt idx="31">
                  <c:v>19.210622202787381</c:v>
                </c:pt>
                <c:pt idx="32">
                  <c:v>22.91294747274836</c:v>
                </c:pt>
                <c:pt idx="33">
                  <c:v>26.461734496050422</c:v>
                </c:pt>
                <c:pt idx="34">
                  <c:v>29.887726617105066</c:v>
                </c:pt>
                <c:pt idx="35">
                  <c:v>33.211991782954605</c:v>
                </c:pt>
                <c:pt idx="36">
                  <c:v>36.449802882379601</c:v>
                </c:pt>
                <c:pt idx="37">
                  <c:v>39.612700471397183</c:v>
                </c:pt>
                <c:pt idx="38">
                  <c:v>47.246971783305554</c:v>
                </c:pt>
                <c:pt idx="39">
                  <c:v>54.564644053725196</c:v>
                </c:pt>
                <c:pt idx="40">
                  <c:v>61.629110694946903</c:v>
                </c:pt>
                <c:pt idx="41">
                  <c:v>68.483814249691292</c:v>
                </c:pt>
                <c:pt idx="42">
                  <c:v>75.160247730636954</c:v>
                </c:pt>
                <c:pt idx="43">
                  <c:v>81.68220800307833</c:v>
                </c:pt>
                <c:pt idx="44">
                  <c:v>94.333254322664331</c:v>
                </c:pt>
                <c:pt idx="45">
                  <c:v>106.54654994435266</c:v>
                </c:pt>
                <c:pt idx="46">
                  <c:v>118.39719984687005</c:v>
                </c:pt>
                <c:pt idx="47">
                  <c:v>129.93965024581843</c:v>
                </c:pt>
                <c:pt idx="48">
                  <c:v>141.21504198954085</c:v>
                </c:pt>
                <c:pt idx="49">
                  <c:v>152.25546929515644</c:v>
                </c:pt>
                <c:pt idx="50">
                  <c:v>163.08661085267241</c:v>
                </c:pt>
                <c:pt idx="51">
                  <c:v>173.72943976106276</c:v>
                </c:pt>
                <c:pt idx="52">
                  <c:v>184.20138108491696</c:v>
                </c:pt>
                <c:pt idx="53">
                  <c:v>194.51712227382438</c:v>
                </c:pt>
                <c:pt idx="56">
                  <c:v>11.004455097629215</c:v>
                </c:pt>
                <c:pt idx="57">
                  <c:v>15.158122729878134</c:v>
                </c:pt>
                <c:pt idx="58">
                  <c:v>19.024884692455448</c:v>
                </c:pt>
                <c:pt idx="59">
                  <c:v>22.691414105789679</c:v>
                </c:pt>
                <c:pt idx="60">
                  <c:v>26.205889753882314</c:v>
                </c:pt>
                <c:pt idx="61">
                  <c:v>29.598757739744237</c:v>
                </c:pt>
                <c:pt idx="62">
                  <c:v>32.890882315399949</c:v>
                </c:pt>
                <c:pt idx="63">
                  <c:v>36.097388704015266</c:v>
                </c:pt>
                <c:pt idx="64">
                  <c:v>39.229705881976003</c:v>
                </c:pt>
                <c:pt idx="65">
                  <c:v>46.790165396863735</c:v>
                </c:pt>
                <c:pt idx="66">
                  <c:v>54.037086901660821</c:v>
                </c:pt>
                <c:pt idx="67">
                  <c:v>61.033250890739737</c:v>
                </c:pt>
                <c:pt idx="68">
                  <c:v>67.821679883479732</c:v>
                </c:pt>
                <c:pt idx="69">
                  <c:v>74.433562403006363</c:v>
                </c:pt>
                <c:pt idx="70">
                  <c:v>80.892465235105632</c:v>
                </c:pt>
                <c:pt idx="71">
                  <c:v>93.421195170469943</c:v>
                </c:pt>
                <c:pt idx="72">
                  <c:v>105.51640679166239</c:v>
                </c:pt>
                <c:pt idx="73">
                  <c:v>117.25247892644929</c:v>
                </c:pt>
                <c:pt idx="74">
                  <c:v>128.68333137830362</c:v>
                </c:pt>
                <c:pt idx="75">
                  <c:v>139.84970722611234</c:v>
                </c:pt>
                <c:pt idx="76">
                  <c:v>150.7833903847087</c:v>
                </c:pt>
                <c:pt idx="77">
                  <c:v>161.50981127020739</c:v>
                </c:pt>
                <c:pt idx="78">
                  <c:v>172.04974020360126</c:v>
                </c:pt>
                <c:pt idx="79">
                  <c:v>182.42043377559702</c:v>
                </c:pt>
                <c:pt idx="82">
                  <c:v>11.110493687047409</c:v>
                </c:pt>
                <c:pt idx="83">
                  <c:v>15.304185932303344</c:v>
                </c:pt>
                <c:pt idx="84">
                  <c:v>19.208207893716576</c:v>
                </c:pt>
                <c:pt idx="85">
                  <c:v>22.910067871226953</c:v>
                </c:pt>
                <c:pt idx="86">
                  <c:v>26.458408898110456</c:v>
                </c:pt>
                <c:pt idx="87">
                  <c:v>29.883970455086175</c:v>
                </c:pt>
                <c:pt idx="88">
                  <c:v>33.207817841466678</c:v>
                </c:pt>
                <c:pt idx="89">
                  <c:v>36.445222026601009</c:v>
                </c:pt>
                <c:pt idx="90">
                  <c:v>39.607722116138426</c:v>
                </c:pt>
                <c:pt idx="91">
                  <c:v>47.241033985386238</c:v>
                </c:pt>
                <c:pt idx="92">
                  <c:v>54.55778660196264</c:v>
                </c:pt>
                <c:pt idx="93">
                  <c:v>61.621365411144758</c:v>
                </c:pt>
                <c:pt idx="94">
                  <c:v>68.47520749597966</c:v>
                </c:pt>
                <c:pt idx="95">
                  <c:v>75.150801911238474</c:v>
                </c:pt>
                <c:pt idx="96">
                  <c:v>81.671942531527037</c:v>
                </c:pt>
                <c:pt idx="97">
                  <c:v>94.32139892156458</c:v>
                </c:pt>
                <c:pt idx="98">
                  <c:v>106.53315962834529</c:v>
                </c:pt>
                <c:pt idx="99">
                  <c:v>118.38232019172243</c:v>
                </c:pt>
                <c:pt idx="101">
                  <c:v>10.967717412429579</c:v>
                </c:pt>
                <c:pt idx="102">
                  <c:v>15.107518285030368</c:v>
                </c:pt>
                <c:pt idx="103">
                  <c:v>18.961371304596614</c:v>
                </c:pt>
                <c:pt idx="104">
                  <c:v>22.615660238764253</c:v>
                </c:pt>
                <c:pt idx="105">
                  <c:v>26.118403029677136</c:v>
                </c:pt>
                <c:pt idx="106">
                  <c:v>29.499944137935152</c:v>
                </c:pt>
                <c:pt idx="107">
                  <c:v>32.781078161562128</c:v>
                </c:pt>
                <c:pt idx="108">
                  <c:v>35.976879829112157</c:v>
                </c:pt>
                <c:pt idx="109">
                  <c:v>39.098739962048093</c:v>
                </c:pt>
                <c:pt idx="110">
                  <c:v>46.633959355625102</c:v>
                </c:pt>
                <c:pt idx="111">
                  <c:v>53.85668746615162</c:v>
                </c:pt>
                <c:pt idx="112">
                  <c:v>60.829495199245535</c:v>
                </c:pt>
                <c:pt idx="113">
                  <c:v>67.595261446295439</c:v>
                </c:pt>
                <c:pt idx="114">
                  <c:v>74.185070609492826</c:v>
                </c:pt>
                <c:pt idx="115">
                  <c:v>80.622410798382987</c:v>
                </c:pt>
                <c:pt idx="116">
                  <c:v>93.109314352319657</c:v>
                </c:pt>
                <c:pt idx="117">
                  <c:v>105.16414686586705</c:v>
                </c:pt>
                <c:pt idx="119">
                  <c:v>10.826442130935622</c:v>
                </c:pt>
                <c:pt idx="120">
                  <c:v>14.912918185653812</c:v>
                </c:pt>
                <c:pt idx="121">
                  <c:v>18.717129684591661</c:v>
                </c:pt>
                <c:pt idx="122">
                  <c:v>22.3243476851802</c:v>
                </c:pt>
                <c:pt idx="123">
                  <c:v>25.781971609953597</c:v>
                </c:pt>
                <c:pt idx="124">
                  <c:v>29.119955052200716</c:v>
                </c:pt>
                <c:pt idx="125">
                  <c:v>32.358824754513037</c:v>
                </c:pt>
                <c:pt idx="126">
                  <c:v>35.513461267710134</c:v>
                </c:pt>
                <c:pt idx="127">
                  <c:v>38.595108687965713</c:v>
                </c:pt>
                <c:pt idx="128">
                  <c:v>46.033266842552386</c:v>
                </c:pt>
                <c:pt idx="129">
                  <c:v>53.162958917539498</c:v>
                </c:pt>
                <c:pt idx="130">
                  <c:v>60.045949842062129</c:v>
                </c:pt>
                <c:pt idx="131">
                  <c:v>66.724566184065154</c:v>
                </c:pt>
                <c:pt idx="132">
                  <c:v>73.229491947233726</c:v>
                </c:pt>
                <c:pt idx="133">
                  <c:v>79.583912690531037</c:v>
                </c:pt>
                <c:pt idx="134">
                  <c:v>91.909972310563006</c:v>
                </c:pt>
                <c:pt idx="136">
                  <c:v>15.190918347735565</c:v>
                </c:pt>
                <c:pt idx="137">
                  <c:v>19.066046309845287</c:v>
                </c:pt>
                <c:pt idx="138">
                  <c:v>22.740508506126691</c:v>
                </c:pt>
                <c:pt idx="139">
                  <c:v>26.262587958620305</c:v>
                </c:pt>
                <c:pt idx="140">
                  <c:v>29.662796642528281</c:v>
                </c:pt>
                <c:pt idx="141">
                  <c:v>32.962043951087423</c:v>
                </c:pt>
                <c:pt idx="142">
                  <c:v>36.175487831900973</c:v>
                </c:pt>
                <c:pt idx="143">
                  <c:v>39.314581988713726</c:v>
                </c:pt>
                <c:pt idx="144">
                  <c:v>46.891399066176682</c:v>
                </c:pt>
                <c:pt idx="145">
                  <c:v>54.153999772979809</c:v>
                </c:pt>
                <c:pt idx="146">
                  <c:v>61.165300433316929</c:v>
                </c:pt>
                <c:pt idx="147">
                  <c:v>67.968416648681085</c:v>
                </c:pt>
                <c:pt idx="148">
                  <c:v>74.594604420664965</c:v>
                </c:pt>
                <c:pt idx="149">
                  <c:v>81.067481523380351</c:v>
                </c:pt>
                <c:pt idx="150">
                  <c:v>93.623318208473592</c:v>
                </c:pt>
                <c:pt idx="151">
                  <c:v>105.74469863336964</c:v>
                </c:pt>
                <c:pt idx="154">
                  <c:v>14.952116997383747</c:v>
                </c:pt>
                <c:pt idx="155">
                  <c:v>18.76632791886729</c:v>
                </c:pt>
                <c:pt idx="156">
                  <c:v>22.383027541866252</c:v>
                </c:pt>
                <c:pt idx="157">
                  <c:v>25.849739878952573</c:v>
                </c:pt>
                <c:pt idx="158">
                  <c:v>29.196497256849398</c:v>
                </c:pt>
                <c:pt idx="159">
                  <c:v>32.443880372975045</c:v>
                </c:pt>
                <c:pt idx="160">
                  <c:v>35.606808891882743</c:v>
                </c:pt>
                <c:pt idx="161">
                  <c:v>38.696556465008527</c:v>
                </c:pt>
                <c:pt idx="162">
                  <c:v>46.154265921190863</c:v>
                </c:pt>
                <c:pt idx="163">
                  <c:v>53.302698490416638</c:v>
                </c:pt>
                <c:pt idx="164">
                  <c:v>60.2037814517915</c:v>
                </c:pt>
                <c:pt idx="165">
                  <c:v>66.899952629229659</c:v>
                </c:pt>
                <c:pt idx="166">
                  <c:v>73.421976679744361</c:v>
                </c:pt>
                <c:pt idx="167">
                  <c:v>79.793100105861242</c:v>
                </c:pt>
                <c:pt idx="168">
                  <c:v>92.151558944101382</c:v>
                </c:pt>
                <c:pt idx="170">
                  <c:v>14.714236938718521</c:v>
                </c:pt>
                <c:pt idx="171">
                  <c:v>18.46776583651787</c:v>
                </c:pt>
                <c:pt idx="172">
                  <c:v>22.026925733293179</c:v>
                </c:pt>
                <c:pt idx="173">
                  <c:v>25.438484560393871</c:v>
                </c:pt>
                <c:pt idx="174">
                  <c:v>28.731996846540028</c:v>
                </c:pt>
                <c:pt idx="175">
                  <c:v>31.927715861434546</c:v>
                </c:pt>
                <c:pt idx="176">
                  <c:v>35.040323905872761</c:v>
                </c:pt>
                <c:pt idx="177">
                  <c:v>38.080915273620768</c:v>
                </c:pt>
                <c:pt idx="178">
                  <c:v>45.419976623768669</c:v>
                </c:pt>
                <c:pt idx="179">
                  <c:v>52.454681514216283</c:v>
                </c:pt>
                <c:pt idx="180">
                  <c:v>59.24597199470081</c:v>
                </c:pt>
                <c:pt idx="181">
                  <c:v>65.835610726412369</c:v>
                </c:pt>
                <c:pt idx="182">
                  <c:v>72.253872917384115</c:v>
                </c:pt>
                <c:pt idx="183">
                  <c:v>78.523635230915175</c:v>
                </c:pt>
                <c:pt idx="184">
                  <c:v>90.685477702792852</c:v>
                </c:pt>
                <c:pt idx="187">
                  <c:v>15.010759845234203</c:v>
                </c:pt>
                <c:pt idx="188">
                  <c:v>18.839930266484721</c:v>
                </c:pt>
                <c:pt idx="189">
                  <c:v>22.470814741417989</c:v>
                </c:pt>
                <c:pt idx="190">
                  <c:v>25.951123673833294</c:v>
                </c:pt>
                <c:pt idx="191">
                  <c:v>29.311007178534684</c:v>
                </c:pt>
                <c:pt idx="192">
                  <c:v>32.57112667132354</c:v>
                </c:pt>
                <c:pt idx="193">
                  <c:v>35.746460332321064</c:v>
                </c:pt>
                <c:pt idx="194">
                  <c:v>38.848326028710524</c:v>
                </c:pt>
                <c:pt idx="195">
                  <c:v>46.335284943081845</c:v>
                </c:pt>
                <c:pt idx="196">
                  <c:v>53.511753973204733</c:v>
                </c:pt>
                <c:pt idx="197">
                  <c:v>60.439903279644852</c:v>
                </c:pt>
                <c:pt idx="199">
                  <c:v>15.010759845234203</c:v>
                </c:pt>
                <c:pt idx="200">
                  <c:v>18.839930266484721</c:v>
                </c:pt>
                <c:pt idx="201">
                  <c:v>22.470814741417989</c:v>
                </c:pt>
                <c:pt idx="202">
                  <c:v>25.951123673833294</c:v>
                </c:pt>
                <c:pt idx="203">
                  <c:v>29.311007178534684</c:v>
                </c:pt>
                <c:pt idx="204">
                  <c:v>32.57112667132354</c:v>
                </c:pt>
                <c:pt idx="205">
                  <c:v>35.746460332321064</c:v>
                </c:pt>
                <c:pt idx="206">
                  <c:v>38.848326028710524</c:v>
                </c:pt>
                <c:pt idx="207">
                  <c:v>46.335284943081845</c:v>
                </c:pt>
                <c:pt idx="208">
                  <c:v>53.511753973204733</c:v>
                </c:pt>
                <c:pt idx="210">
                  <c:v>18.085534100787299</c:v>
                </c:pt>
                <c:pt idx="211">
                  <c:v>21.57102921985587</c:v>
                </c:pt>
                <c:pt idx="212">
                  <c:v>24.911978203645077</c:v>
                </c:pt>
                <c:pt idx="213">
                  <c:v>28.137323883774698</c:v>
                </c:pt>
                <c:pt idx="214">
                  <c:v>31.266900343214299</c:v>
                </c:pt>
                <c:pt idx="215">
                  <c:v>34.315085999692506</c:v>
                </c:pt>
                <c:pt idx="216">
                  <c:v>37.292745525742404</c:v>
                </c:pt>
                <c:pt idx="217">
                  <c:v>44.479908580052417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6-4543-A237-5A286419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572240"/>
        <c:axId val="856583760"/>
      </c:lineChart>
      <c:catAx>
        <c:axId val="85657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583760"/>
        <c:crosses val="autoZero"/>
        <c:auto val="1"/>
        <c:lblAlgn val="ctr"/>
        <c:lblOffset val="100"/>
        <c:noMultiLvlLbl val="0"/>
      </c:catAx>
      <c:valAx>
        <c:axId val="8565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5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Gyroid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Gyroid_汇总!$AO$1</c:f>
              <c:strCache>
                <c:ptCount val="1"/>
                <c:pt idx="0">
                  <c:v>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Gyroid_汇总!$AO$2:$AO$219</c:f>
              <c:numCache>
                <c:formatCode>General</c:formatCode>
                <c:ptCount val="218"/>
                <c:pt idx="1">
                  <c:v>12.66917862137446</c:v>
                </c:pt>
                <c:pt idx="2">
                  <c:v>17.68576222224927</c:v>
                </c:pt>
                <c:pt idx="3">
                  <c:v>23.130792056559748</c:v>
                </c:pt>
                <c:pt idx="4">
                  <c:v>26.134532438164609</c:v>
                </c:pt>
                <c:pt idx="5">
                  <c:v>29.740481017454481</c:v>
                </c:pt>
                <c:pt idx="6">
                  <c:v>32.028948330756613</c:v>
                </c:pt>
                <c:pt idx="7">
                  <c:v>34.383727509483883</c:v>
                </c:pt>
                <c:pt idx="8">
                  <c:v>37.410980525451329</c:v>
                </c:pt>
                <c:pt idx="9">
                  <c:v>40.115614682948632</c:v>
                </c:pt>
                <c:pt idx="10">
                  <c:v>44.473254918859347</c:v>
                </c:pt>
                <c:pt idx="11">
                  <c:v>51.60817439797075</c:v>
                </c:pt>
                <c:pt idx="12">
                  <c:v>54.689185898080197</c:v>
                </c:pt>
                <c:pt idx="13">
                  <c:v>60.449953227403078</c:v>
                </c:pt>
                <c:pt idx="14">
                  <c:v>65.668288880173805</c:v>
                </c:pt>
                <c:pt idx="15">
                  <c:v>70.307389614922783</c:v>
                </c:pt>
                <c:pt idx="16">
                  <c:v>80.414490120435019</c:v>
                </c:pt>
                <c:pt idx="17">
                  <c:v>90.259012199254826</c:v>
                </c:pt>
                <c:pt idx="18">
                  <c:v>103.4968041263654</c:v>
                </c:pt>
                <c:pt idx="19">
                  <c:v>118.4017308184813</c:v>
                </c:pt>
                <c:pt idx="20">
                  <c:v>131.68616991517649</c:v>
                </c:pt>
                <c:pt idx="21">
                  <c:v>147.670454476636</c:v>
                </c:pt>
                <c:pt idx="22">
                  <c:v>168.851645916162</c:v>
                </c:pt>
                <c:pt idx="23">
                  <c:v>185.23902466655599</c:v>
                </c:pt>
                <c:pt idx="24">
                  <c:v>201.612402984657</c:v>
                </c:pt>
                <c:pt idx="25">
                  <c:v>225.12727262334079</c:v>
                </c:pt>
                <c:pt idx="26">
                  <c:v>268.26715058598069</c:v>
                </c:pt>
                <c:pt idx="29">
                  <c:v>12.21802450817613</c:v>
                </c:pt>
                <c:pt idx="30">
                  <c:v>17.477993404524479</c:v>
                </c:pt>
                <c:pt idx="31">
                  <c:v>22.362665092097071</c:v>
                </c:pt>
                <c:pt idx="32">
                  <c:v>25.84424261746468</c:v>
                </c:pt>
                <c:pt idx="33">
                  <c:v>28.631737583744439</c:v>
                </c:pt>
                <c:pt idx="34">
                  <c:v>31.831291337160408</c:v>
                </c:pt>
                <c:pt idx="35">
                  <c:v>34.494552866670809</c:v>
                </c:pt>
                <c:pt idx="36">
                  <c:v>36.599640424238871</c:v>
                </c:pt>
                <c:pt idx="37">
                  <c:v>38.14648935222209</c:v>
                </c:pt>
                <c:pt idx="38">
                  <c:v>46.72565037387988</c:v>
                </c:pt>
                <c:pt idx="39">
                  <c:v>50.871491973092787</c:v>
                </c:pt>
                <c:pt idx="40">
                  <c:v>56.093699875125729</c:v>
                </c:pt>
                <c:pt idx="41">
                  <c:v>62.279651906399778</c:v>
                </c:pt>
                <c:pt idx="42">
                  <c:v>66.097204270708943</c:v>
                </c:pt>
                <c:pt idx="43">
                  <c:v>71.314471548022411</c:v>
                </c:pt>
                <c:pt idx="44">
                  <c:v>81.439608610466337</c:v>
                </c:pt>
                <c:pt idx="45">
                  <c:v>96.23133047565247</c:v>
                </c:pt>
                <c:pt idx="46">
                  <c:v>106.7969774064758</c:v>
                </c:pt>
                <c:pt idx="47">
                  <c:v>122.73551276114431</c:v>
                </c:pt>
                <c:pt idx="48">
                  <c:v>137.5588139575022</c:v>
                </c:pt>
                <c:pt idx="49">
                  <c:v>165.03589868964519</c:v>
                </c:pt>
                <c:pt idx="50">
                  <c:v>189.76041552687499</c:v>
                </c:pt>
                <c:pt idx="51">
                  <c:v>202.84381118632211</c:v>
                </c:pt>
                <c:pt idx="52">
                  <c:v>228.05346627346171</c:v>
                </c:pt>
                <c:pt idx="53">
                  <c:v>259.87991562871059</c:v>
                </c:pt>
                <c:pt idx="56">
                  <c:v>11.88786044682441</c:v>
                </c:pt>
                <c:pt idx="57">
                  <c:v>16.856346530968828</c:v>
                </c:pt>
                <c:pt idx="58">
                  <c:v>21.521301807195261</c:v>
                </c:pt>
                <c:pt idx="59">
                  <c:v>25.29998875407647</c:v>
                </c:pt>
                <c:pt idx="60">
                  <c:v>28.474814232842029</c:v>
                </c:pt>
                <c:pt idx="61">
                  <c:v>30.870264195584689</c:v>
                </c:pt>
                <c:pt idx="62">
                  <c:v>33.713780261818449</c:v>
                </c:pt>
                <c:pt idx="63">
                  <c:v>35.621142538411647</c:v>
                </c:pt>
                <c:pt idx="64">
                  <c:v>37.642442673279277</c:v>
                </c:pt>
                <c:pt idx="65">
                  <c:v>45.037980715450551</c:v>
                </c:pt>
                <c:pt idx="66">
                  <c:v>51.070438875269453</c:v>
                </c:pt>
                <c:pt idx="67">
                  <c:v>54.061833736084807</c:v>
                </c:pt>
                <c:pt idx="68">
                  <c:v>61.121292638103377</c:v>
                </c:pt>
                <c:pt idx="69">
                  <c:v>67.553474120933402</c:v>
                </c:pt>
                <c:pt idx="70">
                  <c:v>72.241539942735272</c:v>
                </c:pt>
                <c:pt idx="71">
                  <c:v>83.388428395372969</c:v>
                </c:pt>
                <c:pt idx="72">
                  <c:v>98.725427197159888</c:v>
                </c:pt>
                <c:pt idx="73">
                  <c:v>113.0053990276954</c:v>
                </c:pt>
                <c:pt idx="74">
                  <c:v>128.12148671012829</c:v>
                </c:pt>
                <c:pt idx="75">
                  <c:v>151.82437048347009</c:v>
                </c:pt>
                <c:pt idx="76">
                  <c:v>178.51764947082029</c:v>
                </c:pt>
                <c:pt idx="77">
                  <c:v>208.21741907969559</c:v>
                </c:pt>
                <c:pt idx="78">
                  <c:v>215.45092447017649</c:v>
                </c:pt>
                <c:pt idx="79">
                  <c:v>270.00637383724711</c:v>
                </c:pt>
                <c:pt idx="82">
                  <c:v>11.283744270004229</c:v>
                </c:pt>
                <c:pt idx="83">
                  <c:v>16.55899829032472</c:v>
                </c:pt>
                <c:pt idx="84">
                  <c:v>20.56401834067</c:v>
                </c:pt>
                <c:pt idx="85">
                  <c:v>23.17270320169397</c:v>
                </c:pt>
                <c:pt idx="86">
                  <c:v>27.207241738823932</c:v>
                </c:pt>
                <c:pt idx="87">
                  <c:v>30.76260861676127</c:v>
                </c:pt>
                <c:pt idx="88">
                  <c:v>33.186296795453501</c:v>
                </c:pt>
                <c:pt idx="89">
                  <c:v>36.089585448673638</c:v>
                </c:pt>
                <c:pt idx="90">
                  <c:v>37.713193818702273</c:v>
                </c:pt>
                <c:pt idx="91">
                  <c:v>43.857001969065507</c:v>
                </c:pt>
                <c:pt idx="92">
                  <c:v>49.656979743934073</c:v>
                </c:pt>
                <c:pt idx="93">
                  <c:v>56.149505551706177</c:v>
                </c:pt>
                <c:pt idx="94">
                  <c:v>62.879917608734218</c:v>
                </c:pt>
                <c:pt idx="95">
                  <c:v>71.462927994880133</c:v>
                </c:pt>
                <c:pt idx="96">
                  <c:v>76.245461746102208</c:v>
                </c:pt>
                <c:pt idx="97">
                  <c:v>89.050909317603669</c:v>
                </c:pt>
                <c:pt idx="98">
                  <c:v>102.3966289907794</c:v>
                </c:pt>
                <c:pt idx="99">
                  <c:v>125.7717265750329</c:v>
                </c:pt>
                <c:pt idx="101">
                  <c:v>10.821357838823021</c:v>
                </c:pt>
                <c:pt idx="102">
                  <c:v>16.382043723732931</c:v>
                </c:pt>
                <c:pt idx="103">
                  <c:v>20.126698901646069</c:v>
                </c:pt>
                <c:pt idx="104">
                  <c:v>23.42610449368852</c:v>
                </c:pt>
                <c:pt idx="105">
                  <c:v>27.64775655869315</c:v>
                </c:pt>
                <c:pt idx="106">
                  <c:v>30.194244559115639</c:v>
                </c:pt>
                <c:pt idx="107">
                  <c:v>32.796797150700407</c:v>
                </c:pt>
                <c:pt idx="108">
                  <c:v>35.850390569090273</c:v>
                </c:pt>
                <c:pt idx="109">
                  <c:v>39.113320544904447</c:v>
                </c:pt>
                <c:pt idx="110">
                  <c:v>46.67581904066455</c:v>
                </c:pt>
                <c:pt idx="111">
                  <c:v>53.286911345365993</c:v>
                </c:pt>
                <c:pt idx="112">
                  <c:v>60.412974126764219</c:v>
                </c:pt>
                <c:pt idx="113">
                  <c:v>67.834496340477386</c:v>
                </c:pt>
                <c:pt idx="114">
                  <c:v>72.566536150959124</c:v>
                </c:pt>
                <c:pt idx="115">
                  <c:v>82.773623283165662</c:v>
                </c:pt>
                <c:pt idx="116">
                  <c:v>99.547169888467408</c:v>
                </c:pt>
                <c:pt idx="117">
                  <c:v>115.9768616724452</c:v>
                </c:pt>
                <c:pt idx="119">
                  <c:v>10.376452432931149</c:v>
                </c:pt>
                <c:pt idx="120">
                  <c:v>15.24424859511103</c:v>
                </c:pt>
                <c:pt idx="121">
                  <c:v>19.048258731985118</c:v>
                </c:pt>
                <c:pt idx="122">
                  <c:v>23.60674456988502</c:v>
                </c:pt>
                <c:pt idx="123">
                  <c:v>26.262577871737761</c:v>
                </c:pt>
                <c:pt idx="124">
                  <c:v>29.89734763471472</c:v>
                </c:pt>
                <c:pt idx="125">
                  <c:v>32.253702523040673</c:v>
                </c:pt>
                <c:pt idx="126">
                  <c:v>34.717681101066731</c:v>
                </c:pt>
                <c:pt idx="127">
                  <c:v>37.661825032268503</c:v>
                </c:pt>
                <c:pt idx="128">
                  <c:v>44.676202591884973</c:v>
                </c:pt>
                <c:pt idx="129">
                  <c:v>52.791647322234567</c:v>
                </c:pt>
                <c:pt idx="130">
                  <c:v>60.662953379425097</c:v>
                </c:pt>
                <c:pt idx="131">
                  <c:v>65.474254593012844</c:v>
                </c:pt>
                <c:pt idx="132">
                  <c:v>75.626608541982236</c:v>
                </c:pt>
                <c:pt idx="133">
                  <c:v>83.169478986676694</c:v>
                </c:pt>
                <c:pt idx="134">
                  <c:v>98.529457453813606</c:v>
                </c:pt>
                <c:pt idx="136">
                  <c:v>15.80678545880259</c:v>
                </c:pt>
                <c:pt idx="137">
                  <c:v>18.88625486224209</c:v>
                </c:pt>
                <c:pt idx="138">
                  <c:v>22.379960910356811</c:v>
                </c:pt>
                <c:pt idx="139">
                  <c:v>25.676026080856929</c:v>
                </c:pt>
                <c:pt idx="140">
                  <c:v>28.66616291753963</c:v>
                </c:pt>
                <c:pt idx="141">
                  <c:v>31.62597221053327</c:v>
                </c:pt>
                <c:pt idx="142">
                  <c:v>33.953683969485951</c:v>
                </c:pt>
                <c:pt idx="143">
                  <c:v>37.843363308915457</c:v>
                </c:pt>
                <c:pt idx="144">
                  <c:v>44.462750700614137</c:v>
                </c:pt>
                <c:pt idx="145">
                  <c:v>51.467455627148453</c:v>
                </c:pt>
                <c:pt idx="146">
                  <c:v>60.597283276742239</c:v>
                </c:pt>
                <c:pt idx="147">
                  <c:v>65.642835280390159</c:v>
                </c:pt>
                <c:pt idx="148">
                  <c:v>72.162251617535773</c:v>
                </c:pt>
                <c:pt idx="149">
                  <c:v>83.276663672540849</c:v>
                </c:pt>
                <c:pt idx="150">
                  <c:v>106.2108037831287</c:v>
                </c:pt>
                <c:pt idx="151">
                  <c:v>138.94261460625589</c:v>
                </c:pt>
                <c:pt idx="154">
                  <c:v>15.217182786493259</c:v>
                </c:pt>
                <c:pt idx="155">
                  <c:v>19.391212978013389</c:v>
                </c:pt>
                <c:pt idx="156">
                  <c:v>22.829793500593489</c:v>
                </c:pt>
                <c:pt idx="157">
                  <c:v>26.555964710262899</c:v>
                </c:pt>
                <c:pt idx="158">
                  <c:v>28.882144796861919</c:v>
                </c:pt>
                <c:pt idx="159">
                  <c:v>29.878201788960521</c:v>
                </c:pt>
                <c:pt idx="160">
                  <c:v>33.99320717925368</c:v>
                </c:pt>
                <c:pt idx="161">
                  <c:v>35.548839513921372</c:v>
                </c:pt>
                <c:pt idx="162">
                  <c:v>39.417984560472583</c:v>
                </c:pt>
                <c:pt idx="163">
                  <c:v>43.600259977573593</c:v>
                </c:pt>
                <c:pt idx="164">
                  <c:v>48.803257256517142</c:v>
                </c:pt>
                <c:pt idx="165">
                  <c:v>54.511863893404112</c:v>
                </c:pt>
                <c:pt idx="166">
                  <c:v>60.112472462974871</c:v>
                </c:pt>
                <c:pt idx="167">
                  <c:v>65.904568236891876</c:v>
                </c:pt>
                <c:pt idx="168">
                  <c:v>78.216313048711044</c:v>
                </c:pt>
                <c:pt idx="170">
                  <c:v>13.91221374759213</c:v>
                </c:pt>
                <c:pt idx="171">
                  <c:v>17.253546947742791</c:v>
                </c:pt>
                <c:pt idx="172">
                  <c:v>20.827501175386079</c:v>
                </c:pt>
                <c:pt idx="173">
                  <c:v>23.976199258602762</c:v>
                </c:pt>
                <c:pt idx="174">
                  <c:v>27.53075137731194</c:v>
                </c:pt>
                <c:pt idx="175">
                  <c:v>28.932464645138172</c:v>
                </c:pt>
                <c:pt idx="176">
                  <c:v>31.61482065220698</c:v>
                </c:pt>
                <c:pt idx="177">
                  <c:v>34.738903974878163</c:v>
                </c:pt>
                <c:pt idx="178">
                  <c:v>43.123849792455893</c:v>
                </c:pt>
                <c:pt idx="179">
                  <c:v>52.080510320890461</c:v>
                </c:pt>
                <c:pt idx="180">
                  <c:v>61.01666689366175</c:v>
                </c:pt>
                <c:pt idx="181">
                  <c:v>66.211907688885617</c:v>
                </c:pt>
                <c:pt idx="182">
                  <c:v>81.482135324249938</c:v>
                </c:pt>
                <c:pt idx="183">
                  <c:v>89.031215264002554</c:v>
                </c:pt>
                <c:pt idx="184">
                  <c:v>134.40746278394721</c:v>
                </c:pt>
                <c:pt idx="187">
                  <c:v>14.13899069715761</c:v>
                </c:pt>
                <c:pt idx="188">
                  <c:v>18.019715999095869</c:v>
                </c:pt>
                <c:pt idx="189">
                  <c:v>21.201574709445222</c:v>
                </c:pt>
                <c:pt idx="190">
                  <c:v>24.394517728634149</c:v>
                </c:pt>
                <c:pt idx="191">
                  <c:v>28.470244744301841</c:v>
                </c:pt>
                <c:pt idx="192">
                  <c:v>31.398047911912592</c:v>
                </c:pt>
                <c:pt idx="193">
                  <c:v>34.606359789742953</c:v>
                </c:pt>
                <c:pt idx="194">
                  <c:v>37.468088707097003</c:v>
                </c:pt>
                <c:pt idx="195">
                  <c:v>45.945775616177578</c:v>
                </c:pt>
                <c:pt idx="196">
                  <c:v>55.895841509640483</c:v>
                </c:pt>
                <c:pt idx="197">
                  <c:v>65.017215181263268</c:v>
                </c:pt>
                <c:pt idx="199">
                  <c:v>15.355604226337491</c:v>
                </c:pt>
                <c:pt idx="200">
                  <c:v>19.543670944461859</c:v>
                </c:pt>
                <c:pt idx="201">
                  <c:v>24.039221168847519</c:v>
                </c:pt>
                <c:pt idx="202">
                  <c:v>27.445694444247859</c:v>
                </c:pt>
                <c:pt idx="203">
                  <c:v>31.879570424227119</c:v>
                </c:pt>
                <c:pt idx="204">
                  <c:v>35.033962857073192</c:v>
                </c:pt>
                <c:pt idx="205">
                  <c:v>39.017054868303227</c:v>
                </c:pt>
                <c:pt idx="206">
                  <c:v>43.945714006396209</c:v>
                </c:pt>
                <c:pt idx="207">
                  <c:v>56.280726554711798</c:v>
                </c:pt>
                <c:pt idx="208">
                  <c:v>70.20879569638268</c:v>
                </c:pt>
                <c:pt idx="210">
                  <c:v>17.098163907979249</c:v>
                </c:pt>
                <c:pt idx="211">
                  <c:v>20.132746067525449</c:v>
                </c:pt>
                <c:pt idx="212">
                  <c:v>24.911547568617511</c:v>
                </c:pt>
                <c:pt idx="213">
                  <c:v>29.063847467813339</c:v>
                </c:pt>
                <c:pt idx="214">
                  <c:v>32.656677763632267</c:v>
                </c:pt>
                <c:pt idx="215">
                  <c:v>36.383308865977362</c:v>
                </c:pt>
                <c:pt idx="216">
                  <c:v>39.81773571000317</c:v>
                </c:pt>
                <c:pt idx="217">
                  <c:v>51.463827017872248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8-4628-AB4F-AB7B9A0E4766}"/>
            </c:ext>
          </c:extLst>
        </c:ser>
        <c:ser>
          <c:idx val="1"/>
          <c:order val="1"/>
          <c:tx>
            <c:strRef>
              <c:f>Gyroid_汇总!$AZ$1</c:f>
              <c:strCache>
                <c:ptCount val="1"/>
                <c:pt idx="0">
                  <c:v>Nu_pre_deepseek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Gyroid_汇总!$AZ$2:$AZ$219</c:f>
              <c:numCache>
                <c:formatCode>General</c:formatCode>
                <c:ptCount val="218"/>
                <c:pt idx="1">
                  <c:v>11.219009214649756</c:v>
                </c:pt>
                <c:pt idx="2">
                  <c:v>15.453661001345903</c:v>
                </c:pt>
                <c:pt idx="3">
                  <c:v>19.395813311854944</c:v>
                </c:pt>
                <c:pt idx="4">
                  <c:v>23.133829134450572</c:v>
                </c:pt>
                <c:pt idx="5">
                  <c:v>26.716826596006662</c:v>
                </c:pt>
                <c:pt idx="6">
                  <c:v>30.175845407912728</c:v>
                </c:pt>
                <c:pt idx="7">
                  <c:v>33.532156613000339</c:v>
                </c:pt>
                <c:pt idx="8">
                  <c:v>36.801180331263197</c:v>
                </c:pt>
                <c:pt idx="9">
                  <c:v>39.994568370105583</c:v>
                </c:pt>
                <c:pt idx="10">
                  <c:v>47.702434340024034</c:v>
                </c:pt>
                <c:pt idx="11">
                  <c:v>55.090649241975683</c:v>
                </c:pt>
                <c:pt idx="12">
                  <c:v>62.223217603092174</c:v>
                </c:pt>
                <c:pt idx="13">
                  <c:v>69.144000753813842</c:v>
                </c:pt>
                <c:pt idx="14">
                  <c:v>75.884795300627161</c:v>
                </c:pt>
                <c:pt idx="15">
                  <c:v>82.469627511488767</c:v>
                </c:pt>
                <c:pt idx="16">
                  <c:v>95.242630385842133</c:v>
                </c:pt>
                <c:pt idx="17">
                  <c:v>107.57366262936785</c:v>
                </c:pt>
                <c:pt idx="18">
                  <c:v>119.53855323556741</c:v>
                </c:pt>
                <c:pt idx="19">
                  <c:v>131.1922732835763</c:v>
                </c:pt>
                <c:pt idx="20">
                  <c:v>142.57636022103839</c:v>
                </c:pt>
                <c:pt idx="21">
                  <c:v>153.72321765451369</c:v>
                </c:pt>
                <c:pt idx="22">
                  <c:v>164.65877181753146</c:v>
                </c:pt>
                <c:pt idx="23">
                  <c:v>175.40419799051611</c:v>
                </c:pt>
                <c:pt idx="24">
                  <c:v>185.97708921632474</c:v>
                </c:pt>
                <c:pt idx="25">
                  <c:v>196.39227453210438</c:v>
                </c:pt>
                <c:pt idx="26">
                  <c:v>206.66240821861035</c:v>
                </c:pt>
                <c:pt idx="29">
                  <c:v>11.111890182016548</c:v>
                </c:pt>
                <c:pt idx="30">
                  <c:v>15.306109538874145</c:v>
                </c:pt>
                <c:pt idx="31">
                  <c:v>19.210622202787381</c:v>
                </c:pt>
                <c:pt idx="32">
                  <c:v>22.91294747274836</c:v>
                </c:pt>
                <c:pt idx="33">
                  <c:v>26.461734496050422</c:v>
                </c:pt>
                <c:pt idx="34">
                  <c:v>29.887726617105066</c:v>
                </c:pt>
                <c:pt idx="35">
                  <c:v>33.211991782954605</c:v>
                </c:pt>
                <c:pt idx="36">
                  <c:v>36.449802882379601</c:v>
                </c:pt>
                <c:pt idx="37">
                  <c:v>39.612700471397183</c:v>
                </c:pt>
                <c:pt idx="38">
                  <c:v>47.246971783305554</c:v>
                </c:pt>
                <c:pt idx="39">
                  <c:v>54.564644053725196</c:v>
                </c:pt>
                <c:pt idx="40">
                  <c:v>61.629110694946903</c:v>
                </c:pt>
                <c:pt idx="41">
                  <c:v>68.483814249691292</c:v>
                </c:pt>
                <c:pt idx="42">
                  <c:v>75.160247730636954</c:v>
                </c:pt>
                <c:pt idx="43">
                  <c:v>81.68220800307833</c:v>
                </c:pt>
                <c:pt idx="44">
                  <c:v>94.333254322664331</c:v>
                </c:pt>
                <c:pt idx="45">
                  <c:v>106.54654994435266</c:v>
                </c:pt>
                <c:pt idx="46">
                  <c:v>118.39719984687005</c:v>
                </c:pt>
                <c:pt idx="47">
                  <c:v>129.93965024581843</c:v>
                </c:pt>
                <c:pt idx="48">
                  <c:v>141.21504198954085</c:v>
                </c:pt>
                <c:pt idx="49">
                  <c:v>152.25546929515644</c:v>
                </c:pt>
                <c:pt idx="50">
                  <c:v>163.08661085267241</c:v>
                </c:pt>
                <c:pt idx="51">
                  <c:v>173.72943976106276</c:v>
                </c:pt>
                <c:pt idx="52">
                  <c:v>184.20138108491696</c:v>
                </c:pt>
                <c:pt idx="53">
                  <c:v>194.51712227382438</c:v>
                </c:pt>
                <c:pt idx="56">
                  <c:v>11.004455097629215</c:v>
                </c:pt>
                <c:pt idx="57">
                  <c:v>15.158122729878134</c:v>
                </c:pt>
                <c:pt idx="58">
                  <c:v>19.024884692455448</c:v>
                </c:pt>
                <c:pt idx="59">
                  <c:v>22.691414105789679</c:v>
                </c:pt>
                <c:pt idx="60">
                  <c:v>26.205889753882314</c:v>
                </c:pt>
                <c:pt idx="61">
                  <c:v>29.598757739744237</c:v>
                </c:pt>
                <c:pt idx="62">
                  <c:v>32.890882315399949</c:v>
                </c:pt>
                <c:pt idx="63">
                  <c:v>36.097388704015266</c:v>
                </c:pt>
                <c:pt idx="64">
                  <c:v>39.229705881976003</c:v>
                </c:pt>
                <c:pt idx="65">
                  <c:v>46.790165396863735</c:v>
                </c:pt>
                <c:pt idx="66">
                  <c:v>54.037086901660821</c:v>
                </c:pt>
                <c:pt idx="67">
                  <c:v>61.033250890739737</c:v>
                </c:pt>
                <c:pt idx="68">
                  <c:v>67.821679883479732</c:v>
                </c:pt>
                <c:pt idx="69">
                  <c:v>74.433562403006363</c:v>
                </c:pt>
                <c:pt idx="70">
                  <c:v>80.892465235105632</c:v>
                </c:pt>
                <c:pt idx="71">
                  <c:v>93.421195170469943</c:v>
                </c:pt>
                <c:pt idx="72">
                  <c:v>105.51640679166239</c:v>
                </c:pt>
                <c:pt idx="73">
                  <c:v>117.25247892644929</c:v>
                </c:pt>
                <c:pt idx="74">
                  <c:v>128.68333137830362</c:v>
                </c:pt>
                <c:pt idx="75">
                  <c:v>139.84970722611234</c:v>
                </c:pt>
                <c:pt idx="76">
                  <c:v>150.7833903847087</c:v>
                </c:pt>
                <c:pt idx="77">
                  <c:v>161.50981127020739</c:v>
                </c:pt>
                <c:pt idx="78">
                  <c:v>172.04974020360126</c:v>
                </c:pt>
                <c:pt idx="79">
                  <c:v>182.42043377559702</c:v>
                </c:pt>
                <c:pt idx="82">
                  <c:v>11.110493687047409</c:v>
                </c:pt>
                <c:pt idx="83">
                  <c:v>15.304185932303344</c:v>
                </c:pt>
                <c:pt idx="84">
                  <c:v>19.208207893716576</c:v>
                </c:pt>
                <c:pt idx="85">
                  <c:v>22.910067871226953</c:v>
                </c:pt>
                <c:pt idx="86">
                  <c:v>26.458408898110456</c:v>
                </c:pt>
                <c:pt idx="87">
                  <c:v>29.883970455086175</c:v>
                </c:pt>
                <c:pt idx="88">
                  <c:v>33.207817841466678</c:v>
                </c:pt>
                <c:pt idx="89">
                  <c:v>36.445222026601009</c:v>
                </c:pt>
                <c:pt idx="90">
                  <c:v>39.607722116138426</c:v>
                </c:pt>
                <c:pt idx="91">
                  <c:v>47.241033985386238</c:v>
                </c:pt>
                <c:pt idx="92">
                  <c:v>54.55778660196264</c:v>
                </c:pt>
                <c:pt idx="93">
                  <c:v>61.621365411144758</c:v>
                </c:pt>
                <c:pt idx="94">
                  <c:v>68.47520749597966</c:v>
                </c:pt>
                <c:pt idx="95">
                  <c:v>75.150801911238474</c:v>
                </c:pt>
                <c:pt idx="96">
                  <c:v>81.671942531527037</c:v>
                </c:pt>
                <c:pt idx="97">
                  <c:v>94.32139892156458</c:v>
                </c:pt>
                <c:pt idx="98">
                  <c:v>106.53315962834529</c:v>
                </c:pt>
                <c:pt idx="99">
                  <c:v>118.38232019172243</c:v>
                </c:pt>
                <c:pt idx="101">
                  <c:v>10.967717412429579</c:v>
                </c:pt>
                <c:pt idx="102">
                  <c:v>15.107518285030368</c:v>
                </c:pt>
                <c:pt idx="103">
                  <c:v>18.961371304596614</c:v>
                </c:pt>
                <c:pt idx="104">
                  <c:v>22.615660238764253</c:v>
                </c:pt>
                <c:pt idx="105">
                  <c:v>26.118403029677136</c:v>
                </c:pt>
                <c:pt idx="106">
                  <c:v>29.499944137935152</c:v>
                </c:pt>
                <c:pt idx="107">
                  <c:v>32.781078161562128</c:v>
                </c:pt>
                <c:pt idx="108">
                  <c:v>35.976879829112157</c:v>
                </c:pt>
                <c:pt idx="109">
                  <c:v>39.098739962048093</c:v>
                </c:pt>
                <c:pt idx="110">
                  <c:v>46.633959355625102</c:v>
                </c:pt>
                <c:pt idx="111">
                  <c:v>53.85668746615162</c:v>
                </c:pt>
                <c:pt idx="112">
                  <c:v>60.829495199245535</c:v>
                </c:pt>
                <c:pt idx="113">
                  <c:v>67.595261446295439</c:v>
                </c:pt>
                <c:pt idx="114">
                  <c:v>74.185070609492826</c:v>
                </c:pt>
                <c:pt idx="115">
                  <c:v>80.622410798382987</c:v>
                </c:pt>
                <c:pt idx="116">
                  <c:v>93.109314352319657</c:v>
                </c:pt>
                <c:pt idx="117">
                  <c:v>105.16414686586705</c:v>
                </c:pt>
                <c:pt idx="119">
                  <c:v>10.826442130935622</c:v>
                </c:pt>
                <c:pt idx="120">
                  <c:v>14.912918185653812</c:v>
                </c:pt>
                <c:pt idx="121">
                  <c:v>18.717129684591661</c:v>
                </c:pt>
                <c:pt idx="122">
                  <c:v>22.3243476851802</c:v>
                </c:pt>
                <c:pt idx="123">
                  <c:v>25.781971609953597</c:v>
                </c:pt>
                <c:pt idx="124">
                  <c:v>29.119955052200716</c:v>
                </c:pt>
                <c:pt idx="125">
                  <c:v>32.358824754513037</c:v>
                </c:pt>
                <c:pt idx="126">
                  <c:v>35.513461267710134</c:v>
                </c:pt>
                <c:pt idx="127">
                  <c:v>38.595108687965713</c:v>
                </c:pt>
                <c:pt idx="128">
                  <c:v>46.033266842552386</c:v>
                </c:pt>
                <c:pt idx="129">
                  <c:v>53.162958917539498</c:v>
                </c:pt>
                <c:pt idx="130">
                  <c:v>60.045949842062129</c:v>
                </c:pt>
                <c:pt idx="131">
                  <c:v>66.724566184065154</c:v>
                </c:pt>
                <c:pt idx="132">
                  <c:v>73.229491947233726</c:v>
                </c:pt>
                <c:pt idx="133">
                  <c:v>79.583912690531037</c:v>
                </c:pt>
                <c:pt idx="134">
                  <c:v>91.909972310563006</c:v>
                </c:pt>
                <c:pt idx="136">
                  <c:v>15.190918347735565</c:v>
                </c:pt>
                <c:pt idx="137">
                  <c:v>19.066046309845287</c:v>
                </c:pt>
                <c:pt idx="138">
                  <c:v>22.740508506126691</c:v>
                </c:pt>
                <c:pt idx="139">
                  <c:v>26.262587958620305</c:v>
                </c:pt>
                <c:pt idx="140">
                  <c:v>29.662796642528281</c:v>
                </c:pt>
                <c:pt idx="141">
                  <c:v>32.962043951087423</c:v>
                </c:pt>
                <c:pt idx="142">
                  <c:v>36.175487831900973</c:v>
                </c:pt>
                <c:pt idx="143">
                  <c:v>39.314581988713726</c:v>
                </c:pt>
                <c:pt idx="144">
                  <c:v>46.891399066176682</c:v>
                </c:pt>
                <c:pt idx="145">
                  <c:v>54.153999772979809</c:v>
                </c:pt>
                <c:pt idx="146">
                  <c:v>61.165300433316929</c:v>
                </c:pt>
                <c:pt idx="147">
                  <c:v>67.968416648681085</c:v>
                </c:pt>
                <c:pt idx="148">
                  <c:v>74.594604420664965</c:v>
                </c:pt>
                <c:pt idx="149">
                  <c:v>81.067481523380351</c:v>
                </c:pt>
                <c:pt idx="150">
                  <c:v>93.623318208473592</c:v>
                </c:pt>
                <c:pt idx="151">
                  <c:v>105.74469863336964</c:v>
                </c:pt>
                <c:pt idx="154">
                  <c:v>14.952116997383747</c:v>
                </c:pt>
                <c:pt idx="155">
                  <c:v>18.76632791886729</c:v>
                </c:pt>
                <c:pt idx="156">
                  <c:v>22.383027541866252</c:v>
                </c:pt>
                <c:pt idx="157">
                  <c:v>25.849739878952573</c:v>
                </c:pt>
                <c:pt idx="158">
                  <c:v>29.196497256849398</c:v>
                </c:pt>
                <c:pt idx="159">
                  <c:v>32.443880372975045</c:v>
                </c:pt>
                <c:pt idx="160">
                  <c:v>35.606808891882743</c:v>
                </c:pt>
                <c:pt idx="161">
                  <c:v>38.696556465008527</c:v>
                </c:pt>
                <c:pt idx="162">
                  <c:v>46.154265921190863</c:v>
                </c:pt>
                <c:pt idx="163">
                  <c:v>53.302698490416638</c:v>
                </c:pt>
                <c:pt idx="164">
                  <c:v>60.2037814517915</c:v>
                </c:pt>
                <c:pt idx="165">
                  <c:v>66.899952629229659</c:v>
                </c:pt>
                <c:pt idx="166">
                  <c:v>73.421976679744361</c:v>
                </c:pt>
                <c:pt idx="167">
                  <c:v>79.793100105861242</c:v>
                </c:pt>
                <c:pt idx="168">
                  <c:v>92.151558944101382</c:v>
                </c:pt>
                <c:pt idx="170">
                  <c:v>14.714236938718521</c:v>
                </c:pt>
                <c:pt idx="171">
                  <c:v>18.46776583651787</c:v>
                </c:pt>
                <c:pt idx="172">
                  <c:v>22.026925733293179</c:v>
                </c:pt>
                <c:pt idx="173">
                  <c:v>25.438484560393871</c:v>
                </c:pt>
                <c:pt idx="174">
                  <c:v>28.731996846540028</c:v>
                </c:pt>
                <c:pt idx="175">
                  <c:v>31.927715861434546</c:v>
                </c:pt>
                <c:pt idx="176">
                  <c:v>35.040323905872761</c:v>
                </c:pt>
                <c:pt idx="177">
                  <c:v>38.080915273620768</c:v>
                </c:pt>
                <c:pt idx="178">
                  <c:v>45.419976623768669</c:v>
                </c:pt>
                <c:pt idx="179">
                  <c:v>52.454681514216283</c:v>
                </c:pt>
                <c:pt idx="180">
                  <c:v>59.24597199470081</c:v>
                </c:pt>
                <c:pt idx="181">
                  <c:v>65.835610726412369</c:v>
                </c:pt>
                <c:pt idx="182">
                  <c:v>72.253872917384115</c:v>
                </c:pt>
                <c:pt idx="183">
                  <c:v>78.523635230915175</c:v>
                </c:pt>
                <c:pt idx="184">
                  <c:v>90.685477702792852</c:v>
                </c:pt>
                <c:pt idx="187">
                  <c:v>15.010759845234203</c:v>
                </c:pt>
                <c:pt idx="188">
                  <c:v>18.839930266484721</c:v>
                </c:pt>
                <c:pt idx="189">
                  <c:v>22.470814741417989</c:v>
                </c:pt>
                <c:pt idx="190">
                  <c:v>25.951123673833294</c:v>
                </c:pt>
                <c:pt idx="191">
                  <c:v>29.311007178534684</c:v>
                </c:pt>
                <c:pt idx="192">
                  <c:v>32.57112667132354</c:v>
                </c:pt>
                <c:pt idx="193">
                  <c:v>35.746460332321064</c:v>
                </c:pt>
                <c:pt idx="194">
                  <c:v>38.848326028710524</c:v>
                </c:pt>
                <c:pt idx="195">
                  <c:v>46.335284943081845</c:v>
                </c:pt>
                <c:pt idx="196">
                  <c:v>53.511753973204733</c:v>
                </c:pt>
                <c:pt idx="197">
                  <c:v>60.439903279644852</c:v>
                </c:pt>
                <c:pt idx="199">
                  <c:v>15.010759845234203</c:v>
                </c:pt>
                <c:pt idx="200">
                  <c:v>18.839930266484721</c:v>
                </c:pt>
                <c:pt idx="201">
                  <c:v>22.470814741417989</c:v>
                </c:pt>
                <c:pt idx="202">
                  <c:v>25.951123673833294</c:v>
                </c:pt>
                <c:pt idx="203">
                  <c:v>29.311007178534684</c:v>
                </c:pt>
                <c:pt idx="204">
                  <c:v>32.57112667132354</c:v>
                </c:pt>
                <c:pt idx="205">
                  <c:v>35.746460332321064</c:v>
                </c:pt>
                <c:pt idx="206">
                  <c:v>38.848326028710524</c:v>
                </c:pt>
                <c:pt idx="207">
                  <c:v>46.335284943081845</c:v>
                </c:pt>
                <c:pt idx="208">
                  <c:v>53.511753973204733</c:v>
                </c:pt>
                <c:pt idx="210">
                  <c:v>18.085534100787299</c:v>
                </c:pt>
                <c:pt idx="211">
                  <c:v>21.57102921985587</c:v>
                </c:pt>
                <c:pt idx="212">
                  <c:v>24.911978203645077</c:v>
                </c:pt>
                <c:pt idx="213">
                  <c:v>28.137323883774698</c:v>
                </c:pt>
                <c:pt idx="214">
                  <c:v>31.266900343214299</c:v>
                </c:pt>
                <c:pt idx="215">
                  <c:v>34.315085999692506</c:v>
                </c:pt>
                <c:pt idx="216">
                  <c:v>37.292745525742404</c:v>
                </c:pt>
                <c:pt idx="217">
                  <c:v>44.479908580052417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8-4628-AB4F-AB7B9A0E4766}"/>
            </c:ext>
          </c:extLst>
        </c:ser>
        <c:ser>
          <c:idx val="2"/>
          <c:order val="2"/>
          <c:tx>
            <c:strRef>
              <c:f>Gyroid_汇总!$BB$1</c:f>
              <c:strCache>
                <c:ptCount val="1"/>
                <c:pt idx="0">
                  <c:v>Nu_pre_gpt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Gyroid_汇总!$BB$2:$BB$219</c:f>
              <c:numCache>
                <c:formatCode>General</c:formatCode>
                <c:ptCount val="218"/>
                <c:pt idx="1">
                  <c:v>6.6614043121357893</c:v>
                </c:pt>
                <c:pt idx="2">
                  <c:v>9.8040477208835686</c:v>
                </c:pt>
                <c:pt idx="3">
                  <c:v>12.897024472076078</c:v>
                </c:pt>
                <c:pt idx="4">
                  <c:v>15.953586584449974</c:v>
                </c:pt>
                <c:pt idx="5">
                  <c:v>18.981439566921715</c:v>
                </c:pt>
                <c:pt idx="6">
                  <c:v>21.985624672238554</c:v>
                </c:pt>
                <c:pt idx="7">
                  <c:v>24.969695943887153</c:v>
                </c:pt>
                <c:pt idx="8">
                  <c:v>27.936292500087273</c:v>
                </c:pt>
                <c:pt idx="9">
                  <c:v>30.887450596894759</c:v>
                </c:pt>
                <c:pt idx="10">
                  <c:v>38.207698104116204</c:v>
                </c:pt>
                <c:pt idx="11">
                  <c:v>45.459189299875817</c:v>
                </c:pt>
                <c:pt idx="12">
                  <c:v>52.653997623711241</c:v>
                </c:pt>
                <c:pt idx="13">
                  <c:v>59.800634755417121</c:v>
                </c:pt>
                <c:pt idx="14">
                  <c:v>66.905421194253748</c:v>
                </c:pt>
                <c:pt idx="15">
                  <c:v>73.97323362774398</c:v>
                </c:pt>
                <c:pt idx="16">
                  <c:v>88.012714648341372</c:v>
                </c:pt>
                <c:pt idx="17">
                  <c:v>101.94245298524918</c:v>
                </c:pt>
                <c:pt idx="18">
                  <c:v>115.77892794785475</c:v>
                </c:pt>
                <c:pt idx="19">
                  <c:v>129.53437654052095</c:v>
                </c:pt>
                <c:pt idx="20">
                  <c:v>143.21824042980694</c:v>
                </c:pt>
                <c:pt idx="21">
                  <c:v>156.8380224282671</c:v>
                </c:pt>
                <c:pt idx="22">
                  <c:v>170.39982584536568</c:v>
                </c:pt>
                <c:pt idx="23">
                  <c:v>183.90871102374504</c:v>
                </c:pt>
                <c:pt idx="24">
                  <c:v>197.36894043482675</c:v>
                </c:pt>
                <c:pt idx="25">
                  <c:v>210.78415269236447</c:v>
                </c:pt>
                <c:pt idx="26">
                  <c:v>224.15748949120055</c:v>
                </c:pt>
                <c:pt idx="29">
                  <c:v>7.0248245707471195</c:v>
                </c:pt>
                <c:pt idx="30">
                  <c:v>10.338918356444639</c:v>
                </c:pt>
                <c:pt idx="31">
                  <c:v>13.600635865310334</c:v>
                </c:pt>
                <c:pt idx="32">
                  <c:v>16.823952094577695</c:v>
                </c:pt>
                <c:pt idx="33">
                  <c:v>20.016992935699943</c:v>
                </c:pt>
                <c:pt idx="34">
                  <c:v>23.18507467252758</c:v>
                </c:pt>
                <c:pt idx="35">
                  <c:v>26.331945243309168</c:v>
                </c:pt>
                <c:pt idx="36">
                  <c:v>29.460387746269429</c:v>
                </c:pt>
                <c:pt idx="37">
                  <c:v>32.572549527658978</c:v>
                </c:pt>
                <c:pt idx="38">
                  <c:v>40.292161210588354</c:v>
                </c:pt>
                <c:pt idx="39">
                  <c:v>47.939265505657929</c:v>
                </c:pt>
                <c:pt idx="40">
                  <c:v>55.52659453221419</c:v>
                </c:pt>
                <c:pt idx="41">
                  <c:v>63.063124334129903</c:v>
                </c:pt>
                <c:pt idx="42">
                  <c:v>70.555520232472873</c:v>
                </c:pt>
                <c:pt idx="43">
                  <c:v>78.008924967831945</c:v>
                </c:pt>
                <c:pt idx="44">
                  <c:v>92.814345358597748</c:v>
                </c:pt>
                <c:pt idx="45">
                  <c:v>107.50403593253832</c:v>
                </c:pt>
                <c:pt idx="46">
                  <c:v>122.09537504593843</c:v>
                </c:pt>
                <c:pt idx="47">
                  <c:v>136.60126730642918</c:v>
                </c:pt>
                <c:pt idx="48">
                  <c:v>151.03166948110143</c:v>
                </c:pt>
                <c:pt idx="49">
                  <c:v>165.39449370672276</c:v>
                </c:pt>
                <c:pt idx="50">
                  <c:v>179.69617626553608</c:v>
                </c:pt>
                <c:pt idx="51">
                  <c:v>193.94205357275712</c:v>
                </c:pt>
                <c:pt idx="52">
                  <c:v>208.13662064363695</c:v>
                </c:pt>
                <c:pt idx="53">
                  <c:v>222.28371460051517</c:v>
                </c:pt>
                <c:pt idx="56">
                  <c:v>7.4130632656120135</c:v>
                </c:pt>
                <c:pt idx="57">
                  <c:v>10.910315994719593</c:v>
                </c:pt>
                <c:pt idx="58">
                  <c:v>14.352297784338042</c:v>
                </c:pt>
                <c:pt idx="59">
                  <c:v>17.753755983327853</c:v>
                </c:pt>
                <c:pt idx="60">
                  <c:v>21.123265574142419</c:v>
                </c:pt>
                <c:pt idx="61">
                  <c:v>24.466436653962784</c:v>
                </c:pt>
                <c:pt idx="62">
                  <c:v>27.787224297121742</c:v>
                </c:pt>
                <c:pt idx="63">
                  <c:v>31.088565414428466</c:v>
                </c:pt>
                <c:pt idx="64">
                  <c:v>34.372726028820423</c:v>
                </c:pt>
                <c:pt idx="65">
                  <c:v>42.518974979977763</c:v>
                </c:pt>
                <c:pt idx="66">
                  <c:v>50.58870930105207</c:v>
                </c:pt>
                <c:pt idx="67">
                  <c:v>58.595364773288885</c:v>
                </c:pt>
                <c:pt idx="68">
                  <c:v>66.548413516658371</c:v>
                </c:pt>
                <c:pt idx="69">
                  <c:v>74.45488922236008</c:v>
                </c:pt>
                <c:pt idx="70">
                  <c:v>82.320218853154344</c:v>
                </c:pt>
                <c:pt idx="71">
                  <c:v>97.943885597483629</c:v>
                </c:pt>
                <c:pt idx="72">
                  <c:v>113.44542652284005</c:v>
                </c:pt>
                <c:pt idx="73">
                  <c:v>128.84318042947319</c:v>
                </c:pt>
                <c:pt idx="74">
                  <c:v>144.15076511976721</c:v>
                </c:pt>
                <c:pt idx="75">
                  <c:v>159.37868763822144</c:v>
                </c:pt>
                <c:pt idx="76">
                  <c:v>174.53529739909294</c:v>
                </c:pt>
                <c:pt idx="77">
                  <c:v>189.62738639654211</c:v>
                </c:pt>
                <c:pt idx="78">
                  <c:v>204.66058597170877</c:v>
                </c:pt>
                <c:pt idx="79">
                  <c:v>219.63963956439002</c:v>
                </c:pt>
                <c:pt idx="82">
                  <c:v>7.0297147976526331</c:v>
                </c:pt>
                <c:pt idx="83">
                  <c:v>10.346115640335706</c:v>
                </c:pt>
                <c:pt idx="84">
                  <c:v>13.610103745222611</c:v>
                </c:pt>
                <c:pt idx="85">
                  <c:v>16.835663838032836</c:v>
                </c:pt>
                <c:pt idx="86">
                  <c:v>20.030927466937815</c:v>
                </c:pt>
                <c:pt idx="87">
                  <c:v>23.201214616639788</c:v>
                </c:pt>
                <c:pt idx="88">
                  <c:v>26.350275834458667</c:v>
                </c:pt>
                <c:pt idx="89">
                  <c:v>29.480896156031523</c:v>
                </c:pt>
                <c:pt idx="90">
                  <c:v>32.595224422452034</c:v>
                </c:pt>
                <c:pt idx="91">
                  <c:v>40.320209997977841</c:v>
                </c:pt>
                <c:pt idx="92">
                  <c:v>47.972637710706657</c:v>
                </c:pt>
                <c:pt idx="93">
                  <c:v>55.565248543260068</c:v>
                </c:pt>
                <c:pt idx="94">
                  <c:v>63.107024788049948</c:v>
                </c:pt>
                <c:pt idx="95">
                  <c:v>70.604636406108042</c:v>
                </c:pt>
                <c:pt idx="96">
                  <c:v>78.063229718065344</c:v>
                </c:pt>
                <c:pt idx="97">
                  <c:v>92.878956681531051</c:v>
                </c:pt>
                <c:pt idx="98">
                  <c:v>107.57887326458469</c:v>
                </c:pt>
                <c:pt idx="99">
                  <c:v>122.18036992119478</c:v>
                </c:pt>
                <c:pt idx="101">
                  <c:v>7.5515975755667011</c:v>
                </c:pt>
                <c:pt idx="102">
                  <c:v>11.114206484192071</c:v>
                </c:pt>
                <c:pt idx="103">
                  <c:v>14.620511557588944</c:v>
                </c:pt>
                <c:pt idx="104">
                  <c:v>18.085535741051419</c:v>
                </c:pt>
                <c:pt idx="105">
                  <c:v>21.51801426512932</c:v>
                </c:pt>
                <c:pt idx="106">
                  <c:v>24.92366206773065</c:v>
                </c:pt>
                <c:pt idx="107">
                  <c:v>28.306508135075081</c:v>
                </c:pt>
                <c:pt idx="108">
                  <c:v>31.669544262558329</c:v>
                </c:pt>
                <c:pt idx="109">
                  <c:v>35.015078820243822</c:v>
                </c:pt>
                <c:pt idx="110">
                  <c:v>43.313563754925383</c:v>
                </c:pt>
                <c:pt idx="111">
                  <c:v>51.534104164607299</c:v>
                </c:pt>
                <c:pt idx="112">
                  <c:v>59.69038691657294</c:v>
                </c:pt>
                <c:pt idx="113">
                  <c:v>67.792061144471845</c:v>
                </c:pt>
                <c:pt idx="114">
                  <c:v>75.846291984160302</c:v>
                </c:pt>
                <c:pt idx="115">
                  <c:v>83.858607816734718</c:v>
                </c:pt>
                <c:pt idx="116">
                  <c:v>99.774247503130752</c:v>
                </c:pt>
                <c:pt idx="117">
                  <c:v>115.56547909999277</c:v>
                </c:pt>
                <c:pt idx="119">
                  <c:v>8.1136094946415103</c:v>
                </c:pt>
                <c:pt idx="120">
                  <c:v>11.941358150136839</c:v>
                </c:pt>
                <c:pt idx="121">
                  <c:v>15.708612674751475</c:v>
                </c:pt>
                <c:pt idx="122">
                  <c:v>19.431514065189223</c:v>
                </c:pt>
                <c:pt idx="123">
                  <c:v>23.119447653337502</c:v>
                </c:pt>
                <c:pt idx="124">
                  <c:v>26.778553699453507</c:v>
                </c:pt>
                <c:pt idx="125">
                  <c:v>30.413161038663684</c:v>
                </c:pt>
                <c:pt idx="126">
                  <c:v>34.026484124503938</c:v>
                </c:pt>
                <c:pt idx="127">
                  <c:v>37.621003122671205</c:v>
                </c:pt>
                <c:pt idx="128">
                  <c:v>46.537085512312984</c:v>
                </c:pt>
                <c:pt idx="129">
                  <c:v>55.369422518045724</c:v>
                </c:pt>
                <c:pt idx="130">
                  <c:v>64.132719623739675</c:v>
                </c:pt>
                <c:pt idx="131">
                  <c:v>72.837344079716473</c:v>
                </c:pt>
                <c:pt idx="132">
                  <c:v>81.490994272143041</c:v>
                </c:pt>
                <c:pt idx="133">
                  <c:v>90.099610020362874</c:v>
                </c:pt>
                <c:pt idx="134">
                  <c:v>107.19973803706873</c:v>
                </c:pt>
                <c:pt idx="136">
                  <c:v>10.780536484044612</c:v>
                </c:pt>
                <c:pt idx="137">
                  <c:v>14.181575489547082</c:v>
                </c:pt>
                <c:pt idx="138">
                  <c:v>17.54257293736709</c:v>
                </c:pt>
                <c:pt idx="139">
                  <c:v>20.872001809518494</c:v>
                </c:pt>
                <c:pt idx="140">
                  <c:v>24.175405470406918</c:v>
                </c:pt>
                <c:pt idx="141">
                  <c:v>27.456691948284021</c:v>
                </c:pt>
                <c:pt idx="142">
                  <c:v>30.718763219054438</c:v>
                </c:pt>
                <c:pt idx="143">
                  <c:v>33.96385835104239</c:v>
                </c:pt>
                <c:pt idx="144">
                  <c:v>42.013206698841458</c:v>
                </c:pt>
                <c:pt idx="145">
                  <c:v>49.986950567212737</c:v>
                </c:pt>
                <c:pt idx="146">
                  <c:v>57.898365917180591</c:v>
                </c:pt>
                <c:pt idx="147">
                  <c:v>65.756812196717846</c:v>
                </c:pt>
                <c:pt idx="148">
                  <c:v>73.569239430427885</c:v>
                </c:pt>
                <c:pt idx="149">
                  <c:v>81.34101002670144</c:v>
                </c:pt>
                <c:pt idx="150">
                  <c:v>96.778831390749389</c:v>
                </c:pt>
                <c:pt idx="151">
                  <c:v>112.09597963701432</c:v>
                </c:pt>
                <c:pt idx="154">
                  <c:v>11.76905024955912</c:v>
                </c:pt>
                <c:pt idx="155">
                  <c:v>15.481945151933401</c:v>
                </c:pt>
                <c:pt idx="156">
                  <c:v>19.151126913952094</c:v>
                </c:pt>
                <c:pt idx="157">
                  <c:v>22.785845441798656</c:v>
                </c:pt>
                <c:pt idx="158">
                  <c:v>26.392152394807297</c:v>
                </c:pt>
                <c:pt idx="159">
                  <c:v>29.974314145151478</c:v>
                </c:pt>
                <c:pt idx="160">
                  <c:v>33.535498763390123</c:v>
                </c:pt>
                <c:pt idx="161">
                  <c:v>37.07815062765404</c:v>
                </c:pt>
                <c:pt idx="162">
                  <c:v>45.86557835183639</c:v>
                </c:pt>
                <c:pt idx="163">
                  <c:v>54.570469096639819</c:v>
                </c:pt>
                <c:pt idx="164">
                  <c:v>63.207316153065001</c:v>
                </c:pt>
                <c:pt idx="165">
                  <c:v>71.786337177131514</c:v>
                </c:pt>
                <c:pt idx="166">
                  <c:v>80.315119471095983</c:v>
                </c:pt>
                <c:pt idx="167">
                  <c:v>88.799517145642255</c:v>
                </c:pt>
                <c:pt idx="168">
                  <c:v>105.65289876037916</c:v>
                </c:pt>
                <c:pt idx="170">
                  <c:v>12.861906137567699</c:v>
                </c:pt>
                <c:pt idx="171">
                  <c:v>16.919574744665415</c:v>
                </c:pt>
                <c:pt idx="172">
                  <c:v>20.929471076489435</c:v>
                </c:pt>
                <c:pt idx="173">
                  <c:v>24.901703971271413</c:v>
                </c:pt>
                <c:pt idx="174">
                  <c:v>28.842887036114938</c:v>
                </c:pt>
                <c:pt idx="175">
                  <c:v>32.757682811945529</c:v>
                </c:pt>
                <c:pt idx="176">
                  <c:v>36.649553551477062</c:v>
                </c:pt>
                <c:pt idx="177">
                  <c:v>40.521170614030488</c:v>
                </c:pt>
                <c:pt idx="178">
                  <c:v>50.124585348650001</c:v>
                </c:pt>
                <c:pt idx="179">
                  <c:v>59.637798847049126</c:v>
                </c:pt>
                <c:pt idx="180">
                  <c:v>69.076650224918808</c:v>
                </c:pt>
                <c:pt idx="181">
                  <c:v>78.452305934086752</c:v>
                </c:pt>
                <c:pt idx="182">
                  <c:v>87.773057822016668</c:v>
                </c:pt>
                <c:pt idx="183">
                  <c:v>97.045303603098262</c:v>
                </c:pt>
                <c:pt idx="184">
                  <c:v>115.46366428921016</c:v>
                </c:pt>
                <c:pt idx="187">
                  <c:v>11.516719959580145</c:v>
                </c:pt>
                <c:pt idx="188">
                  <c:v>15.1500098107811</c:v>
                </c:pt>
                <c:pt idx="189">
                  <c:v>18.74052373823681</c:v>
                </c:pt>
                <c:pt idx="190">
                  <c:v>22.297313328686084</c:v>
                </c:pt>
                <c:pt idx="191">
                  <c:v>25.826300492934372</c:v>
                </c:pt>
                <c:pt idx="192">
                  <c:v>29.331660131464151</c:v>
                </c:pt>
                <c:pt idx="193">
                  <c:v>32.816492390902859</c:v>
                </c:pt>
                <c:pt idx="194">
                  <c:v>36.283189241529392</c:v>
                </c:pt>
                <c:pt idx="195">
                  <c:v>44.882213132029818</c:v>
                </c:pt>
                <c:pt idx="196">
                  <c:v>53.400469648981776</c:v>
                </c:pt>
                <c:pt idx="197">
                  <c:v>61.852141344945437</c:v>
                </c:pt>
                <c:pt idx="199">
                  <c:v>11.516719959580145</c:v>
                </c:pt>
                <c:pt idx="200">
                  <c:v>15.1500098107811</c:v>
                </c:pt>
                <c:pt idx="201">
                  <c:v>18.74052373823681</c:v>
                </c:pt>
                <c:pt idx="202">
                  <c:v>22.297313328686084</c:v>
                </c:pt>
                <c:pt idx="203">
                  <c:v>25.826300492934372</c:v>
                </c:pt>
                <c:pt idx="204">
                  <c:v>29.331660131464151</c:v>
                </c:pt>
                <c:pt idx="205">
                  <c:v>32.816492390902859</c:v>
                </c:pt>
                <c:pt idx="206">
                  <c:v>36.283189241529392</c:v>
                </c:pt>
                <c:pt idx="207">
                  <c:v>44.882213132029818</c:v>
                </c:pt>
                <c:pt idx="208">
                  <c:v>53.400469648981776</c:v>
                </c:pt>
                <c:pt idx="210">
                  <c:v>18.996818426334322</c:v>
                </c:pt>
                <c:pt idx="211">
                  <c:v>23.499016245939828</c:v>
                </c:pt>
                <c:pt idx="212">
                  <c:v>27.958926627143544</c:v>
                </c:pt>
                <c:pt idx="213">
                  <c:v>32.38397514033872</c:v>
                </c:pt>
                <c:pt idx="214">
                  <c:v>36.779396754175806</c:v>
                </c:pt>
                <c:pt idx="215">
                  <c:v>41.14907878775967</c:v>
                </c:pt>
                <c:pt idx="216">
                  <c:v>45.496020567535453</c:v>
                </c:pt>
                <c:pt idx="217">
                  <c:v>56.278462132378593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8-4628-AB4F-AB7B9A0E4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000880"/>
        <c:axId val="2109000400"/>
      </c:lineChart>
      <c:catAx>
        <c:axId val="210900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9000400"/>
        <c:crosses val="autoZero"/>
        <c:auto val="1"/>
        <c:lblAlgn val="ctr"/>
        <c:lblOffset val="100"/>
        <c:noMultiLvlLbl val="0"/>
      </c:catAx>
      <c:valAx>
        <c:axId val="21090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900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Nu</a:t>
            </a:r>
            <a:r>
              <a:rPr lang="zh-CN" altLang="en-US" baseline="0"/>
              <a:t> 误差对比图</a:t>
            </a:r>
            <a:endParaRPr lang="en-US" altLang="zh-C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Gyroid_汇总!$AO$1</c:f>
              <c:strCache>
                <c:ptCount val="1"/>
                <c:pt idx="0">
                  <c:v>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Gyroid_汇总!$AO$2:$AO$28</c:f>
              <c:numCache>
                <c:formatCode>General</c:formatCode>
                <c:ptCount val="27"/>
                <c:pt idx="1">
                  <c:v>12.66917862137446</c:v>
                </c:pt>
                <c:pt idx="2">
                  <c:v>17.68576222224927</c:v>
                </c:pt>
                <c:pt idx="3">
                  <c:v>23.130792056559748</c:v>
                </c:pt>
                <c:pt idx="4">
                  <c:v>26.134532438164609</c:v>
                </c:pt>
                <c:pt idx="5">
                  <c:v>29.740481017454481</c:v>
                </c:pt>
                <c:pt idx="6">
                  <c:v>32.028948330756613</c:v>
                </c:pt>
                <c:pt idx="7">
                  <c:v>34.383727509483883</c:v>
                </c:pt>
                <c:pt idx="8">
                  <c:v>37.410980525451329</c:v>
                </c:pt>
                <c:pt idx="9">
                  <c:v>40.115614682948632</c:v>
                </c:pt>
                <c:pt idx="10">
                  <c:v>44.473254918859347</c:v>
                </c:pt>
                <c:pt idx="11">
                  <c:v>51.60817439797075</c:v>
                </c:pt>
                <c:pt idx="12">
                  <c:v>54.689185898080197</c:v>
                </c:pt>
                <c:pt idx="13">
                  <c:v>60.449953227403078</c:v>
                </c:pt>
                <c:pt idx="14">
                  <c:v>65.668288880173805</c:v>
                </c:pt>
                <c:pt idx="15">
                  <c:v>70.307389614922783</c:v>
                </c:pt>
                <c:pt idx="16">
                  <c:v>80.414490120435019</c:v>
                </c:pt>
                <c:pt idx="17">
                  <c:v>90.259012199254826</c:v>
                </c:pt>
                <c:pt idx="18">
                  <c:v>103.4968041263654</c:v>
                </c:pt>
                <c:pt idx="19">
                  <c:v>118.4017308184813</c:v>
                </c:pt>
                <c:pt idx="20">
                  <c:v>131.68616991517649</c:v>
                </c:pt>
                <c:pt idx="21">
                  <c:v>147.670454476636</c:v>
                </c:pt>
                <c:pt idx="22">
                  <c:v>168.851645916162</c:v>
                </c:pt>
                <c:pt idx="23">
                  <c:v>185.23902466655599</c:v>
                </c:pt>
                <c:pt idx="24">
                  <c:v>201.612402984657</c:v>
                </c:pt>
                <c:pt idx="25">
                  <c:v>225.12727262334079</c:v>
                </c:pt>
                <c:pt idx="26">
                  <c:v>268.26715058598069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2-4C87-A3AA-94D592FA2364}"/>
            </c:ext>
          </c:extLst>
        </c:ser>
        <c:ser>
          <c:idx val="1"/>
          <c:order val="1"/>
          <c:tx>
            <c:strRef>
              <c:f>Gyroid_汇总!$AZ$1</c:f>
              <c:strCache>
                <c:ptCount val="1"/>
                <c:pt idx="0">
                  <c:v>Nu_pre_deepseek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Gyroid_汇总!$AZ$2:$AZ$28</c:f>
              <c:numCache>
                <c:formatCode>General</c:formatCode>
                <c:ptCount val="27"/>
                <c:pt idx="1">
                  <c:v>11.219009214649756</c:v>
                </c:pt>
                <c:pt idx="2">
                  <c:v>15.453661001345903</c:v>
                </c:pt>
                <c:pt idx="3">
                  <c:v>19.395813311854944</c:v>
                </c:pt>
                <c:pt idx="4">
                  <c:v>23.133829134450572</c:v>
                </c:pt>
                <c:pt idx="5">
                  <c:v>26.716826596006662</c:v>
                </c:pt>
                <c:pt idx="6">
                  <c:v>30.175845407912728</c:v>
                </c:pt>
                <c:pt idx="7">
                  <c:v>33.532156613000339</c:v>
                </c:pt>
                <c:pt idx="8">
                  <c:v>36.801180331263197</c:v>
                </c:pt>
                <c:pt idx="9">
                  <c:v>39.994568370105583</c:v>
                </c:pt>
                <c:pt idx="10">
                  <c:v>47.702434340024034</c:v>
                </c:pt>
                <c:pt idx="11">
                  <c:v>55.090649241975683</c:v>
                </c:pt>
                <c:pt idx="12">
                  <c:v>62.223217603092174</c:v>
                </c:pt>
                <c:pt idx="13">
                  <c:v>69.144000753813842</c:v>
                </c:pt>
                <c:pt idx="14">
                  <c:v>75.884795300627161</c:v>
                </c:pt>
                <c:pt idx="15">
                  <c:v>82.469627511488767</c:v>
                </c:pt>
                <c:pt idx="16">
                  <c:v>95.242630385842133</c:v>
                </c:pt>
                <c:pt idx="17">
                  <c:v>107.57366262936785</c:v>
                </c:pt>
                <c:pt idx="18">
                  <c:v>119.53855323556741</c:v>
                </c:pt>
                <c:pt idx="19">
                  <c:v>131.1922732835763</c:v>
                </c:pt>
                <c:pt idx="20">
                  <c:v>142.57636022103839</c:v>
                </c:pt>
                <c:pt idx="21">
                  <c:v>153.72321765451369</c:v>
                </c:pt>
                <c:pt idx="22">
                  <c:v>164.65877181753146</c:v>
                </c:pt>
                <c:pt idx="23">
                  <c:v>175.40419799051611</c:v>
                </c:pt>
                <c:pt idx="24">
                  <c:v>185.97708921632474</c:v>
                </c:pt>
                <c:pt idx="25">
                  <c:v>196.39227453210438</c:v>
                </c:pt>
                <c:pt idx="26">
                  <c:v>206.66240821861035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2-4C87-A3AA-94D592FA2364}"/>
            </c:ext>
          </c:extLst>
        </c:ser>
        <c:ser>
          <c:idx val="2"/>
          <c:order val="2"/>
          <c:tx>
            <c:strRef>
              <c:f>Gyroid_汇总!$BB$1</c:f>
              <c:strCache>
                <c:ptCount val="1"/>
                <c:pt idx="0">
                  <c:v>Nu_pre_gpt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Gyroid_汇总!$BB$2:$BB$28</c:f>
              <c:numCache>
                <c:formatCode>General</c:formatCode>
                <c:ptCount val="27"/>
                <c:pt idx="1">
                  <c:v>6.6614043121357893</c:v>
                </c:pt>
                <c:pt idx="2">
                  <c:v>9.8040477208835686</c:v>
                </c:pt>
                <c:pt idx="3">
                  <c:v>12.897024472076078</c:v>
                </c:pt>
                <c:pt idx="4">
                  <c:v>15.953586584449974</c:v>
                </c:pt>
                <c:pt idx="5">
                  <c:v>18.981439566921715</c:v>
                </c:pt>
                <c:pt idx="6">
                  <c:v>21.985624672238554</c:v>
                </c:pt>
                <c:pt idx="7">
                  <c:v>24.969695943887153</c:v>
                </c:pt>
                <c:pt idx="8">
                  <c:v>27.936292500087273</c:v>
                </c:pt>
                <c:pt idx="9">
                  <c:v>30.887450596894759</c:v>
                </c:pt>
                <c:pt idx="10">
                  <c:v>38.207698104116204</c:v>
                </c:pt>
                <c:pt idx="11">
                  <c:v>45.459189299875817</c:v>
                </c:pt>
                <c:pt idx="12">
                  <c:v>52.653997623711241</c:v>
                </c:pt>
                <c:pt idx="13">
                  <c:v>59.800634755417121</c:v>
                </c:pt>
                <c:pt idx="14">
                  <c:v>66.905421194253748</c:v>
                </c:pt>
                <c:pt idx="15">
                  <c:v>73.97323362774398</c:v>
                </c:pt>
                <c:pt idx="16">
                  <c:v>88.012714648341372</c:v>
                </c:pt>
                <c:pt idx="17">
                  <c:v>101.94245298524918</c:v>
                </c:pt>
                <c:pt idx="18">
                  <c:v>115.77892794785475</c:v>
                </c:pt>
                <c:pt idx="19">
                  <c:v>129.53437654052095</c:v>
                </c:pt>
                <c:pt idx="20">
                  <c:v>143.21824042980694</c:v>
                </c:pt>
                <c:pt idx="21">
                  <c:v>156.8380224282671</c:v>
                </c:pt>
                <c:pt idx="22">
                  <c:v>170.39982584536568</c:v>
                </c:pt>
                <c:pt idx="23">
                  <c:v>183.90871102374504</c:v>
                </c:pt>
                <c:pt idx="24">
                  <c:v>197.36894043482675</c:v>
                </c:pt>
                <c:pt idx="25">
                  <c:v>210.78415269236447</c:v>
                </c:pt>
                <c:pt idx="26">
                  <c:v>224.15748949120055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2-4C87-A3AA-94D592FA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942431"/>
        <c:axId val="1890959231"/>
      </c:lineChart>
      <c:catAx>
        <c:axId val="189094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0959231"/>
        <c:crosses val="autoZero"/>
        <c:auto val="1"/>
        <c:lblAlgn val="ctr"/>
        <c:lblOffset val="100"/>
        <c:noMultiLvlLbl val="0"/>
      </c:catAx>
      <c:valAx>
        <c:axId val="18909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094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243566</xdr:colOff>
      <xdr:row>1</xdr:row>
      <xdr:rowOff>99786</xdr:rowOff>
    </xdr:from>
    <xdr:to>
      <xdr:col>69</xdr:col>
      <xdr:colOff>-1</xdr:colOff>
      <xdr:row>19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1C413B-9051-ADC1-F093-B191808B2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251731</xdr:colOff>
      <xdr:row>22</xdr:row>
      <xdr:rowOff>118382</xdr:rowOff>
    </xdr:from>
    <xdr:to>
      <xdr:col>69</xdr:col>
      <xdr:colOff>27214</xdr:colOff>
      <xdr:row>42</xdr:row>
      <xdr:rowOff>154215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5D7727F-539B-9584-347E-1225B4389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314044</xdr:colOff>
      <xdr:row>2</xdr:row>
      <xdr:rowOff>61352</xdr:rowOff>
    </xdr:from>
    <xdr:to>
      <xdr:col>65</xdr:col>
      <xdr:colOff>92449</xdr:colOff>
      <xdr:row>18</xdr:row>
      <xdr:rowOff>37539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BD4FF46-4767-FEC2-B75D-DF942875B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358918</xdr:colOff>
      <xdr:row>19</xdr:row>
      <xdr:rowOff>105207</xdr:rowOff>
    </xdr:from>
    <xdr:to>
      <xdr:col>65</xdr:col>
      <xdr:colOff>130318</xdr:colOff>
      <xdr:row>35</xdr:row>
      <xdr:rowOff>105207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DC5BFA8-B958-9A9B-65CF-231EBDA90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574674</xdr:colOff>
      <xdr:row>37</xdr:row>
      <xdr:rowOff>76200</xdr:rowOff>
    </xdr:from>
    <xdr:to>
      <xdr:col>69</xdr:col>
      <xdr:colOff>482599</xdr:colOff>
      <xdr:row>65</xdr:row>
      <xdr:rowOff>12700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BBDFB59-F9E1-2C8A-82DD-8060B2504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9"/>
  <sheetViews>
    <sheetView topLeftCell="AZ36" zoomScaleNormal="100" workbookViewId="0">
      <selection activeCell="AZ24" sqref="AZ24:AZ25"/>
    </sheetView>
  </sheetViews>
  <sheetFormatPr defaultRowHeight="14" x14ac:dyDescent="0.25"/>
  <cols>
    <col min="52" max="52" width="18.54296875" customWidth="1"/>
    <col min="53" max="53" width="24.08984375" customWidth="1"/>
    <col min="54" max="54" width="15.90625" customWidth="1"/>
    <col min="55" max="55" width="22" customWidth="1"/>
  </cols>
  <sheetData>
    <row r="1" spans="1:58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Z1" t="s">
        <v>99</v>
      </c>
      <c r="BA1" t="s">
        <v>103</v>
      </c>
      <c r="BB1" t="s">
        <v>100</v>
      </c>
      <c r="BC1" t="s">
        <v>104</v>
      </c>
      <c r="BD1" s="1" t="s">
        <v>102</v>
      </c>
      <c r="BF1" t="s">
        <v>101</v>
      </c>
    </row>
    <row r="2" spans="1:58" x14ac:dyDescent="0.25">
      <c r="A2" t="s">
        <v>49</v>
      </c>
    </row>
    <row r="3" spans="1:58" x14ac:dyDescent="0.25">
      <c r="A3" t="s">
        <v>50</v>
      </c>
      <c r="B3">
        <v>8</v>
      </c>
      <c r="C3">
        <v>0.3</v>
      </c>
      <c r="D3">
        <v>400</v>
      </c>
      <c r="E3">
        <v>3.5890792817906041</v>
      </c>
      <c r="F3">
        <v>763.48878501286367</v>
      </c>
      <c r="G3">
        <v>27.36</v>
      </c>
      <c r="H3">
        <v>23.1</v>
      </c>
      <c r="I3">
        <v>101475</v>
      </c>
      <c r="J3">
        <v>1.8397999999999999E-5</v>
      </c>
      <c r="K3">
        <v>1007</v>
      </c>
      <c r="L3">
        <v>1.1220020300000001E-3</v>
      </c>
      <c r="M3">
        <v>1.1930000000000001</v>
      </c>
      <c r="N3">
        <v>1.7187278342720449</v>
      </c>
      <c r="O3">
        <v>55.913722425249183</v>
      </c>
      <c r="P3">
        <v>56</v>
      </c>
      <c r="Q3">
        <v>0.56699999999999995</v>
      </c>
      <c r="R3">
        <v>20.76</v>
      </c>
      <c r="S3">
        <v>0.60099999999999998</v>
      </c>
      <c r="T3">
        <v>21.72</v>
      </c>
      <c r="U3">
        <v>11.77092</v>
      </c>
      <c r="V3">
        <v>12.476760000000001</v>
      </c>
      <c r="W3">
        <v>24.247679999999999</v>
      </c>
      <c r="X3">
        <v>37.471898572004378</v>
      </c>
      <c r="Y3">
        <v>1894.35</v>
      </c>
      <c r="Z3">
        <v>209.75857426512931</v>
      </c>
      <c r="AA3">
        <v>1684.5914257348711</v>
      </c>
      <c r="AB3">
        <v>1.1220020300000001E-4</v>
      </c>
      <c r="AC3">
        <v>23.722194679564709</v>
      </c>
      <c r="AD3">
        <v>296.8721946795647</v>
      </c>
      <c r="AE3">
        <v>296.98293999999999</v>
      </c>
      <c r="AF3">
        <v>316.07119</v>
      </c>
      <c r="AG3">
        <v>310.66550000000001</v>
      </c>
      <c r="AH3">
        <v>312.33391999999998</v>
      </c>
      <c r="AI3">
        <v>312.32774999999998</v>
      </c>
      <c r="AJ3">
        <v>108.61749</v>
      </c>
      <c r="AK3">
        <v>4.8633154999999997E-3</v>
      </c>
      <c r="AL3">
        <v>5.6384532000000002E-4</v>
      </c>
      <c r="AM3">
        <v>5.6386350999999997E-4</v>
      </c>
      <c r="AN3">
        <v>80.84580273653971</v>
      </c>
      <c r="AO3">
        <v>11.16007675467096</v>
      </c>
      <c r="AP3">
        <v>151.78785435980109</v>
      </c>
      <c r="AQ3">
        <v>45</v>
      </c>
      <c r="AR3">
        <v>106.7878543598011</v>
      </c>
      <c r="AS3">
        <v>1.3974531574961011</v>
      </c>
      <c r="AT3">
        <v>2.7177418425662099</v>
      </c>
      <c r="AU3">
        <v>1.6523870402802561</v>
      </c>
      <c r="AV3">
        <v>64.9270154507591</v>
      </c>
      <c r="AW3">
        <v>41.008846125730997</v>
      </c>
      <c r="AZ3">
        <f>0.0944*D3^0.8273*(E3/B3)^0.226*BF3^(1/3)</f>
        <v>10.032940190000861</v>
      </c>
      <c r="BA3">
        <f>(AO3-AZ3)/AO3</f>
        <v>0.10099720543573729</v>
      </c>
      <c r="BB3">
        <f>0.00835*D3^0.95314*(E3/B3)^(-1.33383)*BF3^(1/3)</f>
        <v>6.5852698233565876</v>
      </c>
      <c r="BC3">
        <f>(AO3-BB3)/AO3</f>
        <v>0.40992611716578242</v>
      </c>
      <c r="BD3">
        <v>0.85499999999999998</v>
      </c>
      <c r="BF3">
        <v>0.72</v>
      </c>
    </row>
    <row r="4" spans="1:58" x14ac:dyDescent="0.25">
      <c r="A4" t="s">
        <v>50</v>
      </c>
      <c r="B4">
        <v>8</v>
      </c>
      <c r="C4">
        <v>0.3</v>
      </c>
      <c r="D4">
        <v>600</v>
      </c>
      <c r="E4">
        <v>3.5890792817906041</v>
      </c>
      <c r="F4">
        <v>1145.2331775192961</v>
      </c>
      <c r="G4">
        <v>27.36</v>
      </c>
      <c r="H4">
        <v>23.3</v>
      </c>
      <c r="I4">
        <v>101775</v>
      </c>
      <c r="J4">
        <v>1.8397999999999999E-5</v>
      </c>
      <c r="K4">
        <v>1007</v>
      </c>
      <c r="L4">
        <v>1.683003045E-3</v>
      </c>
      <c r="M4">
        <v>1.1970000000000001</v>
      </c>
      <c r="N4">
        <v>2.5694765742939221</v>
      </c>
      <c r="O4">
        <v>83.870583637873764</v>
      </c>
      <c r="P4">
        <v>84</v>
      </c>
      <c r="Q4">
        <v>0.60199999999999998</v>
      </c>
      <c r="R4">
        <v>22.01</v>
      </c>
      <c r="S4">
        <v>0.60099999999999998</v>
      </c>
      <c r="T4">
        <v>21.72</v>
      </c>
      <c r="U4">
        <v>13.250019999999999</v>
      </c>
      <c r="V4">
        <v>13.228009999999999</v>
      </c>
      <c r="W4">
        <v>26.47803</v>
      </c>
      <c r="X4">
        <v>33.861098326714867</v>
      </c>
      <c r="Y4">
        <v>2068.5960937499999</v>
      </c>
      <c r="Z4">
        <v>132.80158863727391</v>
      </c>
      <c r="AA4">
        <v>1935.794505112726</v>
      </c>
      <c r="AB4">
        <v>1.683003045E-4</v>
      </c>
      <c r="AC4">
        <v>23.82453789498695</v>
      </c>
      <c r="AD4">
        <v>296.97453789498701</v>
      </c>
      <c r="AE4">
        <v>296.97208000000001</v>
      </c>
      <c r="AF4">
        <v>311.61792000000003</v>
      </c>
      <c r="AG4">
        <v>307.48916000000003</v>
      </c>
      <c r="AH4">
        <v>309.29257999999999</v>
      </c>
      <c r="AI4">
        <v>309.33152999999999</v>
      </c>
      <c r="AJ4">
        <v>222.63810000000001</v>
      </c>
      <c r="AK4">
        <v>4.8633154999999997E-3</v>
      </c>
      <c r="AL4">
        <v>5.6384532000000002E-4</v>
      </c>
      <c r="AM4">
        <v>5.6386350999999997E-4</v>
      </c>
      <c r="AN4">
        <v>116.9223608795939</v>
      </c>
      <c r="AO4">
        <v>16.140139346576721</v>
      </c>
      <c r="AP4">
        <v>427.02090757899742</v>
      </c>
      <c r="AQ4">
        <v>68</v>
      </c>
      <c r="AR4">
        <v>359.02090757899742</v>
      </c>
      <c r="AS4">
        <v>1.9180046343325661</v>
      </c>
      <c r="AT4">
        <v>4.067722606422131</v>
      </c>
      <c r="AU4">
        <v>2.4731753447046549</v>
      </c>
      <c r="AV4">
        <v>218.28471180803041</v>
      </c>
      <c r="AW4">
        <v>61.513269188596503</v>
      </c>
      <c r="AZ4">
        <f>0.0944*D4^0.8273*(E4/B4)^0.226*BF4^(1/3)</f>
        <v>14.031642846733579</v>
      </c>
      <c r="BA4">
        <f t="shared" ref="BA4:BA66" si="0">(AO4-AZ4)/AO4</f>
        <v>0.13063682131656118</v>
      </c>
      <c r="BB4">
        <f t="shared" ref="BB4:BB23" si="1">0.00835*D4^0.95314*(E4/B4)^(-1.33383)*BF4^(1/3)</f>
        <v>9.6919953478071417</v>
      </c>
      <c r="BC4">
        <f t="shared" ref="BC4:BC66" si="2">(AO4-BB4)/AO4</f>
        <v>0.39950980969301314</v>
      </c>
      <c r="BD4">
        <v>0.85499999999999998</v>
      </c>
      <c r="BF4">
        <v>0.72</v>
      </c>
    </row>
    <row r="5" spans="1:58" x14ac:dyDescent="0.25">
      <c r="A5" t="s">
        <v>50</v>
      </c>
      <c r="B5">
        <v>8</v>
      </c>
      <c r="C5">
        <v>0.3</v>
      </c>
      <c r="D5">
        <v>800</v>
      </c>
      <c r="E5">
        <v>3.5890792817906041</v>
      </c>
      <c r="F5">
        <v>1524.9882387001051</v>
      </c>
      <c r="G5">
        <v>27.36</v>
      </c>
      <c r="H5">
        <v>23.6</v>
      </c>
      <c r="I5">
        <v>102025</v>
      </c>
      <c r="J5">
        <v>1.8422000000000001E-5</v>
      </c>
      <c r="K5">
        <v>1007</v>
      </c>
      <c r="L5">
        <v>2.2469313400000001E-3</v>
      </c>
      <c r="M5">
        <v>1.2</v>
      </c>
      <c r="N5">
        <v>3.4218618116471728</v>
      </c>
      <c r="O5">
        <v>111.97332259136211</v>
      </c>
      <c r="P5">
        <v>112</v>
      </c>
      <c r="Q5">
        <v>0.60199999999999998</v>
      </c>
      <c r="R5">
        <v>22.01</v>
      </c>
      <c r="S5">
        <v>0.60099999999999998</v>
      </c>
      <c r="T5">
        <v>21.72</v>
      </c>
      <c r="U5">
        <v>13.250019999999999</v>
      </c>
      <c r="V5">
        <v>13.228009999999999</v>
      </c>
      <c r="W5">
        <v>26.47803</v>
      </c>
      <c r="X5">
        <v>32.218655559515319</v>
      </c>
      <c r="Y5">
        <v>2068.5960937499999</v>
      </c>
      <c r="Z5">
        <v>97.796205939949914</v>
      </c>
      <c r="AA5">
        <v>1970.79988781005</v>
      </c>
      <c r="AB5">
        <v>2.2469313399999999E-4</v>
      </c>
      <c r="AC5">
        <v>24.117913399857411</v>
      </c>
      <c r="AD5">
        <v>297.26791339985738</v>
      </c>
      <c r="AE5">
        <v>297.26357999999999</v>
      </c>
      <c r="AF5">
        <v>308.35856999999999</v>
      </c>
      <c r="AG5">
        <v>305.38562999999999</v>
      </c>
      <c r="AH5">
        <v>307.14706999999999</v>
      </c>
      <c r="AI5">
        <v>307.14908000000003</v>
      </c>
      <c r="AJ5">
        <v>370.42367999999999</v>
      </c>
      <c r="AK5">
        <v>4.8633154999999997E-3</v>
      </c>
      <c r="AL5">
        <v>5.6384532000000002E-4</v>
      </c>
      <c r="AM5">
        <v>5.6386350999999997E-4</v>
      </c>
      <c r="AN5">
        <v>144.88057608020469</v>
      </c>
      <c r="AO5">
        <v>19.99953361320577</v>
      </c>
      <c r="AP5">
        <v>790.54104300308848</v>
      </c>
      <c r="AQ5">
        <v>91</v>
      </c>
      <c r="AR5">
        <v>699.54104300308848</v>
      </c>
      <c r="AS5">
        <v>2.1341536345707932</v>
      </c>
      <c r="AT5">
        <v>4.4522548356365643</v>
      </c>
      <c r="AU5">
        <v>2.706970940067031</v>
      </c>
      <c r="AV5">
        <v>425.32095414587781</v>
      </c>
      <c r="AW5">
        <v>82.124683479532152</v>
      </c>
      <c r="AZ5">
        <f t="shared" ref="AZ5:AZ66" si="3">0.0944*D5^0.8273*(E5/B5)^0.226*BF5^(1/3)</f>
        <v>17.802063206801733</v>
      </c>
      <c r="BA5">
        <f t="shared" si="0"/>
        <v>0.10987608255789717</v>
      </c>
      <c r="BB5">
        <f t="shared" si="1"/>
        <v>12.749621864616039</v>
      </c>
      <c r="BC5">
        <f t="shared" si="2"/>
        <v>0.36250404078436044</v>
      </c>
      <c r="BD5">
        <v>0.85499999999999998</v>
      </c>
      <c r="BF5">
        <v>0.72</v>
      </c>
    </row>
    <row r="6" spans="1:58" x14ac:dyDescent="0.25">
      <c r="A6" t="s">
        <v>50</v>
      </c>
      <c r="B6">
        <v>8</v>
      </c>
      <c r="C6">
        <v>0.3</v>
      </c>
      <c r="D6">
        <v>1000</v>
      </c>
      <c r="E6">
        <v>3.5890792817906041</v>
      </c>
      <c r="F6">
        <v>1905.201099537037</v>
      </c>
      <c r="G6">
        <v>27.36</v>
      </c>
      <c r="H6">
        <v>23.8</v>
      </c>
      <c r="I6">
        <v>102625</v>
      </c>
      <c r="J6">
        <v>1.8431999999999999E-5</v>
      </c>
      <c r="K6">
        <v>1007</v>
      </c>
      <c r="L6">
        <v>2.8101888000000002E-3</v>
      </c>
      <c r="M6">
        <v>1.206</v>
      </c>
      <c r="N6">
        <v>4.2583573361263856</v>
      </c>
      <c r="O6">
        <v>140.04263122923589</v>
      </c>
      <c r="P6">
        <v>140</v>
      </c>
      <c r="Q6">
        <v>0.60199999999999998</v>
      </c>
      <c r="R6">
        <v>22.01</v>
      </c>
      <c r="S6">
        <v>0.60099999999999998</v>
      </c>
      <c r="T6">
        <v>21.71</v>
      </c>
      <c r="U6">
        <v>13.250019999999999</v>
      </c>
      <c r="V6">
        <v>13.228009999999999</v>
      </c>
      <c r="W6">
        <v>26.47803</v>
      </c>
      <c r="X6">
        <v>30.92479085736171</v>
      </c>
      <c r="Y6">
        <v>2068.5960937499999</v>
      </c>
      <c r="Z6">
        <v>70.220067542950119</v>
      </c>
      <c r="AA6">
        <v>1998.37602620705</v>
      </c>
      <c r="AB6">
        <v>2.8101888000000002E-4</v>
      </c>
      <c r="AC6">
        <v>24.144103791650679</v>
      </c>
      <c r="AD6">
        <v>297.29410379165063</v>
      </c>
      <c r="AE6">
        <v>297.28732000000002</v>
      </c>
      <c r="AF6">
        <v>306.34003000000001</v>
      </c>
      <c r="AG6">
        <v>303.99718999999999</v>
      </c>
      <c r="AH6">
        <v>305.70873999999998</v>
      </c>
      <c r="AI6">
        <v>305.66717999999997</v>
      </c>
      <c r="AJ6">
        <v>545.33529999999996</v>
      </c>
      <c r="AK6">
        <v>4.8633154999999997E-3</v>
      </c>
      <c r="AL6">
        <v>5.6384532000000002E-4</v>
      </c>
      <c r="AM6">
        <v>5.6386350999999997E-4</v>
      </c>
      <c r="AN6">
        <v>170.66248575137149</v>
      </c>
      <c r="AO6">
        <v>23.558507376505069</v>
      </c>
      <c r="AP6">
        <v>1274.930677901187</v>
      </c>
      <c r="AQ6">
        <v>113</v>
      </c>
      <c r="AR6">
        <v>1161.930677901187</v>
      </c>
      <c r="AS6">
        <v>2.337884009894807</v>
      </c>
      <c r="AT6">
        <v>4.7396212970666278</v>
      </c>
      <c r="AU6">
        <v>2.8816897486165098</v>
      </c>
      <c r="AV6">
        <v>706.45385216392197</v>
      </c>
      <c r="AW6">
        <v>102.71157894736839</v>
      </c>
      <c r="AZ6">
        <f t="shared" si="3"/>
        <v>21.411347126951807</v>
      </c>
      <c r="BA6">
        <f t="shared" si="0"/>
        <v>9.1141608219824172E-2</v>
      </c>
      <c r="BB6">
        <f t="shared" si="1"/>
        <v>15.771249932613808</v>
      </c>
      <c r="BC6">
        <f t="shared" si="2"/>
        <v>0.33054969567628484</v>
      </c>
      <c r="BD6">
        <v>0.85499999999999998</v>
      </c>
      <c r="BF6">
        <v>0.72</v>
      </c>
    </row>
    <row r="7" spans="1:58" x14ac:dyDescent="0.25">
      <c r="A7" t="s">
        <v>50</v>
      </c>
      <c r="B7">
        <v>8</v>
      </c>
      <c r="C7">
        <v>0.3</v>
      </c>
      <c r="D7">
        <v>1200</v>
      </c>
      <c r="E7">
        <v>3.5890792817906041</v>
      </c>
      <c r="F7">
        <v>2287.3581935623952</v>
      </c>
      <c r="G7">
        <v>27.36</v>
      </c>
      <c r="H7">
        <v>23.6</v>
      </c>
      <c r="I7">
        <v>103125</v>
      </c>
      <c r="J7">
        <v>1.8423E-5</v>
      </c>
      <c r="K7">
        <v>1007</v>
      </c>
      <c r="L7">
        <v>3.3705799649999999E-3</v>
      </c>
      <c r="M7">
        <v>1.2130000000000001</v>
      </c>
      <c r="N7">
        <v>5.0780590342560847</v>
      </c>
      <c r="O7">
        <v>167.96910124584721</v>
      </c>
      <c r="P7">
        <v>168</v>
      </c>
      <c r="Q7">
        <v>0.60199999999999998</v>
      </c>
      <c r="R7">
        <v>22.01</v>
      </c>
      <c r="S7">
        <v>0.60099999999999998</v>
      </c>
      <c r="T7">
        <v>21.71</v>
      </c>
      <c r="U7">
        <v>13.250019999999999</v>
      </c>
      <c r="V7">
        <v>13.228009999999999</v>
      </c>
      <c r="W7">
        <v>26.47803</v>
      </c>
      <c r="X7">
        <v>30.01925006601531</v>
      </c>
      <c r="Y7">
        <v>2068.5960937499999</v>
      </c>
      <c r="Z7">
        <v>50.920276656984242</v>
      </c>
      <c r="AA7">
        <v>2017.6758170930159</v>
      </c>
      <c r="AB7">
        <v>3.3705799650000001E-4</v>
      </c>
      <c r="AC7">
        <v>24.142669952762329</v>
      </c>
      <c r="AD7">
        <v>297.29266995276231</v>
      </c>
      <c r="AE7">
        <v>297.28307999999998</v>
      </c>
      <c r="AF7">
        <v>304.91496000000001</v>
      </c>
      <c r="AG7">
        <v>303.05448999999999</v>
      </c>
      <c r="AH7">
        <v>304.71494999999999</v>
      </c>
      <c r="AI7">
        <v>304.69977999999998</v>
      </c>
      <c r="AJ7">
        <v>740.42046000000005</v>
      </c>
      <c r="AK7">
        <v>4.8633154999999997E-3</v>
      </c>
      <c r="AL7">
        <v>5.6384532000000002E-4</v>
      </c>
      <c r="AM7">
        <v>5.6386350999999997E-4</v>
      </c>
      <c r="AN7">
        <v>190.18935956605949</v>
      </c>
      <c r="AO7">
        <v>26.254026539829528</v>
      </c>
      <c r="AP7">
        <v>1843.784349969193</v>
      </c>
      <c r="AQ7">
        <v>136</v>
      </c>
      <c r="AR7">
        <v>1707.784349969193</v>
      </c>
      <c r="AS7">
        <v>2.4901855764077521</v>
      </c>
      <c r="AT7">
        <v>4.8565077092086684</v>
      </c>
      <c r="AU7">
        <v>2.9527566871988702</v>
      </c>
      <c r="AV7">
        <v>1038.3328847812691</v>
      </c>
      <c r="AW7">
        <v>123.1937121710526</v>
      </c>
      <c r="AZ7">
        <f t="shared" si="3"/>
        <v>24.897207411020869</v>
      </c>
      <c r="BA7">
        <f t="shared" si="0"/>
        <v>5.1680420401428818E-2</v>
      </c>
      <c r="BB7">
        <f t="shared" si="1"/>
        <v>18.764496992953021</v>
      </c>
      <c r="BC7">
        <f t="shared" si="2"/>
        <v>0.28527165292204881</v>
      </c>
      <c r="BD7">
        <v>0.85499999999999998</v>
      </c>
      <c r="BF7">
        <v>0.72</v>
      </c>
    </row>
    <row r="8" spans="1:58" x14ac:dyDescent="0.25">
      <c r="A8" t="s">
        <v>50</v>
      </c>
      <c r="B8">
        <v>8</v>
      </c>
      <c r="C8">
        <v>0.3</v>
      </c>
      <c r="D8">
        <v>1400</v>
      </c>
      <c r="E8">
        <v>3.5890792817906041</v>
      </c>
      <c r="F8">
        <v>2668.5845591561269</v>
      </c>
      <c r="G8">
        <v>27.36</v>
      </c>
      <c r="H8">
        <v>23.6</v>
      </c>
      <c r="I8">
        <v>103825</v>
      </c>
      <c r="J8">
        <v>1.8423E-5</v>
      </c>
      <c r="K8">
        <v>1007</v>
      </c>
      <c r="L8">
        <v>3.9323432925000004E-3</v>
      </c>
      <c r="M8">
        <v>1.2210000000000001</v>
      </c>
      <c r="N8">
        <v>5.8855854845575237</v>
      </c>
      <c r="O8">
        <v>195.96395145348839</v>
      </c>
      <c r="P8">
        <v>196</v>
      </c>
      <c r="Q8">
        <v>0.59099999999999997</v>
      </c>
      <c r="R8">
        <v>21.56</v>
      </c>
      <c r="S8">
        <v>0.60099999999999998</v>
      </c>
      <c r="T8">
        <v>21.71</v>
      </c>
      <c r="U8">
        <v>12.741960000000001</v>
      </c>
      <c r="V8">
        <v>12.957560000000001</v>
      </c>
      <c r="W8">
        <v>25.69952</v>
      </c>
      <c r="X8">
        <v>29.367312469687981</v>
      </c>
      <c r="Y8">
        <v>2007.7750000000001</v>
      </c>
      <c r="Z8">
        <v>37.025530666459993</v>
      </c>
      <c r="AA8">
        <v>1970.74946933354</v>
      </c>
      <c r="AB8">
        <v>3.9323432924999989E-4</v>
      </c>
      <c r="AC8">
        <v>24.145902489626518</v>
      </c>
      <c r="AD8">
        <v>297.29590248962649</v>
      </c>
      <c r="AE8">
        <v>297.28287</v>
      </c>
      <c r="AF8">
        <v>303.62943000000001</v>
      </c>
      <c r="AG8">
        <v>302.16230000000002</v>
      </c>
      <c r="AH8">
        <v>303.73108000000002</v>
      </c>
      <c r="AI8">
        <v>303.75241999999997</v>
      </c>
      <c r="AJ8">
        <v>991.08681999999999</v>
      </c>
      <c r="AK8">
        <v>4.8633154999999997E-3</v>
      </c>
      <c r="AL8">
        <v>5.6384532000000002E-4</v>
      </c>
      <c r="AM8">
        <v>5.6386350999999997E-4</v>
      </c>
      <c r="AN8">
        <v>210.16518276912541</v>
      </c>
      <c r="AO8">
        <v>29.011519355015519</v>
      </c>
      <c r="AP8">
        <v>2524.9329812649321</v>
      </c>
      <c r="AQ8">
        <v>159</v>
      </c>
      <c r="AR8">
        <v>2365.9329812649321</v>
      </c>
      <c r="AS8">
        <v>2.5476405601528751</v>
      </c>
      <c r="AT8">
        <v>4.9595486345414947</v>
      </c>
      <c r="AU8">
        <v>3.0154055698012292</v>
      </c>
      <c r="AV8">
        <v>1438.487252609078</v>
      </c>
      <c r="AW8">
        <v>143.7259975328947</v>
      </c>
      <c r="AZ8">
        <f t="shared" si="3"/>
        <v>28.283667062295308</v>
      </c>
      <c r="BA8">
        <f t="shared" si="0"/>
        <v>2.5088389332990235E-2</v>
      </c>
      <c r="BB8">
        <f t="shared" si="1"/>
        <v>21.734346680920289</v>
      </c>
      <c r="BC8">
        <f t="shared" si="2"/>
        <v>0.2508373513653</v>
      </c>
      <c r="BD8">
        <v>0.85499999999999998</v>
      </c>
      <c r="BF8">
        <v>0.72</v>
      </c>
    </row>
    <row r="9" spans="1:58" x14ac:dyDescent="0.25">
      <c r="A9" t="s">
        <v>50</v>
      </c>
      <c r="B9">
        <v>8</v>
      </c>
      <c r="C9">
        <v>0.3</v>
      </c>
      <c r="D9">
        <v>1600</v>
      </c>
      <c r="E9">
        <v>3.5890792817906041</v>
      </c>
      <c r="F9">
        <v>3048.1563861914319</v>
      </c>
      <c r="G9">
        <v>27.36</v>
      </c>
      <c r="H9">
        <v>23.8</v>
      </c>
      <c r="I9">
        <v>104625</v>
      </c>
      <c r="J9">
        <v>1.8433000000000001E-5</v>
      </c>
      <c r="K9">
        <v>1007</v>
      </c>
      <c r="L9">
        <v>4.4965460199999996E-3</v>
      </c>
      <c r="M9">
        <v>1.2290000000000001</v>
      </c>
      <c r="N9">
        <v>6.6862262917600486</v>
      </c>
      <c r="O9">
        <v>224.08036644518279</v>
      </c>
      <c r="P9">
        <v>224</v>
      </c>
      <c r="Q9">
        <v>0.8</v>
      </c>
      <c r="R9">
        <v>29.24</v>
      </c>
      <c r="S9">
        <v>0.80200000000000005</v>
      </c>
      <c r="T9">
        <v>28.96</v>
      </c>
      <c r="U9">
        <v>23.391999999999999</v>
      </c>
      <c r="V9">
        <v>23.450479999999999</v>
      </c>
      <c r="W9">
        <v>46.842479999999988</v>
      </c>
      <c r="X9">
        <v>32.772605929812677</v>
      </c>
      <c r="Y9">
        <v>3659.568749999999</v>
      </c>
      <c r="Z9">
        <v>109.6025501820977</v>
      </c>
      <c r="AA9">
        <v>3549.9661998179022</v>
      </c>
      <c r="AB9">
        <v>4.4965460199999999E-4</v>
      </c>
      <c r="AC9">
        <v>24.14535939968399</v>
      </c>
      <c r="AD9">
        <v>297.29535939968389</v>
      </c>
      <c r="AE9">
        <v>297.27843999999999</v>
      </c>
      <c r="AF9">
        <v>307.31527999999997</v>
      </c>
      <c r="AG9">
        <v>305.12923999999998</v>
      </c>
      <c r="AH9">
        <v>307.92403999999999</v>
      </c>
      <c r="AI9">
        <v>307.95217000000002</v>
      </c>
      <c r="AJ9">
        <v>1303.6669999999999</v>
      </c>
      <c r="AK9">
        <v>4.8633154999999997E-3</v>
      </c>
      <c r="AL9">
        <v>5.6384532000000002E-4</v>
      </c>
      <c r="AM9">
        <v>5.6386350999999997E-4</v>
      </c>
      <c r="AN9">
        <v>225.65839958193359</v>
      </c>
      <c r="AO9">
        <v>31.150226411597821</v>
      </c>
      <c r="AP9">
        <v>3323.3809241706158</v>
      </c>
      <c r="AQ9">
        <v>181</v>
      </c>
      <c r="AR9">
        <v>3142.3809241706158</v>
      </c>
      <c r="AS9">
        <v>2.549256001855241</v>
      </c>
      <c r="AT9">
        <v>5.0545299745078864</v>
      </c>
      <c r="AU9">
        <v>3.0731542245007941</v>
      </c>
      <c r="AV9">
        <v>1910.5676018957349</v>
      </c>
      <c r="AW9">
        <v>164.34744225146201</v>
      </c>
      <c r="AZ9">
        <f t="shared" si="3"/>
        <v>31.587296287763159</v>
      </c>
      <c r="BA9">
        <f t="shared" si="0"/>
        <v>-1.403103368785176E-2</v>
      </c>
      <c r="BB9">
        <f t="shared" si="1"/>
        <v>24.684312420146281</v>
      </c>
      <c r="BC9">
        <f t="shared" si="2"/>
        <v>0.20757197414925233</v>
      </c>
      <c r="BD9">
        <v>0.85499999999999998</v>
      </c>
      <c r="BF9">
        <v>0.72</v>
      </c>
    </row>
    <row r="10" spans="1:58" x14ac:dyDescent="0.25">
      <c r="A10" t="s">
        <v>50</v>
      </c>
      <c r="B10">
        <v>8</v>
      </c>
      <c r="C10">
        <v>0.3</v>
      </c>
      <c r="D10">
        <v>1800</v>
      </c>
      <c r="E10">
        <v>3.5890792817906041</v>
      </c>
      <c r="F10">
        <v>3430.1063598871278</v>
      </c>
      <c r="G10">
        <v>27.36</v>
      </c>
      <c r="H10">
        <v>23.7</v>
      </c>
      <c r="I10">
        <v>105475</v>
      </c>
      <c r="J10">
        <v>1.8428E-5</v>
      </c>
      <c r="K10">
        <v>1007</v>
      </c>
      <c r="L10">
        <v>5.0572421100000004E-3</v>
      </c>
      <c r="M10">
        <v>1.24</v>
      </c>
      <c r="N10">
        <v>7.4532548546264863</v>
      </c>
      <c r="O10">
        <v>252.02203205980069</v>
      </c>
      <c r="P10">
        <v>252</v>
      </c>
      <c r="Q10">
        <v>0.8</v>
      </c>
      <c r="R10">
        <v>29.24</v>
      </c>
      <c r="S10">
        <v>0.80200000000000005</v>
      </c>
      <c r="T10">
        <v>28.96</v>
      </c>
      <c r="U10">
        <v>23.391999999999999</v>
      </c>
      <c r="V10">
        <v>23.450479999999999</v>
      </c>
      <c r="W10">
        <v>46.842479999999988</v>
      </c>
      <c r="X10">
        <v>32.128499069058897</v>
      </c>
      <c r="Y10">
        <v>3659.568749999999</v>
      </c>
      <c r="Z10">
        <v>95.874700658852248</v>
      </c>
      <c r="AA10">
        <v>3563.6940493411471</v>
      </c>
      <c r="AB10">
        <v>5.0572421100000006E-4</v>
      </c>
      <c r="AC10">
        <v>24.10359004739334</v>
      </c>
      <c r="AD10">
        <v>297.25359004739329</v>
      </c>
      <c r="AE10">
        <v>297.23227000000003</v>
      </c>
      <c r="AF10">
        <v>306.18581999999998</v>
      </c>
      <c r="AG10">
        <v>304.29838000000001</v>
      </c>
      <c r="AH10">
        <v>306.98070000000001</v>
      </c>
      <c r="AI10">
        <v>307.0317</v>
      </c>
      <c r="AJ10">
        <v>1591.5948000000001</v>
      </c>
      <c r="AK10">
        <v>4.8633154999999997E-3</v>
      </c>
      <c r="AL10">
        <v>5.6384532000000002E-4</v>
      </c>
      <c r="AM10">
        <v>5.6386350999999997E-4</v>
      </c>
      <c r="AN10">
        <v>245.68725756230941</v>
      </c>
      <c r="AO10">
        <v>33.915040227570643</v>
      </c>
      <c r="AP10">
        <v>4143.4990784623487</v>
      </c>
      <c r="AQ10">
        <v>204</v>
      </c>
      <c r="AR10">
        <v>3939.4990784623492</v>
      </c>
      <c r="AS10">
        <v>2.6033630409337531</v>
      </c>
      <c r="AT10">
        <v>5.0322513509561659</v>
      </c>
      <c r="AU10">
        <v>3.059608821381349</v>
      </c>
      <c r="AV10">
        <v>2395.2154397051081</v>
      </c>
      <c r="AW10">
        <v>184.84072039473691</v>
      </c>
      <c r="AZ10">
        <f t="shared" si="3"/>
        <v>34.820173912794303</v>
      </c>
      <c r="BA10">
        <f t="shared" si="0"/>
        <v>-2.6688268070749553E-2</v>
      </c>
      <c r="BB10">
        <f t="shared" si="1"/>
        <v>27.617003165854012</v>
      </c>
      <c r="BC10">
        <f t="shared" si="2"/>
        <v>0.18570041549285118</v>
      </c>
      <c r="BD10">
        <v>0.85499999999999998</v>
      </c>
      <c r="BF10">
        <v>0.72</v>
      </c>
    </row>
    <row r="11" spans="1:58" x14ac:dyDescent="0.25">
      <c r="A11" t="s">
        <v>50</v>
      </c>
      <c r="B11">
        <v>8</v>
      </c>
      <c r="C11">
        <v>0.3</v>
      </c>
      <c r="D11">
        <v>2000</v>
      </c>
      <c r="E11">
        <v>3.5890792817906041</v>
      </c>
      <c r="F11">
        <v>3811.2292887634758</v>
      </c>
      <c r="G11">
        <v>27.36</v>
      </c>
      <c r="H11">
        <v>23.7</v>
      </c>
      <c r="I11">
        <v>106325</v>
      </c>
      <c r="J11">
        <v>1.8428E-5</v>
      </c>
      <c r="K11">
        <v>1007</v>
      </c>
      <c r="L11">
        <v>5.6191579000000004E-3</v>
      </c>
      <c r="M11">
        <v>1.25</v>
      </c>
      <c r="N11">
        <v>8.2151431286549723</v>
      </c>
      <c r="O11">
        <v>280.02448006644522</v>
      </c>
      <c r="P11">
        <v>280</v>
      </c>
      <c r="Q11">
        <v>0.8</v>
      </c>
      <c r="R11">
        <v>29.24</v>
      </c>
      <c r="S11">
        <v>0.80200000000000005</v>
      </c>
      <c r="T11">
        <v>28.96</v>
      </c>
      <c r="U11">
        <v>23.391999999999999</v>
      </c>
      <c r="V11">
        <v>23.450479999999999</v>
      </c>
      <c r="W11">
        <v>46.842479999999988</v>
      </c>
      <c r="X11">
        <v>31.536519245672959</v>
      </c>
      <c r="Y11">
        <v>3659.568749999999</v>
      </c>
      <c r="Z11">
        <v>83.257834683027681</v>
      </c>
      <c r="AA11">
        <v>3576.3109153169721</v>
      </c>
      <c r="AB11">
        <v>5.6191579000000006E-4</v>
      </c>
      <c r="AC11">
        <v>24.086820072332689</v>
      </c>
      <c r="AD11">
        <v>297.23682007233259</v>
      </c>
      <c r="AE11">
        <v>297.21105999999997</v>
      </c>
      <c r="AF11">
        <v>305.32632999999998</v>
      </c>
      <c r="AG11">
        <v>303.7269</v>
      </c>
      <c r="AH11">
        <v>306.43853000000001</v>
      </c>
      <c r="AI11">
        <v>306.42486000000002</v>
      </c>
      <c r="AJ11">
        <v>1945.4413</v>
      </c>
      <c r="AK11">
        <v>4.8633154999999997E-3</v>
      </c>
      <c r="AL11">
        <v>5.6384532000000002E-4</v>
      </c>
      <c r="AM11">
        <v>5.6386350999999997E-4</v>
      </c>
      <c r="AN11">
        <v>257.50004544360962</v>
      </c>
      <c r="AO11">
        <v>35.54569531391531</v>
      </c>
      <c r="AP11">
        <v>5023.5910186859564</v>
      </c>
      <c r="AQ11">
        <v>227</v>
      </c>
      <c r="AR11">
        <v>4796.5910186859564</v>
      </c>
      <c r="AS11">
        <v>2.582237263435271</v>
      </c>
      <c r="AT11">
        <v>4.9833468936828957</v>
      </c>
      <c r="AU11">
        <v>3.029874911359201</v>
      </c>
      <c r="AV11">
        <v>2916.3273393610611</v>
      </c>
      <c r="AW11">
        <v>205.37857821637431</v>
      </c>
      <c r="AZ11">
        <f t="shared" si="3"/>
        <v>37.991470862813586</v>
      </c>
      <c r="BA11">
        <f t="shared" si="0"/>
        <v>-6.8806518688095869E-2</v>
      </c>
      <c r="BB11">
        <f t="shared" si="1"/>
        <v>30.534431901331832</v>
      </c>
      <c r="BC11">
        <f t="shared" si="2"/>
        <v>0.1409808801973747</v>
      </c>
      <c r="BD11">
        <v>0.85499999999999998</v>
      </c>
      <c r="BF11">
        <v>0.72</v>
      </c>
    </row>
    <row r="12" spans="1:58" x14ac:dyDescent="0.25">
      <c r="A12" t="s">
        <v>50</v>
      </c>
      <c r="B12">
        <v>8</v>
      </c>
      <c r="C12">
        <v>0.3</v>
      </c>
      <c r="D12">
        <v>2500</v>
      </c>
      <c r="E12">
        <v>3.5890792817906041</v>
      </c>
      <c r="F12">
        <v>4765.3295699216551</v>
      </c>
      <c r="G12">
        <v>27.36</v>
      </c>
      <c r="H12">
        <v>23.6</v>
      </c>
      <c r="I12">
        <v>108825</v>
      </c>
      <c r="J12">
        <v>1.8423E-5</v>
      </c>
      <c r="K12">
        <v>1007</v>
      </c>
      <c r="L12">
        <v>7.0220415937500003E-3</v>
      </c>
      <c r="M12">
        <v>1.2789999999999999</v>
      </c>
      <c r="N12">
        <v>10.033368531001811</v>
      </c>
      <c r="O12">
        <v>349.93562759551497</v>
      </c>
      <c r="P12">
        <v>350</v>
      </c>
      <c r="Q12">
        <v>0.80100000000000005</v>
      </c>
      <c r="R12">
        <v>29.25</v>
      </c>
      <c r="S12">
        <v>0.80200000000000005</v>
      </c>
      <c r="T12">
        <v>28.96</v>
      </c>
      <c r="U12">
        <v>23.42925</v>
      </c>
      <c r="V12">
        <v>23.458500000000001</v>
      </c>
      <c r="W12">
        <v>46.887749999999997</v>
      </c>
      <c r="X12">
        <v>30.47739420619142</v>
      </c>
      <c r="Y12">
        <v>3663.10546875</v>
      </c>
      <c r="Z12">
        <v>60.684702716557808</v>
      </c>
      <c r="AA12">
        <v>3602.4207660334419</v>
      </c>
      <c r="AB12">
        <v>7.0220415937500007E-4</v>
      </c>
      <c r="AC12">
        <v>24.086188866799201</v>
      </c>
      <c r="AD12">
        <v>297.23618886679918</v>
      </c>
      <c r="AE12">
        <v>297.19626</v>
      </c>
      <c r="AF12">
        <v>303.71107000000001</v>
      </c>
      <c r="AG12">
        <v>302.56346000000002</v>
      </c>
      <c r="AH12">
        <v>305.18020999999999</v>
      </c>
      <c r="AI12">
        <v>305.17977999999999</v>
      </c>
      <c r="AJ12">
        <v>3027.7514000000001</v>
      </c>
      <c r="AK12">
        <v>4.8633154999999997E-3</v>
      </c>
      <c r="AL12">
        <v>5.6384532000000002E-4</v>
      </c>
      <c r="AM12">
        <v>5.6386350999999997E-4</v>
      </c>
      <c r="AN12">
        <v>295.76292218589168</v>
      </c>
      <c r="AO12">
        <v>40.827560628431947</v>
      </c>
      <c r="AP12">
        <v>7460.4499668654744</v>
      </c>
      <c r="AQ12">
        <v>284</v>
      </c>
      <c r="AR12">
        <v>7176.4499668654744</v>
      </c>
      <c r="AS12">
        <v>2.4640232903089321</v>
      </c>
      <c r="AT12">
        <v>4.8310424530034028</v>
      </c>
      <c r="AU12">
        <v>2.9372738114260688</v>
      </c>
      <c r="AV12">
        <v>4363.2815798542088</v>
      </c>
      <c r="AW12">
        <v>256.65356702302631</v>
      </c>
      <c r="AZ12">
        <f t="shared" si="3"/>
        <v>45.6940614724016</v>
      </c>
      <c r="BA12">
        <f t="shared" si="0"/>
        <v>-0.1191964635913287</v>
      </c>
      <c r="BB12">
        <f t="shared" si="1"/>
        <v>37.771014872430733</v>
      </c>
      <c r="BC12">
        <f t="shared" si="2"/>
        <v>7.4864765588582891E-2</v>
      </c>
      <c r="BD12">
        <v>0.85499999999999998</v>
      </c>
      <c r="BF12">
        <v>0.72</v>
      </c>
    </row>
    <row r="13" spans="1:58" x14ac:dyDescent="0.25">
      <c r="A13" t="s">
        <v>50</v>
      </c>
      <c r="B13">
        <v>8</v>
      </c>
      <c r="C13">
        <v>0.3</v>
      </c>
      <c r="D13">
        <v>3000</v>
      </c>
      <c r="E13">
        <v>3.5890792817906041</v>
      </c>
      <c r="F13">
        <v>5718.0851063829787</v>
      </c>
      <c r="G13">
        <v>27.36</v>
      </c>
      <c r="H13">
        <v>23.6</v>
      </c>
      <c r="I13">
        <v>111525</v>
      </c>
      <c r="J13">
        <v>1.8423999999999998E-5</v>
      </c>
      <c r="K13">
        <v>1007</v>
      </c>
      <c r="L13">
        <v>8.4269072999999996E-3</v>
      </c>
      <c r="M13">
        <v>1.3109999999999999</v>
      </c>
      <c r="N13">
        <v>11.74679625503499</v>
      </c>
      <c r="O13">
        <v>419.94554651162792</v>
      </c>
      <c r="P13">
        <v>420</v>
      </c>
      <c r="Q13">
        <v>0.79900000000000004</v>
      </c>
      <c r="R13">
        <v>29.04</v>
      </c>
      <c r="S13">
        <v>0.80800000000000005</v>
      </c>
      <c r="T13">
        <v>29.1</v>
      </c>
      <c r="U13">
        <v>23.202960000000001</v>
      </c>
      <c r="V13">
        <v>23.464320000000001</v>
      </c>
      <c r="W13">
        <v>46.667280000000012</v>
      </c>
      <c r="X13">
        <v>29.747253236474641</v>
      </c>
      <c r="Y13">
        <v>3645.8812499999999</v>
      </c>
      <c r="Z13">
        <v>45.123208228983913</v>
      </c>
      <c r="AA13">
        <v>3600.758041771016</v>
      </c>
      <c r="AB13">
        <v>8.4269073000000001E-4</v>
      </c>
      <c r="AC13">
        <v>24.0167431737238</v>
      </c>
      <c r="AD13">
        <v>297.16674317372377</v>
      </c>
      <c r="AE13">
        <v>297.11124000000001</v>
      </c>
      <c r="AF13">
        <v>302.54674999999997</v>
      </c>
      <c r="AG13">
        <v>301.60005000000001</v>
      </c>
      <c r="AH13">
        <v>304.07038</v>
      </c>
      <c r="AI13">
        <v>304.13308000000001</v>
      </c>
      <c r="AJ13">
        <v>4308.1864999999998</v>
      </c>
      <c r="AK13">
        <v>4.8633154999999997E-3</v>
      </c>
      <c r="AL13">
        <v>5.6384532000000002E-4</v>
      </c>
      <c r="AM13">
        <v>5.6386350999999997E-4</v>
      </c>
      <c r="AN13">
        <v>343.14378198341598</v>
      </c>
      <c r="AO13">
        <v>47.368086099690402</v>
      </c>
      <c r="AP13">
        <v>10125.191795277669</v>
      </c>
      <c r="AQ13">
        <v>340</v>
      </c>
      <c r="AR13">
        <v>9785.1917952776694</v>
      </c>
      <c r="AS13">
        <v>2.3502213275301962</v>
      </c>
      <c r="AT13">
        <v>4.6331781699415151</v>
      </c>
      <c r="AU13">
        <v>2.8169723273244411</v>
      </c>
      <c r="AV13">
        <v>5949.3966115288231</v>
      </c>
      <c r="AW13">
        <v>308.00099780701748</v>
      </c>
      <c r="AZ13">
        <f t="shared" si="3"/>
        <v>53.133253091688104</v>
      </c>
      <c r="BA13">
        <f t="shared" si="0"/>
        <v>-0.12170994158101278</v>
      </c>
      <c r="BB13">
        <f t="shared" si="1"/>
        <v>44.939627361358184</v>
      </c>
      <c r="BC13">
        <f t="shared" si="2"/>
        <v>5.1267824780197105E-2</v>
      </c>
      <c r="BD13">
        <v>0.85499999999999998</v>
      </c>
      <c r="BF13">
        <v>0.72</v>
      </c>
    </row>
    <row r="14" spans="1:58" x14ac:dyDescent="0.25">
      <c r="A14" t="s">
        <v>50</v>
      </c>
      <c r="B14">
        <v>8</v>
      </c>
      <c r="C14">
        <v>0.3</v>
      </c>
      <c r="D14">
        <v>3500</v>
      </c>
      <c r="E14">
        <v>3.5890792817906041</v>
      </c>
      <c r="F14">
        <v>6672.9102195196974</v>
      </c>
      <c r="G14">
        <v>27.36</v>
      </c>
      <c r="H14">
        <v>23.5</v>
      </c>
      <c r="I14">
        <v>114325</v>
      </c>
      <c r="J14">
        <v>1.8419000000000001E-5</v>
      </c>
      <c r="K14">
        <v>1007</v>
      </c>
      <c r="L14">
        <v>9.8287237562500011E-3</v>
      </c>
      <c r="M14">
        <v>1.345</v>
      </c>
      <c r="N14">
        <v>13.354534550003811</v>
      </c>
      <c r="O14">
        <v>489.80350944767451</v>
      </c>
      <c r="P14">
        <v>490</v>
      </c>
      <c r="Q14">
        <v>1</v>
      </c>
      <c r="R14">
        <v>36.46</v>
      </c>
      <c r="S14">
        <v>1.0029999999999999</v>
      </c>
      <c r="T14">
        <v>36.22</v>
      </c>
      <c r="U14">
        <v>36.46</v>
      </c>
      <c r="V14">
        <v>36.569380000000002</v>
      </c>
      <c r="W14">
        <v>73.029380000000003</v>
      </c>
      <c r="X14">
        <v>32.108030328798193</v>
      </c>
      <c r="Y14">
        <v>5705.4203125000004</v>
      </c>
      <c r="Z14">
        <v>95.438450397675751</v>
      </c>
      <c r="AA14">
        <v>5609.9818621023242</v>
      </c>
      <c r="AB14">
        <v>9.8287237562500016E-4</v>
      </c>
      <c r="AC14">
        <v>23.970884920634919</v>
      </c>
      <c r="AD14">
        <v>297.12088492063492</v>
      </c>
      <c r="AE14">
        <v>297.04683999999997</v>
      </c>
      <c r="AF14">
        <v>304.27273000000002</v>
      </c>
      <c r="AG14">
        <v>303.13391000000001</v>
      </c>
      <c r="AH14">
        <v>306.93601999999998</v>
      </c>
      <c r="AI14">
        <v>306.94589999999999</v>
      </c>
      <c r="AJ14">
        <v>5907.3458000000001</v>
      </c>
      <c r="AK14">
        <v>4.8633154999999997E-3</v>
      </c>
      <c r="AL14">
        <v>5.6384532000000002E-4</v>
      </c>
      <c r="AM14">
        <v>5.6386350999999997E-4</v>
      </c>
      <c r="AN14">
        <v>375.64640997318372</v>
      </c>
      <c r="AO14">
        <v>51.854797973606672</v>
      </c>
      <c r="AP14">
        <v>13060.549272486771</v>
      </c>
      <c r="AQ14">
        <v>397</v>
      </c>
      <c r="AR14">
        <v>12663.549272486771</v>
      </c>
      <c r="AS14">
        <v>2.210899736475012</v>
      </c>
      <c r="AT14">
        <v>4.4675240170212351</v>
      </c>
      <c r="AU14">
        <v>2.7162546023489109</v>
      </c>
      <c r="AV14">
        <v>7699.4379576719584</v>
      </c>
      <c r="AW14">
        <v>359.23697939510242</v>
      </c>
      <c r="AZ14">
        <f t="shared" si="3"/>
        <v>60.360313330432277</v>
      </c>
      <c r="BA14">
        <f t="shared" si="0"/>
        <v>-0.16402561940661281</v>
      </c>
      <c r="BB14">
        <f t="shared" si="1"/>
        <v>52.052204817957147</v>
      </c>
      <c r="BC14">
        <f t="shared" si="2"/>
        <v>-3.8069156966140725E-3</v>
      </c>
      <c r="BD14">
        <v>0.85499999999999998</v>
      </c>
      <c r="BF14">
        <v>0.72</v>
      </c>
    </row>
    <row r="15" spans="1:58" x14ac:dyDescent="0.25">
      <c r="A15" t="s">
        <v>50</v>
      </c>
      <c r="B15">
        <v>8</v>
      </c>
      <c r="C15">
        <v>0.3</v>
      </c>
      <c r="D15">
        <v>4000</v>
      </c>
      <c r="E15">
        <v>3.5890792817906041</v>
      </c>
      <c r="F15">
        <v>7625.7690915671383</v>
      </c>
      <c r="G15">
        <v>27.36</v>
      </c>
      <c r="H15">
        <v>23.5</v>
      </c>
      <c r="I15">
        <v>117525</v>
      </c>
      <c r="J15">
        <v>1.842E-5</v>
      </c>
      <c r="K15">
        <v>1007</v>
      </c>
      <c r="L15">
        <v>1.1233437000000001E-2</v>
      </c>
      <c r="M15">
        <v>1.3819999999999999</v>
      </c>
      <c r="N15">
        <v>14.854516560032501</v>
      </c>
      <c r="O15">
        <v>559.80583056478395</v>
      </c>
      <c r="P15">
        <v>560</v>
      </c>
      <c r="Q15">
        <v>0.998</v>
      </c>
      <c r="R15">
        <v>36.39</v>
      </c>
      <c r="S15">
        <v>1</v>
      </c>
      <c r="T15">
        <v>36.119999999999997</v>
      </c>
      <c r="U15">
        <v>36.317219999999999</v>
      </c>
      <c r="V15">
        <v>36.39</v>
      </c>
      <c r="W15">
        <v>72.707220000000007</v>
      </c>
      <c r="X15">
        <v>31.45240049367478</v>
      </c>
      <c r="Y15">
        <v>5680.2515625000005</v>
      </c>
      <c r="Z15">
        <v>81.46501172169053</v>
      </c>
      <c r="AA15">
        <v>5598.7865507783099</v>
      </c>
      <c r="AB15">
        <v>1.1233437E-3</v>
      </c>
      <c r="AC15">
        <v>23.947566267425881</v>
      </c>
      <c r="AD15">
        <v>297.09756626742592</v>
      </c>
      <c r="AE15">
        <v>297.00457999999998</v>
      </c>
      <c r="AF15">
        <v>303.30703999999997</v>
      </c>
      <c r="AG15">
        <v>302.42513000000002</v>
      </c>
      <c r="AH15">
        <v>306.12223999999998</v>
      </c>
      <c r="AI15">
        <v>306.14537000000001</v>
      </c>
      <c r="AJ15">
        <v>7455.9898000000003</v>
      </c>
      <c r="AK15">
        <v>4.8633154999999997E-3</v>
      </c>
      <c r="AL15">
        <v>5.6384532000000002E-4</v>
      </c>
      <c r="AM15">
        <v>5.6386350999999997E-4</v>
      </c>
      <c r="AN15">
        <v>403.110833297456</v>
      </c>
      <c r="AO15">
        <v>55.646028463586347</v>
      </c>
      <c r="AP15">
        <v>16184.238235486609</v>
      </c>
      <c r="AQ15">
        <v>454</v>
      </c>
      <c r="AR15">
        <v>15730.238235486609</v>
      </c>
      <c r="AS15">
        <v>2.1706357800391061</v>
      </c>
      <c r="AT15">
        <v>4.3102630651697584</v>
      </c>
      <c r="AU15">
        <v>2.6206399436232131</v>
      </c>
      <c r="AV15">
        <v>9563.9848471758614</v>
      </c>
      <c r="AW15">
        <v>410.57883771929818</v>
      </c>
      <c r="AZ15">
        <f t="shared" si="3"/>
        <v>67.410604749066664</v>
      </c>
      <c r="BA15">
        <f t="shared" si="0"/>
        <v>-0.21141807619170561</v>
      </c>
      <c r="BB15">
        <f t="shared" si="1"/>
        <v>59.117161640374242</v>
      </c>
      <c r="BC15">
        <f t="shared" si="2"/>
        <v>-6.2378812515961224E-2</v>
      </c>
      <c r="BD15">
        <v>0.85499999999999998</v>
      </c>
      <c r="BF15">
        <v>0.72</v>
      </c>
    </row>
    <row r="16" spans="1:58" x14ac:dyDescent="0.25">
      <c r="A16" t="s">
        <v>50</v>
      </c>
      <c r="B16">
        <v>8</v>
      </c>
      <c r="C16">
        <v>0.3</v>
      </c>
      <c r="D16">
        <v>4500</v>
      </c>
      <c r="E16">
        <v>3.5890792817906041</v>
      </c>
      <c r="F16">
        <v>8578.99022801303</v>
      </c>
      <c r="G16">
        <v>27.36</v>
      </c>
      <c r="H16">
        <v>23.5</v>
      </c>
      <c r="I16">
        <v>120725</v>
      </c>
      <c r="J16">
        <v>1.842E-5</v>
      </c>
      <c r="K16">
        <v>1007</v>
      </c>
      <c r="L16">
        <v>1.2637616625E-2</v>
      </c>
      <c r="M16">
        <v>1.42</v>
      </c>
      <c r="N16">
        <v>16.26412649416234</v>
      </c>
      <c r="O16">
        <v>629.78155938538214</v>
      </c>
      <c r="P16">
        <v>630</v>
      </c>
      <c r="Q16">
        <v>0.998</v>
      </c>
      <c r="R16">
        <v>36.39</v>
      </c>
      <c r="S16">
        <v>1</v>
      </c>
      <c r="T16">
        <v>36.119999999999997</v>
      </c>
      <c r="U16">
        <v>36.317219999999999</v>
      </c>
      <c r="V16">
        <v>36.39</v>
      </c>
      <c r="W16">
        <v>72.707220000000007</v>
      </c>
      <c r="X16">
        <v>30.908695911626751</v>
      </c>
      <c r="Y16">
        <v>5680.2515625000005</v>
      </c>
      <c r="Z16">
        <v>69.877035964500919</v>
      </c>
      <c r="AA16">
        <v>5610.3745265354992</v>
      </c>
      <c r="AB16">
        <v>1.2637616624999999E-3</v>
      </c>
      <c r="AC16">
        <v>23.923081406644609</v>
      </c>
      <c r="AD16">
        <v>297.07308140664458</v>
      </c>
      <c r="AE16">
        <v>296.95934999999997</v>
      </c>
      <c r="AF16">
        <v>302.63143000000002</v>
      </c>
      <c r="AG16">
        <v>301.75371999999999</v>
      </c>
      <c r="AH16">
        <v>305.35257999999999</v>
      </c>
      <c r="AI16">
        <v>305.46206999999998</v>
      </c>
      <c r="AJ16">
        <v>9919.0226000000002</v>
      </c>
      <c r="AK16">
        <v>4.8633154999999997E-3</v>
      </c>
      <c r="AL16">
        <v>5.6384532000000002E-4</v>
      </c>
      <c r="AM16">
        <v>5.6386350999999997E-4</v>
      </c>
      <c r="AN16">
        <v>453.00307481138492</v>
      </c>
      <c r="AO16">
        <v>62.533228861268483</v>
      </c>
      <c r="AP16">
        <v>19444.570235088398</v>
      </c>
      <c r="AQ16">
        <v>510</v>
      </c>
      <c r="AR16">
        <v>18934.570235088398</v>
      </c>
      <c r="AS16">
        <v>1.960331276499804</v>
      </c>
      <c r="AT16">
        <v>4.1599059721771834</v>
      </c>
      <c r="AU16">
        <v>2.529222831083727</v>
      </c>
      <c r="AV16">
        <v>11512.218702933749</v>
      </c>
      <c r="AW16">
        <v>461.9011924342106</v>
      </c>
      <c r="AZ16">
        <f t="shared" si="3"/>
        <v>74.309904828367834</v>
      </c>
      <c r="BA16">
        <f t="shared" si="0"/>
        <v>-0.18832668937064162</v>
      </c>
      <c r="BB16">
        <f t="shared" si="1"/>
        <v>66.140746089651273</v>
      </c>
      <c r="BC16">
        <f t="shared" si="2"/>
        <v>-5.7689604296399855E-2</v>
      </c>
      <c r="BD16">
        <v>0.85499999999999998</v>
      </c>
      <c r="BF16">
        <v>0.72</v>
      </c>
    </row>
    <row r="17" spans="1:58" x14ac:dyDescent="0.25">
      <c r="A17" t="s">
        <v>50</v>
      </c>
      <c r="B17">
        <v>8</v>
      </c>
      <c r="C17">
        <v>0.3</v>
      </c>
      <c r="D17">
        <v>5000</v>
      </c>
      <c r="E17">
        <v>3.5890792817906041</v>
      </c>
      <c r="F17">
        <v>9534.2817839559775</v>
      </c>
      <c r="G17">
        <v>27.36</v>
      </c>
      <c r="H17">
        <v>23.4</v>
      </c>
      <c r="I17">
        <v>124225</v>
      </c>
      <c r="J17">
        <v>1.8416000000000001E-5</v>
      </c>
      <c r="K17">
        <v>1007</v>
      </c>
      <c r="L17">
        <v>1.4038747000000001E-2</v>
      </c>
      <c r="M17">
        <v>1.462</v>
      </c>
      <c r="N17">
        <v>17.548293363653091</v>
      </c>
      <c r="O17">
        <v>699.60533222591357</v>
      </c>
      <c r="P17">
        <v>700</v>
      </c>
      <c r="Q17">
        <v>0.998</v>
      </c>
      <c r="R17">
        <v>36.39</v>
      </c>
      <c r="S17">
        <v>1</v>
      </c>
      <c r="T17">
        <v>36.119999999999997</v>
      </c>
      <c r="U17">
        <v>36.317219999999999</v>
      </c>
      <c r="V17">
        <v>36.39</v>
      </c>
      <c r="W17">
        <v>72.707220000000007</v>
      </c>
      <c r="X17">
        <v>30.48707613128763</v>
      </c>
      <c r="Y17">
        <v>5680.2515625000005</v>
      </c>
      <c r="Z17">
        <v>60.891053586133353</v>
      </c>
      <c r="AA17">
        <v>5619.3605089138673</v>
      </c>
      <c r="AB17">
        <v>1.4038747000000001E-3</v>
      </c>
      <c r="AC17">
        <v>23.89437172266457</v>
      </c>
      <c r="AD17">
        <v>297.04437172266461</v>
      </c>
      <c r="AE17">
        <v>296.90881000000002</v>
      </c>
      <c r="AF17">
        <v>301.93689999999998</v>
      </c>
      <c r="AG17">
        <v>301.17203999999998</v>
      </c>
      <c r="AH17">
        <v>304.70870000000002</v>
      </c>
      <c r="AI17">
        <v>304.77404000000001</v>
      </c>
      <c r="AJ17">
        <v>11672.799000000001</v>
      </c>
      <c r="AK17">
        <v>4.8633154999999997E-3</v>
      </c>
      <c r="AL17">
        <v>5.6384532000000002E-4</v>
      </c>
      <c r="AM17">
        <v>5.6386350999999997E-4</v>
      </c>
      <c r="AN17">
        <v>495.8974137935665</v>
      </c>
      <c r="AO17">
        <v>68.454428220770453</v>
      </c>
      <c r="AP17">
        <v>22876.49983815628</v>
      </c>
      <c r="AQ17">
        <v>567</v>
      </c>
      <c r="AR17">
        <v>22309.49983815628</v>
      </c>
      <c r="AS17">
        <v>1.9598127097156619</v>
      </c>
      <c r="AT17">
        <v>4.0357039491936986</v>
      </c>
      <c r="AU17">
        <v>2.4537080011097681</v>
      </c>
      <c r="AV17">
        <v>13564.175901599019</v>
      </c>
      <c r="AW17">
        <v>513.11209795321645</v>
      </c>
      <c r="AZ17">
        <f t="shared" si="3"/>
        <v>81.077785285502429</v>
      </c>
      <c r="BA17">
        <f t="shared" si="0"/>
        <v>-0.1844052662892858</v>
      </c>
      <c r="BB17">
        <f t="shared" si="1"/>
        <v>73.127779116698534</v>
      </c>
      <c r="BC17">
        <f t="shared" si="2"/>
        <v>-6.8269519115055466E-2</v>
      </c>
      <c r="BD17">
        <v>0.85499999999999998</v>
      </c>
      <c r="BF17">
        <v>0.72</v>
      </c>
    </row>
    <row r="18" spans="1:58" x14ac:dyDescent="0.25">
      <c r="A18" t="s">
        <v>50</v>
      </c>
      <c r="B18">
        <v>8</v>
      </c>
      <c r="C18">
        <v>0.3</v>
      </c>
      <c r="D18">
        <v>6000</v>
      </c>
      <c r="E18">
        <v>3.5890792817906041</v>
      </c>
      <c r="F18">
        <v>11440.51691372102</v>
      </c>
      <c r="G18">
        <v>27.36</v>
      </c>
      <c r="H18">
        <v>23.4</v>
      </c>
      <c r="I18">
        <v>131625</v>
      </c>
      <c r="J18">
        <v>1.8417E-5</v>
      </c>
      <c r="K18">
        <v>1007</v>
      </c>
      <c r="L18">
        <v>1.6847411175E-2</v>
      </c>
      <c r="M18">
        <v>1.548</v>
      </c>
      <c r="N18">
        <v>19.889145746209032</v>
      </c>
      <c r="O18">
        <v>839.57198546511631</v>
      </c>
      <c r="P18">
        <v>840</v>
      </c>
      <c r="Q18">
        <v>0.998</v>
      </c>
      <c r="R18">
        <v>36.39</v>
      </c>
      <c r="S18">
        <v>1</v>
      </c>
      <c r="T18">
        <v>36.119999999999997</v>
      </c>
      <c r="U18">
        <v>36.317219999999999</v>
      </c>
      <c r="V18">
        <v>36.39</v>
      </c>
      <c r="W18">
        <v>72.707220000000007</v>
      </c>
      <c r="X18">
        <v>29.778317146851752</v>
      </c>
      <c r="Y18">
        <v>5680.2515625000005</v>
      </c>
      <c r="Z18">
        <v>45.785273350851298</v>
      </c>
      <c r="AA18">
        <v>5634.4662891491489</v>
      </c>
      <c r="AB18">
        <v>1.6847411175E-3</v>
      </c>
      <c r="AC18">
        <v>23.836980950716558</v>
      </c>
      <c r="AD18">
        <v>296.98698095071649</v>
      </c>
      <c r="AE18">
        <v>296.80757</v>
      </c>
      <c r="AF18">
        <v>300.94465000000002</v>
      </c>
      <c r="AG18">
        <v>300.25911000000002</v>
      </c>
      <c r="AH18">
        <v>303.71958999999998</v>
      </c>
      <c r="AI18">
        <v>303.60502000000002</v>
      </c>
      <c r="AJ18">
        <v>16337.800999999999</v>
      </c>
      <c r="AK18">
        <v>4.8633154999999997E-3</v>
      </c>
      <c r="AL18">
        <v>5.6384532000000002E-4</v>
      </c>
      <c r="AM18">
        <v>5.6386350999999997E-4</v>
      </c>
      <c r="AN18">
        <v>594.89232792815324</v>
      </c>
      <c r="AO18">
        <v>82.119835733196794</v>
      </c>
      <c r="AP18">
        <v>30316.29581731329</v>
      </c>
      <c r="AQ18">
        <v>680</v>
      </c>
      <c r="AR18">
        <v>29636.29581731329</v>
      </c>
      <c r="AS18">
        <v>1.8555921826513431</v>
      </c>
      <c r="AT18">
        <v>3.8432034501631152</v>
      </c>
      <c r="AU18">
        <v>2.3366676976991738</v>
      </c>
      <c r="AV18">
        <v>18018.867856926481</v>
      </c>
      <c r="AW18">
        <v>615.76795230263156</v>
      </c>
      <c r="AZ18">
        <f t="shared" si="3"/>
        <v>94.277600783857935</v>
      </c>
      <c r="BA18">
        <f t="shared" si="0"/>
        <v>-0.14804906685591904</v>
      </c>
      <c r="BB18">
        <f t="shared" si="1"/>
        <v>87.006800171177204</v>
      </c>
      <c r="BC18">
        <f t="shared" si="2"/>
        <v>-5.9510158469604238E-2</v>
      </c>
      <c r="BD18">
        <v>0.85499999999999998</v>
      </c>
      <c r="BF18">
        <v>0.72</v>
      </c>
    </row>
    <row r="19" spans="1:58" x14ac:dyDescent="0.25">
      <c r="A19" t="s">
        <v>50</v>
      </c>
      <c r="B19">
        <v>8</v>
      </c>
      <c r="C19">
        <v>0.3</v>
      </c>
      <c r="D19">
        <v>7000</v>
      </c>
      <c r="E19">
        <v>3.5890792817906041</v>
      </c>
      <c r="F19">
        <v>13346.54504651247</v>
      </c>
      <c r="G19">
        <v>27.36</v>
      </c>
      <c r="H19">
        <v>23.4</v>
      </c>
      <c r="I19">
        <v>139825</v>
      </c>
      <c r="J19">
        <v>1.8417999999999999E-5</v>
      </c>
      <c r="K19">
        <v>1007</v>
      </c>
      <c r="L19">
        <v>1.9656380275E-2</v>
      </c>
      <c r="M19">
        <v>1.645</v>
      </c>
      <c r="N19">
        <v>21.836928619198702</v>
      </c>
      <c r="O19">
        <v>979.55383430232553</v>
      </c>
      <c r="P19">
        <v>980</v>
      </c>
      <c r="Q19">
        <v>1.1970000000000001</v>
      </c>
      <c r="R19">
        <v>43.67</v>
      </c>
      <c r="S19">
        <v>1.198</v>
      </c>
      <c r="T19">
        <v>43.35</v>
      </c>
      <c r="U19">
        <v>52.272990000000007</v>
      </c>
      <c r="V19">
        <v>52.316659999999999</v>
      </c>
      <c r="W19">
        <v>104.58965000000001</v>
      </c>
      <c r="X19">
        <v>31.708701880476521</v>
      </c>
      <c r="Y19">
        <v>8171.06640625</v>
      </c>
      <c r="Z19">
        <v>86.927563178596074</v>
      </c>
      <c r="AA19">
        <v>8084.1388430714042</v>
      </c>
      <c r="AB19">
        <v>1.9656380275000001E-3</v>
      </c>
      <c r="AC19">
        <v>23.83381891798761</v>
      </c>
      <c r="AD19">
        <v>296.98381891798761</v>
      </c>
      <c r="AE19">
        <v>296.76240000000001</v>
      </c>
      <c r="AF19">
        <v>301.8603</v>
      </c>
      <c r="AG19">
        <v>301.02641</v>
      </c>
      <c r="AH19">
        <v>305.76197999999999</v>
      </c>
      <c r="AI19">
        <v>305.74673999999999</v>
      </c>
      <c r="AJ19">
        <v>22173.985000000001</v>
      </c>
      <c r="AK19">
        <v>4.8633154999999997E-3</v>
      </c>
      <c r="AL19">
        <v>5.6384532000000002E-4</v>
      </c>
      <c r="AM19">
        <v>5.6386350999999997E-4</v>
      </c>
      <c r="AN19">
        <v>663.02847110253811</v>
      </c>
      <c r="AO19">
        <v>91.525451879669987</v>
      </c>
      <c r="AP19">
        <v>38541.42160578911</v>
      </c>
      <c r="AQ19">
        <v>793</v>
      </c>
      <c r="AR19">
        <v>37748.42160578911</v>
      </c>
      <c r="AS19">
        <v>1.738136902581521</v>
      </c>
      <c r="AT19">
        <v>3.7233707622689778</v>
      </c>
      <c r="AU19">
        <v>2.2638094234595392</v>
      </c>
      <c r="AV19">
        <v>22951.04033631978</v>
      </c>
      <c r="AW19">
        <v>718.43495157163727</v>
      </c>
      <c r="AZ19">
        <f t="shared" si="3"/>
        <v>107.10101851914064</v>
      </c>
      <c r="BA19">
        <f t="shared" si="0"/>
        <v>-0.17017743501499566</v>
      </c>
      <c r="BB19">
        <f t="shared" si="1"/>
        <v>100.77733281249671</v>
      </c>
      <c r="BC19">
        <f t="shared" si="2"/>
        <v>-0.10108533465631311</v>
      </c>
      <c r="BD19">
        <v>0.85499999999999998</v>
      </c>
      <c r="BF19">
        <v>0.72</v>
      </c>
    </row>
    <row r="20" spans="1:58" x14ac:dyDescent="0.25">
      <c r="A20" t="s">
        <v>50</v>
      </c>
      <c r="B20">
        <v>8</v>
      </c>
      <c r="C20">
        <v>0.3</v>
      </c>
      <c r="D20">
        <v>8000</v>
      </c>
      <c r="E20">
        <v>3.5890792817906041</v>
      </c>
      <c r="F20">
        <v>15251.53818313428</v>
      </c>
      <c r="G20">
        <v>27.36</v>
      </c>
      <c r="H20">
        <v>23.4</v>
      </c>
      <c r="I20">
        <v>148925</v>
      </c>
      <c r="J20">
        <v>1.842E-5</v>
      </c>
      <c r="K20">
        <v>1007</v>
      </c>
      <c r="L20">
        <v>2.2466874000000001E-2</v>
      </c>
      <c r="M20">
        <v>1.752</v>
      </c>
      <c r="N20">
        <v>23.434865166626611</v>
      </c>
      <c r="O20">
        <v>1119.6116611295679</v>
      </c>
      <c r="P20">
        <v>1120</v>
      </c>
      <c r="Q20">
        <v>1.252</v>
      </c>
      <c r="R20">
        <v>45.71</v>
      </c>
      <c r="S20">
        <v>1.252</v>
      </c>
      <c r="T20">
        <v>45.17</v>
      </c>
      <c r="U20">
        <v>57.228920000000002</v>
      </c>
      <c r="V20">
        <v>57.228920000000002</v>
      </c>
      <c r="W20">
        <v>114.45784</v>
      </c>
      <c r="X20">
        <v>31.186904374506049</v>
      </c>
      <c r="Y20">
        <v>8942.0187499999993</v>
      </c>
      <c r="Z20">
        <v>75.80649293384738</v>
      </c>
      <c r="AA20">
        <v>8866.2122570661522</v>
      </c>
      <c r="AB20">
        <v>2.2466874E-3</v>
      </c>
      <c r="AC20">
        <v>23.893397331597821</v>
      </c>
      <c r="AD20">
        <v>297.04339733159782</v>
      </c>
      <c r="AE20">
        <v>296.77564000000001</v>
      </c>
      <c r="AF20">
        <v>301.61369000000002</v>
      </c>
      <c r="AG20">
        <v>300.72318999999999</v>
      </c>
      <c r="AH20">
        <v>305.62015000000002</v>
      </c>
      <c r="AI20">
        <v>305.71667000000002</v>
      </c>
      <c r="AJ20">
        <v>27754.555</v>
      </c>
      <c r="AK20">
        <v>4.8633154999999997E-3</v>
      </c>
      <c r="AL20">
        <v>5.6384532000000002E-4</v>
      </c>
      <c r="AM20">
        <v>5.6386350999999997E-4</v>
      </c>
      <c r="AN20">
        <v>770.23197699755633</v>
      </c>
      <c r="AO20">
        <v>106.3239858005595</v>
      </c>
      <c r="AP20">
        <v>47566.269768955419</v>
      </c>
      <c r="AQ20">
        <v>907</v>
      </c>
      <c r="AR20">
        <v>46659.269768955419</v>
      </c>
      <c r="AS20">
        <v>1.71381849822328</v>
      </c>
      <c r="AT20">
        <v>3.655743245989814</v>
      </c>
      <c r="AU20">
        <v>2.222691893561807</v>
      </c>
      <c r="AV20">
        <v>28368.83601952489</v>
      </c>
      <c r="AW20">
        <v>821.15767543859647</v>
      </c>
      <c r="AZ20">
        <f t="shared" si="3"/>
        <v>119.61078445853975</v>
      </c>
      <c r="BA20">
        <f t="shared" si="0"/>
        <v>-0.12496520477423956</v>
      </c>
      <c r="BB20">
        <f t="shared" si="1"/>
        <v>114.45566800480415</v>
      </c>
      <c r="BC20">
        <f t="shared" si="2"/>
        <v>-7.6480223564021663E-2</v>
      </c>
      <c r="BD20">
        <v>0.85499999999999998</v>
      </c>
      <c r="BF20">
        <v>0.72</v>
      </c>
    </row>
    <row r="21" spans="1:58" x14ac:dyDescent="0.25">
      <c r="A21" t="s">
        <v>50</v>
      </c>
      <c r="B21">
        <v>8</v>
      </c>
      <c r="C21">
        <v>0.3</v>
      </c>
      <c r="D21">
        <v>9000</v>
      </c>
      <c r="E21">
        <v>3.5890792817906041</v>
      </c>
      <c r="F21">
        <v>17157.049020140061</v>
      </c>
      <c r="G21">
        <v>27.36</v>
      </c>
      <c r="H21">
        <v>23.4</v>
      </c>
      <c r="I21">
        <v>158625</v>
      </c>
      <c r="J21">
        <v>1.8420999999999999E-5</v>
      </c>
      <c r="K21">
        <v>1007</v>
      </c>
      <c r="L21">
        <v>2.52766054125E-2</v>
      </c>
      <c r="M21">
        <v>1.8660000000000001</v>
      </c>
      <c r="N21">
        <v>24.754891130937271</v>
      </c>
      <c r="O21">
        <v>1259.631498961794</v>
      </c>
      <c r="P21">
        <v>1260</v>
      </c>
      <c r="Q21">
        <v>1.252</v>
      </c>
      <c r="R21">
        <v>45.71</v>
      </c>
      <c r="S21">
        <v>1.252</v>
      </c>
      <c r="T21">
        <v>45.17</v>
      </c>
      <c r="U21">
        <v>57.228920000000002</v>
      </c>
      <c r="V21">
        <v>57.228920000000002</v>
      </c>
      <c r="W21">
        <v>114.45784</v>
      </c>
      <c r="X21">
        <v>31.28366829296127</v>
      </c>
      <c r="Y21">
        <v>8942.0187499999993</v>
      </c>
      <c r="Z21">
        <v>77.868822327883549</v>
      </c>
      <c r="AA21">
        <v>8864.1499276721152</v>
      </c>
      <c r="AB21">
        <v>2.5276605412499998E-3</v>
      </c>
      <c r="AC21">
        <v>23.903335330537221</v>
      </c>
      <c r="AD21">
        <v>297.05333533053721</v>
      </c>
      <c r="AE21">
        <v>296.74750999999998</v>
      </c>
      <c r="AF21">
        <v>300.89661000000001</v>
      </c>
      <c r="AG21">
        <v>300.01396999999997</v>
      </c>
      <c r="AH21">
        <v>304.87921999999998</v>
      </c>
      <c r="AI21">
        <v>304.96507000000003</v>
      </c>
      <c r="AJ21">
        <v>34444.387000000002</v>
      </c>
      <c r="AK21">
        <v>4.8633154999999997E-3</v>
      </c>
      <c r="AL21">
        <v>5.6384532000000002E-4</v>
      </c>
      <c r="AM21">
        <v>5.6386350999999997E-4</v>
      </c>
      <c r="AN21">
        <v>895.10344889291639</v>
      </c>
      <c r="AO21">
        <v>123.56143244157241</v>
      </c>
      <c r="AP21">
        <v>57325.177351707607</v>
      </c>
      <c r="AQ21">
        <v>1020</v>
      </c>
      <c r="AR21">
        <v>56305.177351707607</v>
      </c>
      <c r="AS21">
        <v>1.6642821180620111</v>
      </c>
      <c r="AT21">
        <v>3.6202082731533021</v>
      </c>
      <c r="AU21">
        <v>2.201086630077207</v>
      </c>
      <c r="AV21">
        <v>34233.54782983823</v>
      </c>
      <c r="AW21">
        <v>923.85253700657881</v>
      </c>
      <c r="AZ21">
        <f t="shared" si="3"/>
        <v>131.85263717254483</v>
      </c>
      <c r="BA21">
        <f t="shared" si="0"/>
        <v>-6.710188257887853E-2</v>
      </c>
      <c r="BB21">
        <f t="shared" si="1"/>
        <v>128.05390289335341</v>
      </c>
      <c r="BC21">
        <f t="shared" si="2"/>
        <v>-3.6358193353782334E-2</v>
      </c>
      <c r="BD21">
        <v>0.85499999999999998</v>
      </c>
      <c r="BF21">
        <v>0.72</v>
      </c>
    </row>
    <row r="22" spans="1:58" x14ac:dyDescent="0.25">
      <c r="A22" t="s">
        <v>50</v>
      </c>
      <c r="B22">
        <v>8</v>
      </c>
      <c r="C22">
        <v>0.3</v>
      </c>
      <c r="D22">
        <v>10000</v>
      </c>
      <c r="E22">
        <v>3.5890792817906041</v>
      </c>
      <c r="F22">
        <v>19061.31827968662</v>
      </c>
      <c r="G22">
        <v>27.36</v>
      </c>
      <c r="H22">
        <v>23.4</v>
      </c>
      <c r="I22">
        <v>168625</v>
      </c>
      <c r="J22">
        <v>1.8423E-5</v>
      </c>
      <c r="K22">
        <v>1008</v>
      </c>
      <c r="L22">
        <v>2.8088166375000001E-2</v>
      </c>
      <c r="M22">
        <v>1.9830000000000001</v>
      </c>
      <c r="N22">
        <v>25.885382453154438</v>
      </c>
      <c r="O22">
        <v>1399.7425103820599</v>
      </c>
      <c r="P22">
        <v>1400</v>
      </c>
      <c r="Q22">
        <v>1.252</v>
      </c>
      <c r="R22">
        <v>45.71</v>
      </c>
      <c r="S22">
        <v>1.248</v>
      </c>
      <c r="T22">
        <v>45.17</v>
      </c>
      <c r="U22">
        <v>57.228920000000002</v>
      </c>
      <c r="V22">
        <v>57.046080000000003</v>
      </c>
      <c r="W22">
        <v>114.27500000000001</v>
      </c>
      <c r="X22">
        <v>30.794825599953569</v>
      </c>
      <c r="Y22">
        <v>8927.734375</v>
      </c>
      <c r="Z22">
        <v>67.450118011810332</v>
      </c>
      <c r="AA22">
        <v>8860.2842569881905</v>
      </c>
      <c r="AB22">
        <v>2.8088166374999998E-3</v>
      </c>
      <c r="AC22">
        <v>23.885805403209389</v>
      </c>
      <c r="AD22">
        <v>297.03580540320939</v>
      </c>
      <c r="AE22">
        <v>297.03359</v>
      </c>
      <c r="AF22">
        <v>300.64488999999998</v>
      </c>
      <c r="AG22">
        <v>299.74144000000001</v>
      </c>
      <c r="AH22">
        <v>304.50653</v>
      </c>
      <c r="AI22">
        <v>304.40814</v>
      </c>
      <c r="AJ22">
        <v>39915.705999999998</v>
      </c>
      <c r="AK22">
        <v>4.8633154999999997E-3</v>
      </c>
      <c r="AL22">
        <v>5.6384532000000002E-4</v>
      </c>
      <c r="AM22">
        <v>5.6386350999999997E-4</v>
      </c>
      <c r="AN22">
        <v>1057.62298905532</v>
      </c>
      <c r="AO22">
        <v>145.99587530630379</v>
      </c>
      <c r="AP22">
        <v>67379.479721037307</v>
      </c>
      <c r="AQ22">
        <v>1133</v>
      </c>
      <c r="AR22">
        <v>66246.479721037307</v>
      </c>
      <c r="AS22">
        <v>1.688044293167138</v>
      </c>
      <c r="AT22">
        <v>3.5813354308009782</v>
      </c>
      <c r="AU22">
        <v>2.1774519419269951</v>
      </c>
      <c r="AV22">
        <v>40277.859670390681</v>
      </c>
      <c r="AW22">
        <v>1026.614268092105</v>
      </c>
      <c r="AZ22">
        <f t="shared" si="3"/>
        <v>143.86130396336887</v>
      </c>
      <c r="BA22">
        <f t="shared" si="0"/>
        <v>1.4620764719938308E-2</v>
      </c>
      <c r="BB22">
        <f t="shared" si="1"/>
        <v>141.58137123405561</v>
      </c>
      <c r="BC22">
        <f t="shared" si="2"/>
        <v>3.0237183502523027E-2</v>
      </c>
      <c r="BD22">
        <v>0.85499999999999998</v>
      </c>
      <c r="BF22">
        <v>0.72</v>
      </c>
    </row>
    <row r="23" spans="1:58" x14ac:dyDescent="0.25">
      <c r="A23" t="s">
        <v>50</v>
      </c>
      <c r="B23">
        <v>8</v>
      </c>
      <c r="C23">
        <v>0.3</v>
      </c>
      <c r="D23">
        <v>11000</v>
      </c>
      <c r="E23">
        <v>3.5890792817906041</v>
      </c>
      <c r="F23">
        <v>20965.328655453512</v>
      </c>
      <c r="G23">
        <v>27.36</v>
      </c>
      <c r="H23">
        <v>23.5</v>
      </c>
      <c r="I23">
        <v>179525</v>
      </c>
      <c r="J23">
        <v>1.8412900000000001E-5</v>
      </c>
      <c r="K23">
        <v>1008</v>
      </c>
      <c r="L23">
        <v>3.088004442875001E-2</v>
      </c>
      <c r="M23">
        <v>2.1110000000000002</v>
      </c>
      <c r="N23">
        <v>26.732747385553189</v>
      </c>
      <c r="O23">
        <v>1538.8726459509969</v>
      </c>
      <c r="P23">
        <v>1539</v>
      </c>
      <c r="Q23">
        <v>1.3</v>
      </c>
      <c r="R23">
        <v>47.49</v>
      </c>
      <c r="S23">
        <v>1.2949999999999999</v>
      </c>
      <c r="T23">
        <v>46.9</v>
      </c>
      <c r="U23">
        <v>61.737000000000002</v>
      </c>
      <c r="V23">
        <v>61.499549999999999</v>
      </c>
      <c r="W23">
        <v>123.23654999999999</v>
      </c>
      <c r="X23">
        <v>31.02617774152931</v>
      </c>
      <c r="Y23">
        <v>9627.8554687499982</v>
      </c>
      <c r="Z23">
        <v>72.380926205214109</v>
      </c>
      <c r="AA23">
        <v>9555.4745425447836</v>
      </c>
      <c r="AB23">
        <v>3.0880044428750011E-3</v>
      </c>
      <c r="AC23">
        <v>23.964685496794878</v>
      </c>
      <c r="AD23">
        <v>297.11468549679478</v>
      </c>
      <c r="AE23">
        <v>296.72940999999997</v>
      </c>
      <c r="AF23">
        <v>300.21287000000001</v>
      </c>
      <c r="AG23">
        <v>299.18930999999998</v>
      </c>
      <c r="AH23">
        <v>304.09444999999999</v>
      </c>
      <c r="AI23">
        <v>304.21231</v>
      </c>
      <c r="AJ23">
        <v>46264.39</v>
      </c>
      <c r="AK23">
        <v>4.8633154999999997E-3</v>
      </c>
      <c r="AL23">
        <v>5.6384532000000002E-4</v>
      </c>
      <c r="AM23">
        <v>5.6386350999999997E-4</v>
      </c>
      <c r="AN23">
        <v>1235.380349635062</v>
      </c>
      <c r="AO23">
        <v>170.53376992332429</v>
      </c>
      <c r="AP23">
        <v>78131.89630074786</v>
      </c>
      <c r="AQ23">
        <v>1247</v>
      </c>
      <c r="AR23">
        <v>76884.89630074786</v>
      </c>
      <c r="AS23">
        <v>1.688812849380438</v>
      </c>
      <c r="AT23">
        <v>3.5774948392734678</v>
      </c>
      <c r="AU23">
        <v>2.1751168622782679</v>
      </c>
      <c r="AV23">
        <v>46746.016950854697</v>
      </c>
      <c r="AW23">
        <v>1128.656594618056</v>
      </c>
      <c r="AZ23">
        <f t="shared" si="3"/>
        <v>155.66399097626444</v>
      </c>
      <c r="BA23">
        <f t="shared" si="0"/>
        <v>8.7195509450976316E-2</v>
      </c>
      <c r="BB23">
        <f t="shared" si="1"/>
        <v>155.04549008835744</v>
      </c>
      <c r="BC23">
        <f t="shared" si="2"/>
        <v>9.0822362291824749E-2</v>
      </c>
      <c r="BD23">
        <v>0.85499999999999998</v>
      </c>
      <c r="BF23">
        <v>0.72</v>
      </c>
    </row>
    <row r="24" spans="1:58" x14ac:dyDescent="0.25">
      <c r="A24" t="s">
        <v>50</v>
      </c>
      <c r="B24">
        <v>8</v>
      </c>
      <c r="C24">
        <v>0.3</v>
      </c>
      <c r="D24" t="s">
        <v>51</v>
      </c>
      <c r="E24">
        <v>1.204</v>
      </c>
    </row>
    <row r="25" spans="1:58" x14ac:dyDescent="0.25">
      <c r="A25" t="s">
        <v>52</v>
      </c>
    </row>
    <row r="26" spans="1:58" x14ac:dyDescent="0.25">
      <c r="A26" t="s">
        <v>53</v>
      </c>
      <c r="B26">
        <v>8</v>
      </c>
      <c r="C26">
        <v>0.4</v>
      </c>
      <c r="D26">
        <v>400</v>
      </c>
      <c r="E26">
        <v>3.4188339324821291</v>
      </c>
      <c r="F26">
        <v>762.49411935005242</v>
      </c>
      <c r="G26">
        <v>25.856000000000002</v>
      </c>
      <c r="H26">
        <v>23.6</v>
      </c>
      <c r="I26">
        <v>101525</v>
      </c>
      <c r="J26">
        <v>1.8422000000000001E-5</v>
      </c>
      <c r="K26">
        <v>1007</v>
      </c>
      <c r="L26">
        <v>1.1145770550000001E-3</v>
      </c>
      <c r="M26">
        <v>1.1919999999999999</v>
      </c>
      <c r="N26">
        <v>1.808183525937666</v>
      </c>
      <c r="O26">
        <v>55.543707059800667</v>
      </c>
      <c r="P26">
        <v>56</v>
      </c>
      <c r="Q26">
        <v>0.59899999999999998</v>
      </c>
      <c r="R26">
        <v>22.18</v>
      </c>
      <c r="S26">
        <v>0.59699999999999998</v>
      </c>
      <c r="T26">
        <v>21.8</v>
      </c>
      <c r="U26">
        <v>13.285819999999999</v>
      </c>
      <c r="V26">
        <v>13.0146</v>
      </c>
      <c r="W26">
        <v>26.300419999999999</v>
      </c>
      <c r="X26">
        <v>38.299778789942692</v>
      </c>
      <c r="Y26">
        <v>2054.7203125000001</v>
      </c>
      <c r="Z26">
        <v>227.4031853500486</v>
      </c>
      <c r="AA26">
        <v>1827.3171271499509</v>
      </c>
      <c r="AB26">
        <v>1.114577055E-4</v>
      </c>
      <c r="AC26">
        <v>24.17649483512113</v>
      </c>
      <c r="AD26">
        <v>297.32649483512108</v>
      </c>
      <c r="AE26">
        <v>297.32891999999998</v>
      </c>
      <c r="AF26">
        <v>318.24986999999999</v>
      </c>
      <c r="AG26">
        <v>312.30256000000003</v>
      </c>
      <c r="AH26">
        <v>313.69522000000001</v>
      </c>
      <c r="AI26">
        <v>313.69716</v>
      </c>
      <c r="AJ26">
        <v>128.19269</v>
      </c>
      <c r="AK26">
        <v>4.8274064000000004E-3</v>
      </c>
      <c r="AL26">
        <v>5.3854914999999998E-4</v>
      </c>
      <c r="AM26">
        <v>5.3854222999999998E-4</v>
      </c>
      <c r="AN26">
        <v>83.092210531653237</v>
      </c>
      <c r="AO26">
        <v>10.926094957329431</v>
      </c>
      <c r="AP26">
        <v>220.03396901072711</v>
      </c>
      <c r="AQ26">
        <v>45</v>
      </c>
      <c r="AR26">
        <v>175.03396901072711</v>
      </c>
      <c r="AS26">
        <v>1.7164314830332921</v>
      </c>
      <c r="AT26">
        <v>3.8386550176648608</v>
      </c>
      <c r="AU26">
        <v>2.2033879801396301</v>
      </c>
      <c r="AV26">
        <v>100.4694982121573</v>
      </c>
      <c r="AW26">
        <v>43.107095258353958</v>
      </c>
      <c r="AZ26">
        <f t="shared" si="3"/>
        <v>9.9233539643123816</v>
      </c>
      <c r="BA26">
        <f t="shared" si="0"/>
        <v>9.1774874457263581E-2</v>
      </c>
      <c r="BB26">
        <f t="shared" ref="BB26:BB66" si="4">0.4226*D26^0.82869*(C26/B26)^0.4638*BD26^1.45073*BF26^(1/3)</f>
        <v>9.9118719643086042</v>
      </c>
      <c r="BC26">
        <f t="shared" si="2"/>
        <v>9.2825753115065759E-2</v>
      </c>
      <c r="BD26">
        <v>0.80700000000000005</v>
      </c>
      <c r="BF26">
        <v>0.72</v>
      </c>
    </row>
    <row r="27" spans="1:58" x14ac:dyDescent="0.25">
      <c r="A27" t="s">
        <v>53</v>
      </c>
      <c r="B27">
        <v>8</v>
      </c>
      <c r="C27">
        <v>0.4</v>
      </c>
      <c r="D27">
        <v>600</v>
      </c>
      <c r="E27">
        <v>3.4188339324821291</v>
      </c>
      <c r="F27">
        <v>1129.512080439815</v>
      </c>
      <c r="G27">
        <v>25.856000000000002</v>
      </c>
      <c r="H27">
        <v>23.8</v>
      </c>
      <c r="I27">
        <v>101875</v>
      </c>
      <c r="J27">
        <v>1.8431999999999999E-5</v>
      </c>
      <c r="K27">
        <v>1007</v>
      </c>
      <c r="L27">
        <v>1.67277312E-3</v>
      </c>
      <c r="M27">
        <v>1.1950000000000001</v>
      </c>
      <c r="N27">
        <v>2.7069348357429881</v>
      </c>
      <c r="O27">
        <v>83.360786710963453</v>
      </c>
      <c r="P27">
        <v>83</v>
      </c>
      <c r="Q27">
        <v>0.6</v>
      </c>
      <c r="R27">
        <v>22.22</v>
      </c>
      <c r="S27">
        <v>0.59799999999999998</v>
      </c>
      <c r="T27">
        <v>21.82</v>
      </c>
      <c r="U27">
        <v>13.332000000000001</v>
      </c>
      <c r="V27">
        <v>13.048360000000001</v>
      </c>
      <c r="W27">
        <v>26.38036</v>
      </c>
      <c r="X27">
        <v>34.487834302737987</v>
      </c>
      <c r="Y27">
        <v>2060.9656249999998</v>
      </c>
      <c r="Z27">
        <v>146.15921249425469</v>
      </c>
      <c r="AA27">
        <v>1914.8064125057449</v>
      </c>
      <c r="AB27">
        <v>1.6727731199999999E-4</v>
      </c>
      <c r="AC27">
        <v>24.343191658391259</v>
      </c>
      <c r="AD27">
        <v>297.49319165839131</v>
      </c>
      <c r="AE27">
        <v>297.48761000000002</v>
      </c>
      <c r="AF27">
        <v>312.05993000000001</v>
      </c>
      <c r="AG27">
        <v>307.91701999999998</v>
      </c>
      <c r="AH27">
        <v>309.30426</v>
      </c>
      <c r="AI27">
        <v>309.31727000000001</v>
      </c>
      <c r="AJ27">
        <v>264.82576999999998</v>
      </c>
      <c r="AK27">
        <v>4.8274064000000004E-3</v>
      </c>
      <c r="AL27">
        <v>5.3854914999999998E-4</v>
      </c>
      <c r="AM27">
        <v>5.3854222999999998E-4</v>
      </c>
      <c r="AN27">
        <v>122.1780016187908</v>
      </c>
      <c r="AO27">
        <v>16.065626836045329</v>
      </c>
      <c r="AP27">
        <v>575.61569016881822</v>
      </c>
      <c r="AQ27">
        <v>68</v>
      </c>
      <c r="AR27">
        <v>507.61569016881822</v>
      </c>
      <c r="AS27">
        <v>2.1735637365231422</v>
      </c>
      <c r="AT27">
        <v>4.9486195040464631</v>
      </c>
      <c r="AU27">
        <v>2.8405075953226691</v>
      </c>
      <c r="AV27">
        <v>291.37140615690163</v>
      </c>
      <c r="AW27">
        <v>64.695742574257409</v>
      </c>
      <c r="AZ27">
        <f t="shared" si="3"/>
        <v>13.878380218763887</v>
      </c>
      <c r="BA27">
        <f t="shared" si="0"/>
        <v>0.13614449281082946</v>
      </c>
      <c r="BB27">
        <f t="shared" si="4"/>
        <v>13.870136940766752</v>
      </c>
      <c r="BC27">
        <f t="shared" si="2"/>
        <v>0.13665759311380923</v>
      </c>
      <c r="BD27">
        <v>0.80700000000000005</v>
      </c>
      <c r="BF27">
        <v>0.72</v>
      </c>
    </row>
    <row r="28" spans="1:58" x14ac:dyDescent="0.25">
      <c r="A28" t="s">
        <v>53</v>
      </c>
      <c r="B28">
        <v>8</v>
      </c>
      <c r="C28">
        <v>0.4</v>
      </c>
      <c r="D28">
        <v>800</v>
      </c>
      <c r="E28">
        <v>3.4188339324821291</v>
      </c>
      <c r="F28">
        <v>1510.962175069192</v>
      </c>
      <c r="G28">
        <v>25.856000000000002</v>
      </c>
      <c r="H28">
        <v>23.7</v>
      </c>
      <c r="I28">
        <v>102375</v>
      </c>
      <c r="J28">
        <v>1.8427000000000002E-5</v>
      </c>
      <c r="K28">
        <v>1007</v>
      </c>
      <c r="L28">
        <v>2.2297591349999999E-3</v>
      </c>
      <c r="M28">
        <v>1.202</v>
      </c>
      <c r="N28">
        <v>3.5872541725398879</v>
      </c>
      <c r="O28">
        <v>111.11756486710961</v>
      </c>
      <c r="P28">
        <v>111</v>
      </c>
      <c r="Q28">
        <v>0.59899999999999998</v>
      </c>
      <c r="R28">
        <v>22.21</v>
      </c>
      <c r="S28">
        <v>0.59599999999999997</v>
      </c>
      <c r="T28">
        <v>21.83</v>
      </c>
      <c r="U28">
        <v>13.303789999999999</v>
      </c>
      <c r="V28">
        <v>13.010680000000001</v>
      </c>
      <c r="W28">
        <v>26.31447</v>
      </c>
      <c r="X28">
        <v>32.500336951034818</v>
      </c>
      <c r="Y28">
        <v>2055.8179687500001</v>
      </c>
      <c r="Z28">
        <v>103.7996814374051</v>
      </c>
      <c r="AA28">
        <v>1952.018287312595</v>
      </c>
      <c r="AB28">
        <v>2.2297591349999999E-4</v>
      </c>
      <c r="AC28">
        <v>24.381437966234749</v>
      </c>
      <c r="AD28">
        <v>297.53143796623471</v>
      </c>
      <c r="AE28">
        <v>297.52575999999999</v>
      </c>
      <c r="AF28">
        <v>308.63603999999998</v>
      </c>
      <c r="AG28">
        <v>305.60575</v>
      </c>
      <c r="AH28">
        <v>306.96073999999999</v>
      </c>
      <c r="AI28">
        <v>306.96438000000001</v>
      </c>
      <c r="AJ28">
        <v>437.55275999999998</v>
      </c>
      <c r="AK28">
        <v>4.8274064000000004E-3</v>
      </c>
      <c r="AL28">
        <v>5.3854914999999998E-4</v>
      </c>
      <c r="AM28">
        <v>5.3854222999999998E-4</v>
      </c>
      <c r="AN28">
        <v>152.63763652218859</v>
      </c>
      <c r="AO28">
        <v>20.070874273689689</v>
      </c>
      <c r="AP28">
        <v>1043.2307943986391</v>
      </c>
      <c r="AQ28">
        <v>91</v>
      </c>
      <c r="AR28">
        <v>952.23079439863886</v>
      </c>
      <c r="AS28">
        <v>2.384240004333738</v>
      </c>
      <c r="AT28">
        <v>5.2398777266390804</v>
      </c>
      <c r="AU28">
        <v>3.0076898150908322</v>
      </c>
      <c r="AV28">
        <v>546.58047598481869</v>
      </c>
      <c r="AW28">
        <v>86.237590307858923</v>
      </c>
      <c r="AZ28">
        <f t="shared" si="3"/>
        <v>17.607617622620396</v>
      </c>
      <c r="BA28">
        <f t="shared" si="0"/>
        <v>0.1227279199440905</v>
      </c>
      <c r="BB28">
        <f t="shared" si="4"/>
        <v>17.604197431937529</v>
      </c>
      <c r="BC28">
        <f t="shared" si="2"/>
        <v>0.12289832560934598</v>
      </c>
      <c r="BD28">
        <v>0.80700000000000005</v>
      </c>
      <c r="BF28">
        <v>0.72</v>
      </c>
    </row>
    <row r="29" spans="1:58" x14ac:dyDescent="0.25">
      <c r="A29" t="s">
        <v>53</v>
      </c>
      <c r="B29">
        <v>8</v>
      </c>
      <c r="C29">
        <v>0.4</v>
      </c>
      <c r="D29">
        <v>1000</v>
      </c>
      <c r="E29">
        <v>3.4188339324821291</v>
      </c>
      <c r="F29">
        <v>1891.0795321003061</v>
      </c>
      <c r="G29">
        <v>25.856000000000002</v>
      </c>
      <c r="H29">
        <v>23.9</v>
      </c>
      <c r="I29">
        <v>102975</v>
      </c>
      <c r="J29">
        <v>1.8437E-5</v>
      </c>
      <c r="K29">
        <v>1007</v>
      </c>
      <c r="L29">
        <v>2.7887114812500001E-3</v>
      </c>
      <c r="M29">
        <v>1.208</v>
      </c>
      <c r="N29">
        <v>4.4642171921647797</v>
      </c>
      <c r="O29">
        <v>138.97233295265781</v>
      </c>
      <c r="P29">
        <v>139</v>
      </c>
      <c r="Q29">
        <v>0.59899999999999998</v>
      </c>
      <c r="R29">
        <v>22.21</v>
      </c>
      <c r="S29">
        <v>0.59599999999999997</v>
      </c>
      <c r="T29">
        <v>21.83</v>
      </c>
      <c r="U29">
        <v>13.303789999999999</v>
      </c>
      <c r="V29">
        <v>13.010680000000001</v>
      </c>
      <c r="W29">
        <v>26.31447</v>
      </c>
      <c r="X29">
        <v>31.19102112676056</v>
      </c>
      <c r="Y29">
        <v>2055.8179687500001</v>
      </c>
      <c r="Z29">
        <v>75.894233274647718</v>
      </c>
      <c r="AA29">
        <v>1979.923735475352</v>
      </c>
      <c r="AB29">
        <v>2.7887114812499998E-4</v>
      </c>
      <c r="AC29">
        <v>24.429630757518051</v>
      </c>
      <c r="AD29">
        <v>297.57963075751798</v>
      </c>
      <c r="AE29">
        <v>297.57335999999998</v>
      </c>
      <c r="AF29">
        <v>306.58314000000001</v>
      </c>
      <c r="AG29">
        <v>304.23935999999998</v>
      </c>
      <c r="AH29">
        <v>305.58125000000001</v>
      </c>
      <c r="AI29">
        <v>305.54872</v>
      </c>
      <c r="AJ29">
        <v>654.71892000000003</v>
      </c>
      <c r="AK29">
        <v>4.8274064000000004E-3</v>
      </c>
      <c r="AL29">
        <v>5.3854914999999998E-4</v>
      </c>
      <c r="AM29">
        <v>5.3854222999999998E-4</v>
      </c>
      <c r="AN29">
        <v>178.62183258973141</v>
      </c>
      <c r="AO29">
        <v>23.48763008999676</v>
      </c>
      <c r="AP29">
        <v>1658.7164065473919</v>
      </c>
      <c r="AQ29">
        <v>113</v>
      </c>
      <c r="AR29">
        <v>1545.7164065473919</v>
      </c>
      <c r="AS29">
        <v>2.533478651491226</v>
      </c>
      <c r="AT29">
        <v>5.4513564111302202</v>
      </c>
      <c r="AU29">
        <v>3.1290785799887462</v>
      </c>
      <c r="AV29">
        <v>887.24121735820313</v>
      </c>
      <c r="AW29">
        <v>107.8554873627011</v>
      </c>
      <c r="AZ29">
        <f t="shared" si="3"/>
        <v>21.177478622394492</v>
      </c>
      <c r="BA29">
        <f t="shared" si="0"/>
        <v>9.8356090365462071E-2</v>
      </c>
      <c r="BB29">
        <f t="shared" si="4"/>
        <v>21.179933355669373</v>
      </c>
      <c r="BC29">
        <f t="shared" si="2"/>
        <v>9.8251578617555818E-2</v>
      </c>
      <c r="BD29">
        <v>0.80700000000000005</v>
      </c>
      <c r="BF29">
        <v>0.72</v>
      </c>
    </row>
    <row r="30" spans="1:58" x14ac:dyDescent="0.25">
      <c r="A30" t="s">
        <v>53</v>
      </c>
      <c r="B30">
        <v>8</v>
      </c>
      <c r="C30">
        <v>0.4</v>
      </c>
      <c r="D30">
        <v>1200</v>
      </c>
      <c r="E30">
        <v>3.4188339324821291</v>
      </c>
      <c r="F30">
        <v>2271.4004265625558</v>
      </c>
      <c r="G30">
        <v>25.856000000000002</v>
      </c>
      <c r="H30">
        <v>24</v>
      </c>
      <c r="I30">
        <v>103625</v>
      </c>
      <c r="J30">
        <v>1.8442000000000001E-5</v>
      </c>
      <c r="K30">
        <v>1007</v>
      </c>
      <c r="L30">
        <v>3.347361315000001E-3</v>
      </c>
      <c r="M30">
        <v>1.2150000000000001</v>
      </c>
      <c r="N30">
        <v>5.3276413383525858</v>
      </c>
      <c r="O30">
        <v>166.81202566445191</v>
      </c>
      <c r="P30">
        <v>167</v>
      </c>
      <c r="Q30">
        <v>0.59899999999999998</v>
      </c>
      <c r="R30">
        <v>22.21</v>
      </c>
      <c r="S30">
        <v>0.59599999999999997</v>
      </c>
      <c r="T30">
        <v>21.83</v>
      </c>
      <c r="U30">
        <v>13.303789999999999</v>
      </c>
      <c r="V30">
        <v>13.010680000000001</v>
      </c>
      <c r="W30">
        <v>26.31447</v>
      </c>
      <c r="X30">
        <v>30.35222219198215</v>
      </c>
      <c r="Y30">
        <v>2055.8179687500001</v>
      </c>
      <c r="Z30">
        <v>58.016911577715518</v>
      </c>
      <c r="AA30">
        <v>1997.801057172285</v>
      </c>
      <c r="AB30">
        <v>3.3473613149999999E-4</v>
      </c>
      <c r="AC30">
        <v>24.488745475328631</v>
      </c>
      <c r="AD30">
        <v>297.63874547532862</v>
      </c>
      <c r="AE30">
        <v>297.63051999999999</v>
      </c>
      <c r="AF30">
        <v>305.26749999999998</v>
      </c>
      <c r="AG30">
        <v>303.34392000000003</v>
      </c>
      <c r="AH30">
        <v>304.63144999999997</v>
      </c>
      <c r="AI30">
        <v>304.61317000000003</v>
      </c>
      <c r="AJ30">
        <v>889.88230999999996</v>
      </c>
      <c r="AK30">
        <v>4.8274064000000004E-3</v>
      </c>
      <c r="AL30">
        <v>5.3854914999999998E-4</v>
      </c>
      <c r="AM30">
        <v>5.3854222999999998E-4</v>
      </c>
      <c r="AN30">
        <v>203.50949996670451</v>
      </c>
      <c r="AO30">
        <v>26.76019938725538</v>
      </c>
      <c r="AP30">
        <v>2363.373848987108</v>
      </c>
      <c r="AQ30">
        <v>136</v>
      </c>
      <c r="AR30">
        <v>2227.373848987108</v>
      </c>
      <c r="AS30">
        <v>2.6558274306937379</v>
      </c>
      <c r="AT30">
        <v>5.4680781070975311</v>
      </c>
      <c r="AU30">
        <v>3.138676833473983</v>
      </c>
      <c r="AV30">
        <v>1278.5125893186</v>
      </c>
      <c r="AW30">
        <v>129.46168452196781</v>
      </c>
      <c r="AZ30">
        <f t="shared" si="3"/>
        <v>24.625264098423809</v>
      </c>
      <c r="BA30">
        <f t="shared" si="0"/>
        <v>7.978024595169271E-2</v>
      </c>
      <c r="BB30">
        <f t="shared" si="4"/>
        <v>24.634360693167025</v>
      </c>
      <c r="BC30">
        <f t="shared" si="2"/>
        <v>7.9440315945507919E-2</v>
      </c>
      <c r="BD30">
        <v>0.80700000000000005</v>
      </c>
      <c r="BF30">
        <v>0.72</v>
      </c>
    </row>
    <row r="31" spans="1:58" x14ac:dyDescent="0.25">
      <c r="A31" t="s">
        <v>53</v>
      </c>
      <c r="B31">
        <v>8</v>
      </c>
      <c r="C31">
        <v>0.4</v>
      </c>
      <c r="D31">
        <v>1400</v>
      </c>
      <c r="E31">
        <v>3.4188339324821291</v>
      </c>
      <c r="F31">
        <v>2652.9533004284858</v>
      </c>
      <c r="G31">
        <v>25.856000000000002</v>
      </c>
      <c r="H31">
        <v>23.9</v>
      </c>
      <c r="I31">
        <v>104575</v>
      </c>
      <c r="J31">
        <v>1.8437E-5</v>
      </c>
      <c r="K31">
        <v>1007</v>
      </c>
      <c r="L31">
        <v>3.90419607375E-3</v>
      </c>
      <c r="M31">
        <v>1.2270000000000001</v>
      </c>
      <c r="N31">
        <v>6.1531247884181539</v>
      </c>
      <c r="O31">
        <v>194.56126613372089</v>
      </c>
      <c r="P31">
        <v>195</v>
      </c>
      <c r="Q31">
        <v>0.59899999999999998</v>
      </c>
      <c r="R31">
        <v>22.21</v>
      </c>
      <c r="S31">
        <v>0.59799999999999998</v>
      </c>
      <c r="T31">
        <v>21.83</v>
      </c>
      <c r="U31">
        <v>13.303789999999999</v>
      </c>
      <c r="V31">
        <v>13.05434</v>
      </c>
      <c r="W31">
        <v>26.358129999999999</v>
      </c>
      <c r="X31">
        <v>29.683053997689029</v>
      </c>
      <c r="Y31">
        <v>2059.228906249999</v>
      </c>
      <c r="Z31">
        <v>43.754929852746272</v>
      </c>
      <c r="AA31">
        <v>2015.473976397253</v>
      </c>
      <c r="AB31">
        <v>3.9041960737499988E-4</v>
      </c>
      <c r="AC31">
        <v>24.496172815150921</v>
      </c>
      <c r="AD31">
        <v>297.64617281515092</v>
      </c>
      <c r="AE31">
        <v>297.63718</v>
      </c>
      <c r="AF31">
        <v>304.20391000000001</v>
      </c>
      <c r="AG31">
        <v>302.65679</v>
      </c>
      <c r="AH31">
        <v>303.95328000000001</v>
      </c>
      <c r="AI31">
        <v>303.92318999999998</v>
      </c>
      <c r="AJ31">
        <v>1189.8949</v>
      </c>
      <c r="AK31">
        <v>4.8274064000000004E-3</v>
      </c>
      <c r="AL31">
        <v>5.3854914999999998E-4</v>
      </c>
      <c r="AM31">
        <v>5.3854222999999998E-4</v>
      </c>
      <c r="AN31">
        <v>221.78743828801271</v>
      </c>
      <c r="AO31">
        <v>29.163631531436309</v>
      </c>
      <c r="AP31">
        <v>3271.245676333268</v>
      </c>
      <c r="AQ31">
        <v>159</v>
      </c>
      <c r="AR31">
        <v>3112.245676333268</v>
      </c>
      <c r="AS31">
        <v>2.749188753001016</v>
      </c>
      <c r="AT31">
        <v>5.6443922667106987</v>
      </c>
      <c r="AU31">
        <v>3.2398811610919411</v>
      </c>
      <c r="AV31">
        <v>1786.4290182152961</v>
      </c>
      <c r="AW31">
        <v>150.9976823077815</v>
      </c>
      <c r="AZ31">
        <f t="shared" si="3"/>
        <v>27.974734659301859</v>
      </c>
      <c r="BA31">
        <f t="shared" si="0"/>
        <v>4.0766420699455894E-2</v>
      </c>
      <c r="BB31">
        <f t="shared" si="4"/>
        <v>27.991065539056184</v>
      </c>
      <c r="BC31">
        <f t="shared" si="2"/>
        <v>4.0206446550258429E-2</v>
      </c>
      <c r="BD31">
        <v>0.80700000000000005</v>
      </c>
      <c r="BF31">
        <v>0.72</v>
      </c>
    </row>
    <row r="32" spans="1:58" x14ac:dyDescent="0.25">
      <c r="A32" t="s">
        <v>53</v>
      </c>
      <c r="B32">
        <v>8</v>
      </c>
      <c r="C32">
        <v>0.4</v>
      </c>
      <c r="D32">
        <v>1600</v>
      </c>
      <c r="E32">
        <v>3.4188339324821291</v>
      </c>
      <c r="F32">
        <v>3018.648018648018</v>
      </c>
      <c r="G32">
        <v>25.856000000000002</v>
      </c>
      <c r="H32">
        <v>24.1</v>
      </c>
      <c r="I32">
        <v>105525</v>
      </c>
      <c r="J32">
        <v>1.8447000000000001E-5</v>
      </c>
      <c r="K32">
        <v>1007</v>
      </c>
      <c r="L32">
        <v>4.4643584700000006E-3</v>
      </c>
      <c r="M32">
        <v>1.2370000000000001</v>
      </c>
      <c r="N32">
        <v>6.9790775644674916</v>
      </c>
      <c r="O32">
        <v>222.47633571428571</v>
      </c>
      <c r="P32">
        <v>222</v>
      </c>
      <c r="Q32">
        <v>0.8</v>
      </c>
      <c r="R32">
        <v>29.65</v>
      </c>
      <c r="S32">
        <v>0.80100000000000005</v>
      </c>
      <c r="T32">
        <v>29.22</v>
      </c>
      <c r="U32">
        <v>23.72</v>
      </c>
      <c r="V32">
        <v>23.40522</v>
      </c>
      <c r="W32">
        <v>47.125219999999999</v>
      </c>
      <c r="X32">
        <v>32.963783558493809</v>
      </c>
      <c r="Y32">
        <v>3681.6578125000001</v>
      </c>
      <c r="Z32">
        <v>113.6771189821785</v>
      </c>
      <c r="AA32">
        <v>3567.9806935178221</v>
      </c>
      <c r="AB32">
        <v>4.4643584699999999E-4</v>
      </c>
      <c r="AC32">
        <v>24.51578772635817</v>
      </c>
      <c r="AD32">
        <v>297.66578772635808</v>
      </c>
      <c r="AE32">
        <v>297.65338000000003</v>
      </c>
      <c r="AF32">
        <v>307.77602999999999</v>
      </c>
      <c r="AG32">
        <v>305.55887000000001</v>
      </c>
      <c r="AH32">
        <v>307.80077999999997</v>
      </c>
      <c r="AI32">
        <v>307.74369999999999</v>
      </c>
      <c r="AJ32">
        <v>1534.1603</v>
      </c>
      <c r="AK32">
        <v>4.8274064000000004E-3</v>
      </c>
      <c r="AL32">
        <v>5.3854914999999998E-4</v>
      </c>
      <c r="AM32">
        <v>5.3854222999999998E-4</v>
      </c>
      <c r="AN32">
        <v>238.14609584487789</v>
      </c>
      <c r="AO32">
        <v>31.314690513946541</v>
      </c>
      <c r="AP32">
        <v>4224.7622401073104</v>
      </c>
      <c r="AQ32">
        <v>181</v>
      </c>
      <c r="AR32">
        <v>4043.7622401073099</v>
      </c>
      <c r="AS32">
        <v>2.7537945285817331</v>
      </c>
      <c r="AT32">
        <v>5.632039561834782</v>
      </c>
      <c r="AU32">
        <v>3.2327907084931651</v>
      </c>
      <c r="AV32">
        <v>2321.1195258215962</v>
      </c>
      <c r="AW32">
        <v>172.66237894492579</v>
      </c>
      <c r="AZ32">
        <f t="shared" si="3"/>
        <v>31.242279521558419</v>
      </c>
      <c r="BA32">
        <f t="shared" si="0"/>
        <v>2.3123649379792545E-3</v>
      </c>
      <c r="BB32">
        <f t="shared" si="4"/>
        <v>31.266320664610518</v>
      </c>
      <c r="BC32">
        <f t="shared" si="2"/>
        <v>1.5446376298843061E-3</v>
      </c>
      <c r="BD32">
        <v>0.80700000000000005</v>
      </c>
      <c r="BF32">
        <v>0.72</v>
      </c>
    </row>
    <row r="33" spans="1:58" x14ac:dyDescent="0.25">
      <c r="A33" t="s">
        <v>53</v>
      </c>
      <c r="B33">
        <v>8</v>
      </c>
      <c r="C33">
        <v>0.4</v>
      </c>
      <c r="D33">
        <v>1800</v>
      </c>
      <c r="E33">
        <v>3.4188339324821291</v>
      </c>
      <c r="F33">
        <v>3400.3000397643059</v>
      </c>
      <c r="G33">
        <v>25.856000000000002</v>
      </c>
      <c r="H33">
        <v>24</v>
      </c>
      <c r="I33">
        <v>106625</v>
      </c>
      <c r="J33">
        <v>1.8442000000000001E-5</v>
      </c>
      <c r="K33">
        <v>1007</v>
      </c>
      <c r="L33">
        <v>5.0210419725000002E-3</v>
      </c>
      <c r="M33">
        <v>1.25</v>
      </c>
      <c r="N33">
        <v>7.7677010713180694</v>
      </c>
      <c r="O33">
        <v>250.21803849667779</v>
      </c>
      <c r="P33">
        <v>250</v>
      </c>
      <c r="Q33">
        <v>0.8</v>
      </c>
      <c r="R33">
        <v>29.65</v>
      </c>
      <c r="S33">
        <v>0.8</v>
      </c>
      <c r="T33">
        <v>29.21</v>
      </c>
      <c r="U33">
        <v>23.72</v>
      </c>
      <c r="V33">
        <v>23.367999999999999</v>
      </c>
      <c r="W33">
        <v>47.088000000000001</v>
      </c>
      <c r="X33">
        <v>32.247333294977267</v>
      </c>
      <c r="Y33">
        <v>3678.75</v>
      </c>
      <c r="Z33">
        <v>98.407414515850633</v>
      </c>
      <c r="AA33">
        <v>3580.3425854841489</v>
      </c>
      <c r="AB33">
        <v>5.0210419725000004E-4</v>
      </c>
      <c r="AC33">
        <v>24.495683648811941</v>
      </c>
      <c r="AD33">
        <v>297.64568364881188</v>
      </c>
      <c r="AE33">
        <v>297.62909000000002</v>
      </c>
      <c r="AF33">
        <v>306.71420999999998</v>
      </c>
      <c r="AG33">
        <v>304.80444</v>
      </c>
      <c r="AH33">
        <v>307.00702000000001</v>
      </c>
      <c r="AI33">
        <v>307.00389999999999</v>
      </c>
      <c r="AJ33">
        <v>1945.0150000000001</v>
      </c>
      <c r="AK33">
        <v>4.8274064000000004E-3</v>
      </c>
      <c r="AL33">
        <v>5.3854914999999998E-4</v>
      </c>
      <c r="AM33">
        <v>5.3854222999999998E-4</v>
      </c>
      <c r="AN33">
        <v>255.79581926849181</v>
      </c>
      <c r="AO33">
        <v>33.635516411622532</v>
      </c>
      <c r="AP33">
        <v>5263.5640354409979</v>
      </c>
      <c r="AQ33">
        <v>204</v>
      </c>
      <c r="AR33">
        <v>5059.5640354409979</v>
      </c>
      <c r="AS33">
        <v>2.70618171861965</v>
      </c>
      <c r="AT33">
        <v>5.6006926584804058</v>
      </c>
      <c r="AU33">
        <v>3.214797585967752</v>
      </c>
      <c r="AV33">
        <v>2904.189756343133</v>
      </c>
      <c r="AW33">
        <v>194.19252678295169</v>
      </c>
      <c r="AZ33">
        <f t="shared" si="3"/>
        <v>34.439845577863871</v>
      </c>
      <c r="BA33">
        <f t="shared" si="0"/>
        <v>-2.3913091043353429E-2</v>
      </c>
      <c r="BB33">
        <f t="shared" si="4"/>
        <v>34.471990507224248</v>
      </c>
      <c r="BC33">
        <f t="shared" si="2"/>
        <v>-2.4868775176963766E-2</v>
      </c>
      <c r="BD33">
        <v>0.80700000000000005</v>
      </c>
      <c r="BF33">
        <v>0.72</v>
      </c>
    </row>
    <row r="34" spans="1:58" x14ac:dyDescent="0.25">
      <c r="A34" t="s">
        <v>53</v>
      </c>
      <c r="B34">
        <v>8</v>
      </c>
      <c r="C34">
        <v>0.4</v>
      </c>
      <c r="D34">
        <v>2000</v>
      </c>
      <c r="E34">
        <v>3.4188339324821291</v>
      </c>
      <c r="F34">
        <v>3780.9286269406648</v>
      </c>
      <c r="G34">
        <v>25.856000000000002</v>
      </c>
      <c r="H34">
        <v>24</v>
      </c>
      <c r="I34">
        <v>107675</v>
      </c>
      <c r="J34">
        <v>1.8442999999999999E-5</v>
      </c>
      <c r="K34">
        <v>1007</v>
      </c>
      <c r="L34">
        <v>5.5792380375000008E-3</v>
      </c>
      <c r="M34">
        <v>1.262</v>
      </c>
      <c r="N34">
        <v>8.5491748850576545</v>
      </c>
      <c r="O34">
        <v>278.03511814784048</v>
      </c>
      <c r="P34">
        <v>278</v>
      </c>
      <c r="Q34">
        <v>0.8</v>
      </c>
      <c r="R34">
        <v>29.64</v>
      </c>
      <c r="S34">
        <v>0.8</v>
      </c>
      <c r="T34">
        <v>29.21</v>
      </c>
      <c r="U34">
        <v>23.712</v>
      </c>
      <c r="V34">
        <v>23.367999999999999</v>
      </c>
      <c r="W34">
        <v>47.080000000000013</v>
      </c>
      <c r="X34">
        <v>31.661048329779671</v>
      </c>
      <c r="Y34">
        <v>3678.125</v>
      </c>
      <c r="Z34">
        <v>85.911923052594148</v>
      </c>
      <c r="AA34">
        <v>3592.2130769474061</v>
      </c>
      <c r="AB34">
        <v>5.5792380375000003E-4</v>
      </c>
      <c r="AC34">
        <v>24.483655721393031</v>
      </c>
      <c r="AD34">
        <v>297.63365572139298</v>
      </c>
      <c r="AE34">
        <v>297.60433999999998</v>
      </c>
      <c r="AF34">
        <v>305.75535000000002</v>
      </c>
      <c r="AG34">
        <v>304.12709000000001</v>
      </c>
      <c r="AH34">
        <v>306.28361000000001</v>
      </c>
      <c r="AI34">
        <v>306.28028</v>
      </c>
      <c r="AJ34">
        <v>2291.9540999999999</v>
      </c>
      <c r="AK34">
        <v>4.8274064000000004E-3</v>
      </c>
      <c r="AL34">
        <v>5.3854914999999998E-4</v>
      </c>
      <c r="AM34">
        <v>5.3854222999999998E-4</v>
      </c>
      <c r="AN34">
        <v>274.1701267518136</v>
      </c>
      <c r="AO34">
        <v>36.051620485077947</v>
      </c>
      <c r="AP34">
        <v>6365.0945273631842</v>
      </c>
      <c r="AQ34">
        <v>227</v>
      </c>
      <c r="AR34">
        <v>6138.0945273631842</v>
      </c>
      <c r="AS34">
        <v>2.777147468774869</v>
      </c>
      <c r="AT34">
        <v>5.530049734484054</v>
      </c>
      <c r="AU34">
        <v>3.1742485475938471</v>
      </c>
      <c r="AV34">
        <v>3523.2662587064669</v>
      </c>
      <c r="AW34">
        <v>215.78117409885519</v>
      </c>
      <c r="AZ34">
        <f t="shared" si="3"/>
        <v>37.576503582897089</v>
      </c>
      <c r="BA34">
        <f t="shared" si="0"/>
        <v>-4.2297213753548286E-2</v>
      </c>
      <c r="BB34">
        <f t="shared" si="4"/>
        <v>37.617084818194677</v>
      </c>
      <c r="BC34">
        <f t="shared" si="2"/>
        <v>-4.3422856228187784E-2</v>
      </c>
      <c r="BD34">
        <v>0.80700000000000005</v>
      </c>
      <c r="BF34">
        <v>0.72</v>
      </c>
    </row>
    <row r="35" spans="1:58" x14ac:dyDescent="0.25">
      <c r="A35" t="s">
        <v>53</v>
      </c>
      <c r="B35">
        <v>8</v>
      </c>
      <c r="C35">
        <v>0.4</v>
      </c>
      <c r="D35">
        <v>2500</v>
      </c>
      <c r="E35">
        <v>3.4188339324821291</v>
      </c>
      <c r="F35">
        <v>4732.9610150192466</v>
      </c>
      <c r="G35">
        <v>25.856000000000002</v>
      </c>
      <c r="H35">
        <v>24</v>
      </c>
      <c r="I35">
        <v>110725</v>
      </c>
      <c r="J35">
        <v>1.8442999999999999E-5</v>
      </c>
      <c r="K35">
        <v>1007</v>
      </c>
      <c r="L35">
        <v>6.974047546874999E-3</v>
      </c>
      <c r="M35">
        <v>1.298</v>
      </c>
      <c r="N35">
        <v>10.39007964651652</v>
      </c>
      <c r="O35">
        <v>347.54389768480058</v>
      </c>
      <c r="P35">
        <v>348</v>
      </c>
      <c r="Q35">
        <v>0.79900000000000004</v>
      </c>
      <c r="R35">
        <v>29.64</v>
      </c>
      <c r="S35">
        <v>0.8</v>
      </c>
      <c r="T35">
        <v>29.21</v>
      </c>
      <c r="U35">
        <v>23.682359999999999</v>
      </c>
      <c r="V35">
        <v>23.367999999999999</v>
      </c>
      <c r="W35">
        <v>47.050359999999998</v>
      </c>
      <c r="X35">
        <v>30.58106189106703</v>
      </c>
      <c r="Y35">
        <v>3675.8093749999998</v>
      </c>
      <c r="Z35">
        <v>62.894172084311549</v>
      </c>
      <c r="AA35">
        <v>3612.915202915688</v>
      </c>
      <c r="AB35">
        <v>6.9740475468749988E-4</v>
      </c>
      <c r="AC35">
        <v>24.463061832374681</v>
      </c>
      <c r="AD35">
        <v>297.61306183237468</v>
      </c>
      <c r="AE35">
        <v>297.57092</v>
      </c>
      <c r="AF35">
        <v>304.12644999999998</v>
      </c>
      <c r="AG35">
        <v>302.95116999999999</v>
      </c>
      <c r="AH35">
        <v>305.06428</v>
      </c>
      <c r="AI35">
        <v>305.03482000000002</v>
      </c>
      <c r="AJ35">
        <v>3535.1</v>
      </c>
      <c r="AK35">
        <v>4.8274064000000004E-3</v>
      </c>
      <c r="AL35">
        <v>5.3854914999999998E-4</v>
      </c>
      <c r="AM35">
        <v>5.3854222999999998E-4</v>
      </c>
      <c r="AN35">
        <v>315.14569348084149</v>
      </c>
      <c r="AO35">
        <v>41.439645790304347</v>
      </c>
      <c r="AP35">
        <v>9371.143248425089</v>
      </c>
      <c r="AQ35">
        <v>284</v>
      </c>
      <c r="AR35">
        <v>9087.143248425089</v>
      </c>
      <c r="AS35">
        <v>2.6508849108724188</v>
      </c>
      <c r="AT35">
        <v>5.316521833766009</v>
      </c>
      <c r="AU35">
        <v>3.0516835325816891</v>
      </c>
      <c r="AV35">
        <v>5216.0202245960008</v>
      </c>
      <c r="AW35">
        <v>269.72646762356902</v>
      </c>
      <c r="AZ35">
        <f t="shared" si="3"/>
        <v>45.194961543735786</v>
      </c>
      <c r="BA35">
        <f t="shared" si="0"/>
        <v>-9.0621328484184888E-2</v>
      </c>
      <c r="BB35">
        <f t="shared" si="4"/>
        <v>45.257805847968022</v>
      </c>
      <c r="BC35">
        <f t="shared" si="2"/>
        <v>-9.2137854579756373E-2</v>
      </c>
      <c r="BD35">
        <v>0.80700000000000005</v>
      </c>
      <c r="BF35">
        <v>0.72</v>
      </c>
    </row>
    <row r="36" spans="1:58" x14ac:dyDescent="0.25">
      <c r="A36" t="s">
        <v>53</v>
      </c>
      <c r="B36">
        <v>8</v>
      </c>
      <c r="C36">
        <v>0.4</v>
      </c>
      <c r="D36">
        <v>3000</v>
      </c>
      <c r="E36">
        <v>3.4188339324821291</v>
      </c>
      <c r="F36">
        <v>5672.6232442106393</v>
      </c>
      <c r="G36">
        <v>25.856000000000002</v>
      </c>
      <c r="H36">
        <v>23.9</v>
      </c>
      <c r="I36">
        <v>114025</v>
      </c>
      <c r="J36">
        <v>1.8439000000000001E-5</v>
      </c>
      <c r="K36">
        <v>1007</v>
      </c>
      <c r="L36">
        <v>8.3670419812500018E-3</v>
      </c>
      <c r="M36">
        <v>1.337</v>
      </c>
      <c r="N36">
        <v>12.10177867519932</v>
      </c>
      <c r="O36">
        <v>416.96222497923588</v>
      </c>
      <c r="P36">
        <v>417</v>
      </c>
      <c r="Q36">
        <v>0.79900000000000004</v>
      </c>
      <c r="R36">
        <v>29.64</v>
      </c>
      <c r="S36">
        <v>0.8</v>
      </c>
      <c r="T36">
        <v>29.21</v>
      </c>
      <c r="U36">
        <v>23.682359999999999</v>
      </c>
      <c r="V36">
        <v>23.367999999999999</v>
      </c>
      <c r="W36">
        <v>47.050359999999998</v>
      </c>
      <c r="X36">
        <v>29.814055144898401</v>
      </c>
      <c r="Y36">
        <v>3675.8093749999998</v>
      </c>
      <c r="Z36">
        <v>46.546957303219529</v>
      </c>
      <c r="AA36">
        <v>3629.2624176967802</v>
      </c>
      <c r="AB36">
        <v>8.367041981250002E-4</v>
      </c>
      <c r="AC36">
        <v>24.422717038319959</v>
      </c>
      <c r="AD36">
        <v>297.57271703831992</v>
      </c>
      <c r="AE36">
        <v>297.51531999999997</v>
      </c>
      <c r="AF36">
        <v>303.01661999999999</v>
      </c>
      <c r="AG36">
        <v>302.04901999999998</v>
      </c>
      <c r="AH36">
        <v>304.11446999999998</v>
      </c>
      <c r="AI36">
        <v>304.09559000000002</v>
      </c>
      <c r="AJ36">
        <v>5106.8148000000001</v>
      </c>
      <c r="AK36">
        <v>4.8274064000000004E-3</v>
      </c>
      <c r="AL36">
        <v>5.3854914999999998E-4</v>
      </c>
      <c r="AM36">
        <v>5.3854222999999998E-4</v>
      </c>
      <c r="AN36">
        <v>364.56320231725749</v>
      </c>
      <c r="AO36">
        <v>47.93773256217645</v>
      </c>
      <c r="AP36">
        <v>12714.943566428519</v>
      </c>
      <c r="AQ36">
        <v>340</v>
      </c>
      <c r="AR36">
        <v>12374.943566428519</v>
      </c>
      <c r="AS36">
        <v>2.4897992318868738</v>
      </c>
      <c r="AT36">
        <v>5.1087993816075663</v>
      </c>
      <c r="AU36">
        <v>2.9324508450427431</v>
      </c>
      <c r="AV36">
        <v>7103.2176071299691</v>
      </c>
      <c r="AW36">
        <v>323.60156177482992</v>
      </c>
      <c r="AZ36">
        <f t="shared" si="3"/>
        <v>52.552897527456608</v>
      </c>
      <c r="BA36">
        <f t="shared" si="0"/>
        <v>-9.6274160637326189E-2</v>
      </c>
      <c r="BB36">
        <f t="shared" si="4"/>
        <v>52.639311688000895</v>
      </c>
      <c r="BC36">
        <f t="shared" si="2"/>
        <v>-9.8076794093804459E-2</v>
      </c>
      <c r="BD36">
        <v>0.80700000000000005</v>
      </c>
      <c r="BF36">
        <v>0.72</v>
      </c>
    </row>
    <row r="37" spans="1:58" x14ac:dyDescent="0.25">
      <c r="A37" t="s">
        <v>53</v>
      </c>
      <c r="B37">
        <v>8</v>
      </c>
      <c r="C37">
        <v>0.4</v>
      </c>
      <c r="D37">
        <v>3500</v>
      </c>
      <c r="E37">
        <v>3.4188339324821291</v>
      </c>
      <c r="F37">
        <v>6619.4772587695534</v>
      </c>
      <c r="G37">
        <v>25.856000000000002</v>
      </c>
      <c r="H37">
        <v>24.2</v>
      </c>
      <c r="I37">
        <v>117525</v>
      </c>
      <c r="J37">
        <v>1.8454E-5</v>
      </c>
      <c r="K37">
        <v>1007</v>
      </c>
      <c r="L37">
        <v>9.7694899312499982E-3</v>
      </c>
      <c r="M37">
        <v>1.377</v>
      </c>
      <c r="N37">
        <v>13.71976316858478</v>
      </c>
      <c r="O37">
        <v>486.85165770348829</v>
      </c>
      <c r="P37">
        <v>487</v>
      </c>
      <c r="Q37">
        <v>1.0089999999999999</v>
      </c>
      <c r="R37">
        <v>37.28</v>
      </c>
      <c r="S37">
        <v>0.997</v>
      </c>
      <c r="T37">
        <v>36.4</v>
      </c>
      <c r="U37">
        <v>37.615519999999997</v>
      </c>
      <c r="V37">
        <v>36.290799999999997</v>
      </c>
      <c r="W37">
        <v>73.906319999999994</v>
      </c>
      <c r="X37">
        <v>32.230463472226212</v>
      </c>
      <c r="Y37">
        <v>5773.9312499999996</v>
      </c>
      <c r="Z37">
        <v>98.047867983557126</v>
      </c>
      <c r="AA37">
        <v>5675.8833820164427</v>
      </c>
      <c r="AB37">
        <v>9.7694899312499982E-4</v>
      </c>
      <c r="AC37">
        <v>24.540652086272971</v>
      </c>
      <c r="AD37">
        <v>297.69065208627302</v>
      </c>
      <c r="AE37">
        <v>297.61799000000002</v>
      </c>
      <c r="AF37">
        <v>304.99351999999999</v>
      </c>
      <c r="AG37">
        <v>303.81535000000002</v>
      </c>
      <c r="AH37">
        <v>306.93459000000001</v>
      </c>
      <c r="AI37">
        <v>306.94472000000002</v>
      </c>
      <c r="AJ37">
        <v>6968.5955999999996</v>
      </c>
      <c r="AK37">
        <v>4.8274064000000004E-3</v>
      </c>
      <c r="AL37">
        <v>5.3854914999999998E-4</v>
      </c>
      <c r="AM37">
        <v>5.3854222999999998E-4</v>
      </c>
      <c r="AN37">
        <v>399.55489928260829</v>
      </c>
      <c r="AO37">
        <v>52.538917213725412</v>
      </c>
      <c r="AP37">
        <v>16303.682859638509</v>
      </c>
      <c r="AQ37">
        <v>397</v>
      </c>
      <c r="AR37">
        <v>15906.682859638509</v>
      </c>
      <c r="AS37">
        <v>2.3395937711808839</v>
      </c>
      <c r="AT37">
        <v>4.8929483984492714</v>
      </c>
      <c r="AU37">
        <v>2.808552380709882</v>
      </c>
      <c r="AV37">
        <v>9130.4359614325076</v>
      </c>
      <c r="AW37">
        <v>377.84227766282481</v>
      </c>
      <c r="AZ37">
        <f t="shared" si="3"/>
        <v>59.701019166010923</v>
      </c>
      <c r="BA37">
        <f t="shared" si="0"/>
        <v>-0.13631993828785005</v>
      </c>
      <c r="BB37">
        <f t="shared" si="4"/>
        <v>59.812001689101457</v>
      </c>
      <c r="BC37">
        <f t="shared" si="2"/>
        <v>-0.13843232523787155</v>
      </c>
      <c r="BD37">
        <v>0.80700000000000005</v>
      </c>
      <c r="BF37">
        <v>0.72</v>
      </c>
    </row>
    <row r="38" spans="1:58" x14ac:dyDescent="0.25">
      <c r="A38" t="s">
        <v>53</v>
      </c>
      <c r="B38">
        <v>8</v>
      </c>
      <c r="C38">
        <v>0.4</v>
      </c>
      <c r="D38">
        <v>4000</v>
      </c>
      <c r="E38">
        <v>3.4188339324821291</v>
      </c>
      <c r="F38">
        <v>7558.9882565492326</v>
      </c>
      <c r="G38">
        <v>25.856000000000002</v>
      </c>
      <c r="H38">
        <v>24.1</v>
      </c>
      <c r="I38">
        <v>121525</v>
      </c>
      <c r="J38">
        <v>1.8450000000000001E-5</v>
      </c>
      <c r="K38">
        <v>1007</v>
      </c>
      <c r="L38">
        <v>1.116271125E-2</v>
      </c>
      <c r="M38">
        <v>1.4239999999999999</v>
      </c>
      <c r="N38">
        <v>15.15892369156486</v>
      </c>
      <c r="O38">
        <v>556.28129152823919</v>
      </c>
      <c r="P38">
        <v>556</v>
      </c>
      <c r="Q38">
        <v>0.998</v>
      </c>
      <c r="R38">
        <v>36.39</v>
      </c>
      <c r="S38">
        <v>1</v>
      </c>
      <c r="T38">
        <v>36.49</v>
      </c>
      <c r="U38">
        <v>36.317219999999999</v>
      </c>
      <c r="V38">
        <v>36.49</v>
      </c>
      <c r="W38">
        <v>72.807220000000001</v>
      </c>
      <c r="X38">
        <v>31.487355085827769</v>
      </c>
      <c r="Y38">
        <v>5688.0640624999996</v>
      </c>
      <c r="Z38">
        <v>82.209998944247218</v>
      </c>
      <c r="AA38">
        <v>5605.8540635557529</v>
      </c>
      <c r="AB38">
        <v>1.116271125E-3</v>
      </c>
      <c r="AC38">
        <v>24.455428997020849</v>
      </c>
      <c r="AD38">
        <v>297.60542899702091</v>
      </c>
      <c r="AE38">
        <v>297.51942000000003</v>
      </c>
      <c r="AF38">
        <v>303.82756999999998</v>
      </c>
      <c r="AG38">
        <v>302.89728000000002</v>
      </c>
      <c r="AH38">
        <v>305.92356999999998</v>
      </c>
      <c r="AI38">
        <v>305.87061</v>
      </c>
      <c r="AJ38">
        <v>8940.9228000000003</v>
      </c>
      <c r="AK38">
        <v>4.8274064000000004E-3</v>
      </c>
      <c r="AL38">
        <v>5.3854914999999998E-4</v>
      </c>
      <c r="AM38">
        <v>5.3854222999999998E-4</v>
      </c>
      <c r="AN38">
        <v>438.56221145876481</v>
      </c>
      <c r="AO38">
        <v>57.668129616908757</v>
      </c>
      <c r="AP38">
        <v>20245.969546507778</v>
      </c>
      <c r="AQ38">
        <v>454</v>
      </c>
      <c r="AR38">
        <v>19791.969546507778</v>
      </c>
      <c r="AS38">
        <v>2.264416101043595</v>
      </c>
      <c r="AT38">
        <v>4.7485176906923963</v>
      </c>
      <c r="AU38">
        <v>2.7256491544574351</v>
      </c>
      <c r="AV38">
        <v>11360.590519695461</v>
      </c>
      <c r="AW38">
        <v>431.72614673576732</v>
      </c>
      <c r="AZ38">
        <f t="shared" si="3"/>
        <v>66.674302767201922</v>
      </c>
      <c r="BA38">
        <f t="shared" si="0"/>
        <v>-0.15617245105956207</v>
      </c>
      <c r="BB38">
        <f t="shared" si="4"/>
        <v>66.810647911716799</v>
      </c>
      <c r="BC38">
        <f t="shared" si="2"/>
        <v>-0.15853675774716616</v>
      </c>
      <c r="BD38">
        <v>0.80700000000000005</v>
      </c>
      <c r="BF38">
        <v>0.72</v>
      </c>
    </row>
    <row r="39" spans="1:58" x14ac:dyDescent="0.25">
      <c r="A39" t="s">
        <v>53</v>
      </c>
      <c r="B39">
        <v>8</v>
      </c>
      <c r="C39">
        <v>0.4</v>
      </c>
      <c r="D39">
        <v>4500</v>
      </c>
      <c r="E39">
        <v>3.4188339324821291</v>
      </c>
      <c r="F39">
        <v>8501.6720896601582</v>
      </c>
      <c r="G39">
        <v>25.856000000000002</v>
      </c>
      <c r="H39">
        <v>23.9</v>
      </c>
      <c r="I39">
        <v>125625</v>
      </c>
      <c r="J39">
        <v>1.844E-5</v>
      </c>
      <c r="K39">
        <v>1007</v>
      </c>
      <c r="L39">
        <v>1.2551243625E-2</v>
      </c>
      <c r="M39">
        <v>1.474</v>
      </c>
      <c r="N39">
        <v>16.46637270784565</v>
      </c>
      <c r="O39">
        <v>625.47725705980076</v>
      </c>
      <c r="P39">
        <v>625</v>
      </c>
      <c r="Q39">
        <v>0.999</v>
      </c>
      <c r="R39">
        <v>37.07</v>
      </c>
      <c r="S39">
        <v>1</v>
      </c>
      <c r="T39">
        <v>36.49</v>
      </c>
      <c r="U39">
        <v>37.03293</v>
      </c>
      <c r="V39">
        <v>36.49</v>
      </c>
      <c r="W39">
        <v>73.522930000000002</v>
      </c>
      <c r="X39">
        <v>30.884896613362979</v>
      </c>
      <c r="Y39">
        <v>5743.9789062499995</v>
      </c>
      <c r="Z39">
        <v>69.369801520605051</v>
      </c>
      <c r="AA39">
        <v>5674.6091047293939</v>
      </c>
      <c r="AB39">
        <v>1.2551243624999999E-3</v>
      </c>
      <c r="AC39">
        <v>24.407716435576571</v>
      </c>
      <c r="AD39">
        <v>297.55771643557648</v>
      </c>
      <c r="AE39">
        <v>297.45035000000001</v>
      </c>
      <c r="AF39">
        <v>303.19042999999999</v>
      </c>
      <c r="AG39">
        <v>302.28138000000001</v>
      </c>
      <c r="AH39">
        <v>305.24398000000002</v>
      </c>
      <c r="AI39">
        <v>305.30291</v>
      </c>
      <c r="AJ39">
        <v>11345.099</v>
      </c>
      <c r="AK39">
        <v>4.8274064000000004E-3</v>
      </c>
      <c r="AL39">
        <v>5.3854914999999998E-4</v>
      </c>
      <c r="AM39">
        <v>5.3854222999999998E-4</v>
      </c>
      <c r="AN39">
        <v>490.73097051409161</v>
      </c>
      <c r="AO39">
        <v>64.527988219748607</v>
      </c>
      <c r="AP39">
        <v>24312.327696990189</v>
      </c>
      <c r="AQ39">
        <v>510</v>
      </c>
      <c r="AR39">
        <v>23802.327696990189</v>
      </c>
      <c r="AS39">
        <v>2.1429806559634419</v>
      </c>
      <c r="AT39">
        <v>4.6033791291604986</v>
      </c>
      <c r="AU39">
        <v>2.642339620138126</v>
      </c>
      <c r="AV39">
        <v>13662.536098072371</v>
      </c>
      <c r="AW39">
        <v>485.42866742728961</v>
      </c>
      <c r="AZ39">
        <f t="shared" si="3"/>
        <v>73.498244253581717</v>
      </c>
      <c r="BA39">
        <f t="shared" si="0"/>
        <v>-0.13901341543897364</v>
      </c>
      <c r="BB39">
        <f t="shared" si="4"/>
        <v>73.660602579343902</v>
      </c>
      <c r="BC39">
        <f t="shared" si="2"/>
        <v>-0.14152950698686564</v>
      </c>
      <c r="BD39">
        <v>0.80700000000000005</v>
      </c>
      <c r="BF39">
        <v>0.72</v>
      </c>
    </row>
    <row r="40" spans="1:58" x14ac:dyDescent="0.25">
      <c r="A40" t="s">
        <v>53</v>
      </c>
      <c r="B40">
        <v>8</v>
      </c>
      <c r="C40">
        <v>0.4</v>
      </c>
      <c r="D40">
        <v>5000</v>
      </c>
      <c r="E40">
        <v>3.4188339324821291</v>
      </c>
      <c r="F40">
        <v>9455.9105373544517</v>
      </c>
      <c r="G40">
        <v>25.856000000000002</v>
      </c>
      <c r="H40">
        <v>23.8</v>
      </c>
      <c r="I40">
        <v>129885</v>
      </c>
      <c r="J40">
        <v>1.8436000000000001E-5</v>
      </c>
      <c r="K40">
        <v>1007</v>
      </c>
      <c r="L40">
        <v>1.3942801124999999E-2</v>
      </c>
      <c r="M40">
        <v>1.524</v>
      </c>
      <c r="N40">
        <v>17.69186965467739</v>
      </c>
      <c r="O40">
        <v>694.82397632890377</v>
      </c>
      <c r="P40">
        <v>695</v>
      </c>
      <c r="Q40">
        <v>0.999</v>
      </c>
      <c r="R40">
        <v>37.07</v>
      </c>
      <c r="S40">
        <v>1</v>
      </c>
      <c r="T40">
        <v>36.49</v>
      </c>
      <c r="U40">
        <v>37.03293</v>
      </c>
      <c r="V40">
        <v>36.49</v>
      </c>
      <c r="W40">
        <v>73.522930000000002</v>
      </c>
      <c r="X40">
        <v>30.40030686128031</v>
      </c>
      <c r="Y40">
        <v>5743.9789062499995</v>
      </c>
      <c r="Z40">
        <v>59.041740134467197</v>
      </c>
      <c r="AA40">
        <v>5684.9371661155319</v>
      </c>
      <c r="AB40">
        <v>1.3942801124999999E-3</v>
      </c>
      <c r="AC40">
        <v>24.338922968624299</v>
      </c>
      <c r="AD40">
        <v>297.48892296862431</v>
      </c>
      <c r="AE40">
        <v>297.36088000000001</v>
      </c>
      <c r="AF40">
        <v>302.50342999999998</v>
      </c>
      <c r="AG40">
        <v>301.64544000000001</v>
      </c>
      <c r="AH40">
        <v>304.61838999999998</v>
      </c>
      <c r="AI40">
        <v>304.58354000000003</v>
      </c>
      <c r="AJ40">
        <v>13967.81</v>
      </c>
      <c r="AK40">
        <v>4.8274064000000004E-3</v>
      </c>
      <c r="AL40">
        <v>5.3854914999999998E-4</v>
      </c>
      <c r="AM40">
        <v>5.3854222999999998E-4</v>
      </c>
      <c r="AN40">
        <v>547.14406539426409</v>
      </c>
      <c r="AO40">
        <v>71.945949874081975</v>
      </c>
      <c r="AP40">
        <v>28608.735518905869</v>
      </c>
      <c r="AQ40">
        <v>567</v>
      </c>
      <c r="AR40">
        <v>28041.735518905869</v>
      </c>
      <c r="AS40">
        <v>2.048190483612383</v>
      </c>
      <c r="AT40">
        <v>4.4771874441568977</v>
      </c>
      <c r="AU40">
        <v>2.5699055929460588</v>
      </c>
      <c r="AV40">
        <v>16095.956187851971</v>
      </c>
      <c r="AW40">
        <v>539.24818707456689</v>
      </c>
      <c r="AZ40">
        <f t="shared" si="3"/>
        <v>80.192201567434012</v>
      </c>
      <c r="BA40">
        <f t="shared" si="0"/>
        <v>-0.11461731630181299</v>
      </c>
      <c r="BB40">
        <f t="shared" si="4"/>
        <v>80.381117951567632</v>
      </c>
      <c r="BC40">
        <f t="shared" si="2"/>
        <v>-0.11724312615579723</v>
      </c>
      <c r="BD40">
        <v>0.80700000000000005</v>
      </c>
      <c r="BF40">
        <v>0.72</v>
      </c>
    </row>
    <row r="41" spans="1:58" x14ac:dyDescent="0.25">
      <c r="A41" t="s">
        <v>53</v>
      </c>
      <c r="B41">
        <v>8</v>
      </c>
      <c r="C41">
        <v>0.4</v>
      </c>
      <c r="D41">
        <v>6000</v>
      </c>
      <c r="E41">
        <v>3.4188339324821291</v>
      </c>
      <c r="F41">
        <v>11342.78588082199</v>
      </c>
      <c r="G41">
        <v>25.856000000000002</v>
      </c>
      <c r="H41">
        <v>23.9</v>
      </c>
      <c r="I41">
        <v>139325</v>
      </c>
      <c r="J41">
        <v>1.8442999999999999E-5</v>
      </c>
      <c r="K41">
        <v>1007</v>
      </c>
      <c r="L41">
        <v>1.67377141125E-2</v>
      </c>
      <c r="M41">
        <v>1.6339999999999999</v>
      </c>
      <c r="N41">
        <v>19.8085533138484</v>
      </c>
      <c r="O41">
        <v>834.10535444352149</v>
      </c>
      <c r="P41">
        <v>834</v>
      </c>
      <c r="Q41">
        <v>0.998</v>
      </c>
      <c r="R41">
        <v>36.39</v>
      </c>
      <c r="S41">
        <v>1</v>
      </c>
      <c r="T41">
        <v>36.119999999999997</v>
      </c>
      <c r="U41">
        <v>36.317219999999999</v>
      </c>
      <c r="V41">
        <v>36.119999999999997</v>
      </c>
      <c r="W41">
        <v>72.437219999999996</v>
      </c>
      <c r="X41">
        <v>29.643169253426979</v>
      </c>
      <c r="Y41">
        <v>5659.1578124999996</v>
      </c>
      <c r="Z41">
        <v>42.904866298289221</v>
      </c>
      <c r="AA41">
        <v>5616.2529462017101</v>
      </c>
      <c r="AB41">
        <v>1.6737714112500001E-3</v>
      </c>
      <c r="AC41">
        <v>24.285914948453641</v>
      </c>
      <c r="AD41">
        <v>297.43591494845361</v>
      </c>
      <c r="AE41">
        <v>297.26902000000001</v>
      </c>
      <c r="AF41">
        <v>301.41552999999999</v>
      </c>
      <c r="AG41">
        <v>300.60827</v>
      </c>
      <c r="AH41">
        <v>303.36680000000001</v>
      </c>
      <c r="AI41">
        <v>303.43299000000002</v>
      </c>
      <c r="AJ41">
        <v>18947.364000000001</v>
      </c>
      <c r="AK41">
        <v>4.8274064000000004E-3</v>
      </c>
      <c r="AL41">
        <v>5.3854914999999998E-4</v>
      </c>
      <c r="AM41">
        <v>5.3854222999999998E-4</v>
      </c>
      <c r="AN41">
        <v>685.83024100382522</v>
      </c>
      <c r="AO41">
        <v>90.182296148702846</v>
      </c>
      <c r="AP41">
        <v>37956.698255352887</v>
      </c>
      <c r="AQ41">
        <v>680</v>
      </c>
      <c r="AR41">
        <v>37276.698255352887</v>
      </c>
      <c r="AS41">
        <v>2.003270653128999</v>
      </c>
      <c r="AT41">
        <v>4.2972240010056959</v>
      </c>
      <c r="AU41">
        <v>2.4666065765772691</v>
      </c>
      <c r="AV41">
        <v>21396.824798572561</v>
      </c>
      <c r="AW41">
        <v>647.34352229656554</v>
      </c>
      <c r="AZ41">
        <f t="shared" si="3"/>
        <v>93.2478401911291</v>
      </c>
      <c r="BA41">
        <f t="shared" si="0"/>
        <v>-3.3992747727019892E-2</v>
      </c>
      <c r="BB41">
        <f t="shared" si="4"/>
        <v>93.49120317268985</v>
      </c>
      <c r="BC41">
        <f t="shared" si="2"/>
        <v>-3.6691314873275135E-2</v>
      </c>
      <c r="BD41">
        <v>0.80700000000000005</v>
      </c>
      <c r="BF41">
        <v>0.72</v>
      </c>
    </row>
    <row r="42" spans="1:58" x14ac:dyDescent="0.25">
      <c r="A42" t="s">
        <v>53</v>
      </c>
      <c r="B42">
        <v>8</v>
      </c>
      <c r="C42">
        <v>0.4</v>
      </c>
      <c r="D42">
        <v>7000</v>
      </c>
      <c r="E42">
        <v>3.4188339324821291</v>
      </c>
      <c r="F42">
        <v>13236.12090315816</v>
      </c>
      <c r="G42">
        <v>25.856000000000002</v>
      </c>
      <c r="H42">
        <v>23.8</v>
      </c>
      <c r="I42">
        <v>149525</v>
      </c>
      <c r="J42">
        <v>1.8439000000000001E-5</v>
      </c>
      <c r="K42">
        <v>1007</v>
      </c>
      <c r="L42">
        <v>1.9523097956249999E-2</v>
      </c>
      <c r="M42">
        <v>1.7549999999999999</v>
      </c>
      <c r="N42">
        <v>21.511974666892769</v>
      </c>
      <c r="O42">
        <v>972.91185828488369</v>
      </c>
      <c r="P42">
        <v>973</v>
      </c>
      <c r="Q42">
        <v>1.2010000000000001</v>
      </c>
      <c r="R42">
        <v>44.54</v>
      </c>
      <c r="S42">
        <v>1.2</v>
      </c>
      <c r="T42">
        <v>43.8</v>
      </c>
      <c r="U42">
        <v>53.492540000000012</v>
      </c>
      <c r="V42">
        <v>52.56</v>
      </c>
      <c r="W42">
        <v>106.05253999999999</v>
      </c>
      <c r="X42">
        <v>31.32331431334622</v>
      </c>
      <c r="Y42">
        <v>8285.3546874999993</v>
      </c>
      <c r="Z42">
        <v>78.713797960348074</v>
      </c>
      <c r="AA42">
        <v>8206.6408895396507</v>
      </c>
      <c r="AB42">
        <v>1.9523097956250001E-3</v>
      </c>
      <c r="AC42">
        <v>24.243333655706</v>
      </c>
      <c r="AD42">
        <v>297.39333365570599</v>
      </c>
      <c r="AE42">
        <v>297.18171000000001</v>
      </c>
      <c r="AF42">
        <v>302.40190999999999</v>
      </c>
      <c r="AG42">
        <v>301.40987000000001</v>
      </c>
      <c r="AH42">
        <v>305.32144</v>
      </c>
      <c r="AI42">
        <v>305.42574000000002</v>
      </c>
      <c r="AJ42">
        <v>25705.666000000001</v>
      </c>
      <c r="AK42">
        <v>4.8274064000000004E-3</v>
      </c>
      <c r="AL42">
        <v>5.3854914999999998E-4</v>
      </c>
      <c r="AM42">
        <v>5.3854222999999998E-4</v>
      </c>
      <c r="AN42">
        <v>759.92253323911928</v>
      </c>
      <c r="AO42">
        <v>99.924959334449213</v>
      </c>
      <c r="AP42">
        <v>48157.389426176662</v>
      </c>
      <c r="AQ42">
        <v>793</v>
      </c>
      <c r="AR42">
        <v>47364.389426176662</v>
      </c>
      <c r="AS42">
        <v>1.8734153562166671</v>
      </c>
      <c r="AT42">
        <v>4.1850948061869957</v>
      </c>
      <c r="AU42">
        <v>2.402244418751335</v>
      </c>
      <c r="AV42">
        <v>27187.159530625398</v>
      </c>
      <c r="AW42">
        <v>755.07031080793615</v>
      </c>
      <c r="AZ42">
        <f t="shared" si="3"/>
        <v>105.9311923102092</v>
      </c>
      <c r="BA42">
        <f t="shared" si="0"/>
        <v>-6.0107434776701794E-2</v>
      </c>
      <c r="BB42">
        <f t="shared" si="4"/>
        <v>106.23041644664445</v>
      </c>
      <c r="BC42">
        <f t="shared" si="2"/>
        <v>-6.3101923225115888E-2</v>
      </c>
      <c r="BD42">
        <v>0.80700000000000005</v>
      </c>
      <c r="BF42">
        <v>0.72</v>
      </c>
    </row>
    <row r="43" spans="1:58" x14ac:dyDescent="0.25">
      <c r="A43" t="s">
        <v>53</v>
      </c>
      <c r="B43">
        <v>8</v>
      </c>
      <c r="C43">
        <v>0.4</v>
      </c>
      <c r="D43">
        <v>8000</v>
      </c>
      <c r="E43">
        <v>3.4188339324821291</v>
      </c>
      <c r="F43">
        <v>15129.45685976713</v>
      </c>
      <c r="G43">
        <v>25.856000000000002</v>
      </c>
      <c r="H43">
        <v>23.7</v>
      </c>
      <c r="I43">
        <v>160725</v>
      </c>
      <c r="J43">
        <v>1.8436000000000001E-5</v>
      </c>
      <c r="K43">
        <v>1007</v>
      </c>
      <c r="L43">
        <v>2.2308481799999998E-2</v>
      </c>
      <c r="M43">
        <v>1.887</v>
      </c>
      <c r="N43">
        <v>22.861608355042581</v>
      </c>
      <c r="O43">
        <v>1111.7183621262459</v>
      </c>
      <c r="P43">
        <v>1112</v>
      </c>
      <c r="Q43">
        <v>1.2010000000000001</v>
      </c>
      <c r="R43">
        <v>44.54</v>
      </c>
      <c r="S43">
        <v>1.1950000000000001</v>
      </c>
      <c r="T43">
        <v>43.75</v>
      </c>
      <c r="U43">
        <v>53.492540000000012</v>
      </c>
      <c r="V43">
        <v>52.28125</v>
      </c>
      <c r="W43">
        <v>105.77379000000001</v>
      </c>
      <c r="X43">
        <v>30.6937347272038</v>
      </c>
      <c r="Y43">
        <v>8263.5773437500011</v>
      </c>
      <c r="Z43">
        <v>65.295568240894568</v>
      </c>
      <c r="AA43">
        <v>8198.2817755091073</v>
      </c>
      <c r="AB43">
        <v>2.2308481799999998E-3</v>
      </c>
      <c r="AC43">
        <v>24.246986119616249</v>
      </c>
      <c r="AD43">
        <v>297.3969861196162</v>
      </c>
      <c r="AE43">
        <v>297.15228000000002</v>
      </c>
      <c r="AF43">
        <v>301.61817000000002</v>
      </c>
      <c r="AG43">
        <v>300.62893000000003</v>
      </c>
      <c r="AH43">
        <v>304.45659000000001</v>
      </c>
      <c r="AI43">
        <v>304.60950000000003</v>
      </c>
      <c r="AJ43">
        <v>31794.559000000001</v>
      </c>
      <c r="AK43">
        <v>4.8274064000000004E-3</v>
      </c>
      <c r="AL43">
        <v>5.3854914999999998E-4</v>
      </c>
      <c r="AM43">
        <v>5.3854222999999998E-4</v>
      </c>
      <c r="AN43">
        <v>908.66891518724742</v>
      </c>
      <c r="AO43">
        <v>119.4841584859187</v>
      </c>
      <c r="AP43">
        <v>59384.599442063009</v>
      </c>
      <c r="AQ43">
        <v>907</v>
      </c>
      <c r="AR43">
        <v>58477.599442063009</v>
      </c>
      <c r="AS43">
        <v>1.8677598089051339</v>
      </c>
      <c r="AT43">
        <v>4.1345655569253577</v>
      </c>
      <c r="AU43">
        <v>2.3732406296751551</v>
      </c>
      <c r="AV43">
        <v>33566.142079744168</v>
      </c>
      <c r="AW43">
        <v>862.79709931930699</v>
      </c>
      <c r="AZ43">
        <f t="shared" si="3"/>
        <v>118.30431854005325</v>
      </c>
      <c r="BA43">
        <f t="shared" si="0"/>
        <v>9.8744466280397993E-3</v>
      </c>
      <c r="BB43">
        <f t="shared" si="4"/>
        <v>118.66051545345688</v>
      </c>
      <c r="BC43">
        <f t="shared" si="2"/>
        <v>6.893324126803671E-3</v>
      </c>
      <c r="BD43">
        <v>0.80700000000000005</v>
      </c>
      <c r="BF43">
        <v>0.72</v>
      </c>
    </row>
    <row r="44" spans="1:58" x14ac:dyDescent="0.25">
      <c r="A44" t="s">
        <v>53</v>
      </c>
      <c r="B44">
        <v>8</v>
      </c>
      <c r="C44">
        <v>0.4</v>
      </c>
      <c r="D44">
        <v>9000</v>
      </c>
      <c r="E44">
        <v>3.4188339324821291</v>
      </c>
      <c r="F44">
        <v>17018.792710706151</v>
      </c>
      <c r="G44">
        <v>25.856000000000002</v>
      </c>
      <c r="H44">
        <v>23.7</v>
      </c>
      <c r="I44">
        <v>172325</v>
      </c>
      <c r="J44">
        <v>1.8437999999999999E-5</v>
      </c>
      <c r="K44">
        <v>1008</v>
      </c>
      <c r="L44">
        <v>2.5099764637500001E-2</v>
      </c>
      <c r="M44">
        <v>2.0230000000000001</v>
      </c>
      <c r="N44">
        <v>23.992882743311899</v>
      </c>
      <c r="O44">
        <v>1250.818835755814</v>
      </c>
      <c r="P44">
        <v>1251</v>
      </c>
      <c r="Q44">
        <v>1.2509999999999999</v>
      </c>
      <c r="R44">
        <v>46.4</v>
      </c>
      <c r="S44">
        <v>1.2470000000000001</v>
      </c>
      <c r="T44">
        <v>45.61</v>
      </c>
      <c r="U44">
        <v>58.046399999999991</v>
      </c>
      <c r="V44">
        <v>56.875670000000007</v>
      </c>
      <c r="W44">
        <v>114.92207000000001</v>
      </c>
      <c r="X44">
        <v>30.680855065044561</v>
      </c>
      <c r="Y44">
        <v>8978.2867187499978</v>
      </c>
      <c r="Z44">
        <v>65.02106400129469</v>
      </c>
      <c r="AA44">
        <v>8913.2656547487022</v>
      </c>
      <c r="AB44">
        <v>2.5099764637499999E-3</v>
      </c>
      <c r="AC44">
        <v>24.206037099494061</v>
      </c>
      <c r="AD44">
        <v>297.35603709949402</v>
      </c>
      <c r="AE44">
        <v>297.07722000000001</v>
      </c>
      <c r="AF44">
        <v>301.35214999999999</v>
      </c>
      <c r="AG44">
        <v>300.27402999999998</v>
      </c>
      <c r="AH44">
        <v>304.2636</v>
      </c>
      <c r="AI44">
        <v>304.47525999999999</v>
      </c>
      <c r="AJ44">
        <v>38815.599999999999</v>
      </c>
      <c r="AK44">
        <v>4.8274064000000004E-3</v>
      </c>
      <c r="AL44">
        <v>5.3854914999999998E-4</v>
      </c>
      <c r="AM44">
        <v>5.3854222999999998E-4</v>
      </c>
      <c r="AN44">
        <v>1069.6567760441451</v>
      </c>
      <c r="AO44">
        <v>140.65303392496779</v>
      </c>
      <c r="AP44">
        <v>71503.91462900507</v>
      </c>
      <c r="AQ44">
        <v>1020</v>
      </c>
      <c r="AR44">
        <v>70483.91462900507</v>
      </c>
      <c r="AS44">
        <v>1.842143741923481</v>
      </c>
      <c r="AT44">
        <v>4.1105731758609902</v>
      </c>
      <c r="AU44">
        <v>2.3594690029442078</v>
      </c>
      <c r="AV44">
        <v>40457.766997048908</v>
      </c>
      <c r="AW44">
        <v>970.7520357943996</v>
      </c>
      <c r="AZ44">
        <f t="shared" si="3"/>
        <v>130.41245786506602</v>
      </c>
      <c r="BA44">
        <f t="shared" si="0"/>
        <v>7.2807359885067729E-2</v>
      </c>
      <c r="BB44">
        <f t="shared" si="4"/>
        <v>130.82652756529117</v>
      </c>
      <c r="BC44">
        <f t="shared" si="2"/>
        <v>6.9863451114169514E-2</v>
      </c>
      <c r="BD44">
        <v>0.80700000000000005</v>
      </c>
      <c r="BF44">
        <v>0.72</v>
      </c>
    </row>
    <row r="45" spans="1:58" x14ac:dyDescent="0.25">
      <c r="A45" t="s">
        <v>53</v>
      </c>
      <c r="B45">
        <v>8</v>
      </c>
      <c r="C45">
        <v>0.4</v>
      </c>
      <c r="D45">
        <v>10000</v>
      </c>
      <c r="E45">
        <v>3.4188339324821291</v>
      </c>
      <c r="F45">
        <v>18907.718727404201</v>
      </c>
      <c r="G45">
        <v>25.856000000000002</v>
      </c>
      <c r="H45">
        <v>23.7</v>
      </c>
      <c r="I45">
        <v>184525</v>
      </c>
      <c r="J45">
        <v>1.844E-5</v>
      </c>
      <c r="K45">
        <v>1008</v>
      </c>
      <c r="L45">
        <v>2.7891652499999999E-2</v>
      </c>
      <c r="M45">
        <v>2.1659999999999999</v>
      </c>
      <c r="N45">
        <v>24.901439798260469</v>
      </c>
      <c r="O45">
        <v>1389.9494601328911</v>
      </c>
      <c r="P45">
        <v>1390</v>
      </c>
      <c r="Q45">
        <v>1.2509999999999999</v>
      </c>
      <c r="R45">
        <v>46.4</v>
      </c>
      <c r="S45">
        <v>1.2470000000000001</v>
      </c>
      <c r="T45">
        <v>45.61</v>
      </c>
      <c r="U45">
        <v>58.046399999999991</v>
      </c>
      <c r="V45">
        <v>56.875670000000007</v>
      </c>
      <c r="W45">
        <v>114.92207000000001</v>
      </c>
      <c r="X45">
        <v>30.254714656431961</v>
      </c>
      <c r="Y45">
        <v>8978.2867187499978</v>
      </c>
      <c r="Z45">
        <v>55.938733472534302</v>
      </c>
      <c r="AA45">
        <v>8922.3479852774635</v>
      </c>
      <c r="AB45">
        <v>2.78916525E-3</v>
      </c>
      <c r="AC45">
        <v>24.20670279346664</v>
      </c>
      <c r="AD45">
        <v>297.35670279346658</v>
      </c>
      <c r="AE45">
        <v>297.04334999999998</v>
      </c>
      <c r="AF45">
        <v>300.74513000000002</v>
      </c>
      <c r="AG45">
        <v>299.6003</v>
      </c>
      <c r="AH45">
        <v>303.52681999999999</v>
      </c>
      <c r="AI45">
        <v>303.65969000000001</v>
      </c>
      <c r="AJ45">
        <v>45813.061999999998</v>
      </c>
      <c r="AK45">
        <v>4.8274064000000004E-3</v>
      </c>
      <c r="AL45">
        <v>5.3854914999999998E-4</v>
      </c>
      <c r="AM45">
        <v>5.3854222999999998E-4</v>
      </c>
      <c r="AN45">
        <v>1348.406253916932</v>
      </c>
      <c r="AO45">
        <v>177.3068098331662</v>
      </c>
      <c r="AP45">
        <v>83244.967027934661</v>
      </c>
      <c r="AQ45">
        <v>1133</v>
      </c>
      <c r="AR45">
        <v>82111.967027934661</v>
      </c>
      <c r="AS45">
        <v>1.8170574808541431</v>
      </c>
      <c r="AT45">
        <v>4.0505066040931084</v>
      </c>
      <c r="AU45">
        <v>2.3249907907494438</v>
      </c>
      <c r="AV45">
        <v>47132.269074034491</v>
      </c>
      <c r="AW45">
        <v>1078.730372060644</v>
      </c>
      <c r="AZ45">
        <f t="shared" si="3"/>
        <v>142.28995827353006</v>
      </c>
      <c r="BA45">
        <f t="shared" si="0"/>
        <v>0.19749298739616739</v>
      </c>
      <c r="BB45">
        <f t="shared" si="4"/>
        <v>142.76264617971788</v>
      </c>
      <c r="BC45">
        <f t="shared" si="2"/>
        <v>0.19482705535084671</v>
      </c>
      <c r="BD45">
        <v>0.80700000000000005</v>
      </c>
      <c r="BF45">
        <v>0.72</v>
      </c>
    </row>
    <row r="46" spans="1:58" x14ac:dyDescent="0.25">
      <c r="A46" t="s">
        <v>53</v>
      </c>
      <c r="B46">
        <v>8</v>
      </c>
      <c r="C46">
        <v>0.4</v>
      </c>
      <c r="D46" t="s">
        <v>51</v>
      </c>
      <c r="E46">
        <v>1.204</v>
      </c>
    </row>
    <row r="47" spans="1:58" x14ac:dyDescent="0.25">
      <c r="A47" t="s">
        <v>54</v>
      </c>
    </row>
    <row r="48" spans="1:58" x14ac:dyDescent="0.25">
      <c r="A48" t="s">
        <v>55</v>
      </c>
      <c r="B48">
        <v>8</v>
      </c>
      <c r="C48">
        <v>0.5</v>
      </c>
      <c r="D48">
        <v>400</v>
      </c>
      <c r="E48">
        <v>3.2467250730079269</v>
      </c>
      <c r="F48">
        <v>747.2961016918548</v>
      </c>
      <c r="G48">
        <v>24.32</v>
      </c>
      <c r="H48">
        <v>24.4</v>
      </c>
      <c r="I48">
        <v>101525</v>
      </c>
      <c r="J48">
        <v>1.8461000000000002E-5</v>
      </c>
      <c r="K48">
        <v>1007</v>
      </c>
      <c r="L48">
        <v>1.1062754249999999E-3</v>
      </c>
      <c r="M48">
        <v>1.1890000000000001</v>
      </c>
      <c r="N48">
        <v>1.9128805183065161</v>
      </c>
      <c r="O48">
        <v>55.130004568106322</v>
      </c>
      <c r="P48">
        <v>55</v>
      </c>
      <c r="Q48">
        <v>0.59899999999999998</v>
      </c>
      <c r="R48">
        <v>22.18</v>
      </c>
      <c r="S48">
        <v>0.59899999999999998</v>
      </c>
      <c r="T48">
        <v>21.8</v>
      </c>
      <c r="U48">
        <v>13.285819999999999</v>
      </c>
      <c r="V48">
        <v>13.058199999999999</v>
      </c>
      <c r="W48">
        <v>26.34402</v>
      </c>
      <c r="X48">
        <v>39.221551523440887</v>
      </c>
      <c r="Y48">
        <v>2058.1265625000001</v>
      </c>
      <c r="Z48">
        <v>247.04892761909571</v>
      </c>
      <c r="AA48">
        <v>1811.077634880904</v>
      </c>
      <c r="AB48">
        <v>1.106275425E-4</v>
      </c>
      <c r="AC48">
        <v>24.9494642493379</v>
      </c>
      <c r="AD48">
        <v>298.09946424933793</v>
      </c>
      <c r="AE48">
        <v>298.09841999999998</v>
      </c>
      <c r="AF48">
        <v>318.83589999999998</v>
      </c>
      <c r="AG48">
        <v>312.93603999999999</v>
      </c>
      <c r="AH48">
        <v>314.06623999999999</v>
      </c>
      <c r="AI48">
        <v>314.06047999999998</v>
      </c>
      <c r="AJ48">
        <v>154.53702999999999</v>
      </c>
      <c r="AK48">
        <v>4.7804628000000004E-3</v>
      </c>
      <c r="AL48">
        <v>5.1307534000000004E-4</v>
      </c>
      <c r="AM48">
        <v>5.1306348000000005E-4</v>
      </c>
      <c r="AN48">
        <v>85.523393417067567</v>
      </c>
      <c r="AO48">
        <v>10.67965175907363</v>
      </c>
      <c r="AP48">
        <v>293.97962925239352</v>
      </c>
      <c r="AQ48">
        <v>45</v>
      </c>
      <c r="AR48">
        <v>248.97962925239349</v>
      </c>
      <c r="AS48">
        <v>1.902324829540166</v>
      </c>
      <c r="AT48">
        <v>4.6509250591296372</v>
      </c>
      <c r="AU48">
        <v>2.5114995319300042</v>
      </c>
      <c r="AV48">
        <v>134.4489997962925</v>
      </c>
      <c r="AW48">
        <v>45.48829872532896</v>
      </c>
      <c r="AZ48">
        <f t="shared" si="3"/>
        <v>9.8081870569415255</v>
      </c>
      <c r="BA48">
        <f t="shared" si="0"/>
        <v>8.1600479284513402E-2</v>
      </c>
      <c r="BB48">
        <f t="shared" si="4"/>
        <v>10.076196010891689</v>
      </c>
      <c r="BC48">
        <f t="shared" si="2"/>
        <v>5.6505189663065031E-2</v>
      </c>
      <c r="BD48">
        <v>0.76</v>
      </c>
      <c r="BF48">
        <v>0.72</v>
      </c>
    </row>
    <row r="49" spans="1:58" x14ac:dyDescent="0.25">
      <c r="A49" t="s">
        <v>55</v>
      </c>
      <c r="B49">
        <v>8</v>
      </c>
      <c r="C49">
        <v>0.5</v>
      </c>
      <c r="D49">
        <v>600</v>
      </c>
      <c r="E49">
        <v>3.2467250730079269</v>
      </c>
      <c r="F49">
        <v>1127.432398281526</v>
      </c>
      <c r="G49">
        <v>24.32</v>
      </c>
      <c r="H49">
        <v>24.5</v>
      </c>
      <c r="I49">
        <v>102055</v>
      </c>
      <c r="J49">
        <v>1.8465999999999999E-5</v>
      </c>
      <c r="K49">
        <v>1007</v>
      </c>
      <c r="L49">
        <v>1.6598625750000001E-3</v>
      </c>
      <c r="M49">
        <v>1.1950000000000001</v>
      </c>
      <c r="N49">
        <v>2.8556873744081699</v>
      </c>
      <c r="O49">
        <v>82.717404069767454</v>
      </c>
      <c r="P49">
        <v>83</v>
      </c>
      <c r="Q49">
        <v>0.59799999999999998</v>
      </c>
      <c r="R49">
        <v>22.07</v>
      </c>
      <c r="S49">
        <v>0.59799999999999998</v>
      </c>
      <c r="T49">
        <v>21.63</v>
      </c>
      <c r="U49">
        <v>13.19786</v>
      </c>
      <c r="V49">
        <v>12.93474</v>
      </c>
      <c r="W49">
        <v>26.1326</v>
      </c>
      <c r="X49">
        <v>35.15519819585392</v>
      </c>
      <c r="Y49">
        <v>2041.609375</v>
      </c>
      <c r="Z49">
        <v>160.38273914823461</v>
      </c>
      <c r="AA49">
        <v>1881.226635851765</v>
      </c>
      <c r="AB49">
        <v>1.6598625749999999E-4</v>
      </c>
      <c r="AC49">
        <v>24.99612629022463</v>
      </c>
      <c r="AD49">
        <v>298.14612629022457</v>
      </c>
      <c r="AE49">
        <v>298.14371</v>
      </c>
      <c r="AF49">
        <v>312.51450999999997</v>
      </c>
      <c r="AG49">
        <v>308.43453</v>
      </c>
      <c r="AH49">
        <v>309.55563999999998</v>
      </c>
      <c r="AI49">
        <v>309.56572</v>
      </c>
      <c r="AJ49">
        <v>313.29198000000002</v>
      </c>
      <c r="AK49">
        <v>4.7804628000000004E-3</v>
      </c>
      <c r="AL49">
        <v>5.1307534000000004E-4</v>
      </c>
      <c r="AM49">
        <v>5.1306348000000005E-4</v>
      </c>
      <c r="AN49">
        <v>125.4966624409501</v>
      </c>
      <c r="AO49">
        <v>15.671275404840189</v>
      </c>
      <c r="AP49">
        <v>727.57350064089587</v>
      </c>
      <c r="AQ49">
        <v>68</v>
      </c>
      <c r="AR49">
        <v>659.57350064089587</v>
      </c>
      <c r="AS49">
        <v>2.3223495878857028</v>
      </c>
      <c r="AT49">
        <v>5.4867353453001337</v>
      </c>
      <c r="AU49">
        <v>2.962837086462073</v>
      </c>
      <c r="AV49">
        <v>356.16969034608383</v>
      </c>
      <c r="AW49">
        <v>68.250928248355265</v>
      </c>
      <c r="AZ49">
        <f t="shared" si="3"/>
        <v>13.717312687074498</v>
      </c>
      <c r="BA49">
        <f t="shared" si="0"/>
        <v>0.12468434554868427</v>
      </c>
      <c r="BB49">
        <f t="shared" si="4"/>
        <v>14.100083114100649</v>
      </c>
      <c r="BC49">
        <f t="shared" si="2"/>
        <v>0.10025937584213895</v>
      </c>
      <c r="BD49">
        <v>0.76</v>
      </c>
      <c r="BF49">
        <v>0.72</v>
      </c>
    </row>
    <row r="50" spans="1:58" x14ac:dyDescent="0.25">
      <c r="A50" t="s">
        <v>55</v>
      </c>
      <c r="B50">
        <v>8</v>
      </c>
      <c r="C50">
        <v>0.5</v>
      </c>
      <c r="D50">
        <v>800</v>
      </c>
      <c r="E50">
        <v>3.2467250730079269</v>
      </c>
      <c r="F50">
        <v>1494.5922033837101</v>
      </c>
      <c r="G50">
        <v>24.32</v>
      </c>
      <c r="H50">
        <v>24.4</v>
      </c>
      <c r="I50">
        <v>102575</v>
      </c>
      <c r="J50">
        <v>1.8461000000000002E-5</v>
      </c>
      <c r="K50">
        <v>1007</v>
      </c>
      <c r="L50">
        <v>2.2125508499999998E-3</v>
      </c>
      <c r="M50">
        <v>1.2010000000000001</v>
      </c>
      <c r="N50">
        <v>3.7875352810432101</v>
      </c>
      <c r="O50">
        <v>110.2600091362126</v>
      </c>
      <c r="P50">
        <v>110</v>
      </c>
      <c r="Q50">
        <v>0.59799999999999998</v>
      </c>
      <c r="R50">
        <v>22.07</v>
      </c>
      <c r="S50">
        <v>0.59799999999999998</v>
      </c>
      <c r="T50">
        <v>21.63</v>
      </c>
      <c r="U50">
        <v>13.19786</v>
      </c>
      <c r="V50">
        <v>12.93474</v>
      </c>
      <c r="W50">
        <v>26.1326</v>
      </c>
      <c r="X50">
        <v>33.132845661471343</v>
      </c>
      <c r="Y50">
        <v>2041.609375</v>
      </c>
      <c r="Z50">
        <v>117.2803395829385</v>
      </c>
      <c r="AA50">
        <v>1924.329035417061</v>
      </c>
      <c r="AB50">
        <v>2.2125508499999999E-4</v>
      </c>
      <c r="AC50">
        <v>24.976314044605161</v>
      </c>
      <c r="AD50">
        <v>298.12631404460512</v>
      </c>
      <c r="AE50">
        <v>298.12213000000003</v>
      </c>
      <c r="AF50">
        <v>309.21156000000002</v>
      </c>
      <c r="AG50">
        <v>306.15374000000003</v>
      </c>
      <c r="AH50">
        <v>307.25551000000002</v>
      </c>
      <c r="AI50">
        <v>307.25711000000001</v>
      </c>
      <c r="AJ50">
        <v>516.23334</v>
      </c>
      <c r="AK50">
        <v>4.7804628000000004E-3</v>
      </c>
      <c r="AL50">
        <v>5.1307534000000004E-4</v>
      </c>
      <c r="AM50">
        <v>5.1306348000000005E-4</v>
      </c>
      <c r="AN50">
        <v>158.17962070040761</v>
      </c>
      <c r="AO50">
        <v>19.752528483342189</v>
      </c>
      <c r="AP50">
        <v>1279.9292746634519</v>
      </c>
      <c r="AQ50">
        <v>91</v>
      </c>
      <c r="AR50">
        <v>1188.9292746634519</v>
      </c>
      <c r="AS50">
        <v>2.479361899918072</v>
      </c>
      <c r="AT50">
        <v>5.5802654478213771</v>
      </c>
      <c r="AU50">
        <v>3.013343341823544</v>
      </c>
      <c r="AV50">
        <v>642.02180831826411</v>
      </c>
      <c r="AW50">
        <v>90.97659745065792</v>
      </c>
      <c r="AZ50">
        <f t="shared" si="3"/>
        <v>17.40326989149456</v>
      </c>
      <c r="BA50">
        <f t="shared" si="0"/>
        <v>0.11893457558250424</v>
      </c>
      <c r="BB50">
        <f t="shared" si="4"/>
        <v>17.896048756216135</v>
      </c>
      <c r="BC50">
        <f t="shared" si="2"/>
        <v>9.3986940896790536E-2</v>
      </c>
      <c r="BD50">
        <v>0.76</v>
      </c>
      <c r="BF50">
        <v>0.72</v>
      </c>
    </row>
    <row r="51" spans="1:58" x14ac:dyDescent="0.25">
      <c r="A51" t="s">
        <v>55</v>
      </c>
      <c r="B51">
        <v>8</v>
      </c>
      <c r="C51">
        <v>0.5</v>
      </c>
      <c r="D51">
        <v>1000</v>
      </c>
      <c r="E51">
        <v>3.2467250730079269</v>
      </c>
      <c r="F51">
        <v>1874.018732066482</v>
      </c>
      <c r="G51">
        <v>24.32</v>
      </c>
      <c r="H51">
        <v>24.6</v>
      </c>
      <c r="I51">
        <v>103325</v>
      </c>
      <c r="J51">
        <v>1.8471E-5</v>
      </c>
      <c r="K51">
        <v>1007</v>
      </c>
      <c r="L51">
        <v>2.7671866875000001E-3</v>
      </c>
      <c r="M51">
        <v>1.2090000000000001</v>
      </c>
      <c r="N51">
        <v>4.7056388481332432</v>
      </c>
      <c r="O51">
        <v>137.89966881229239</v>
      </c>
      <c r="P51">
        <v>138</v>
      </c>
      <c r="Q51">
        <v>0.59799999999999998</v>
      </c>
      <c r="R51">
        <v>22.07</v>
      </c>
      <c r="S51">
        <v>0.59799999999999998</v>
      </c>
      <c r="T51">
        <v>21.63</v>
      </c>
      <c r="U51">
        <v>13.19786</v>
      </c>
      <c r="V51">
        <v>12.93474</v>
      </c>
      <c r="W51">
        <v>26.1326</v>
      </c>
      <c r="X51">
        <v>31.797882710131031</v>
      </c>
      <c r="Y51">
        <v>2041.609375</v>
      </c>
      <c r="Z51">
        <v>88.828274201022623</v>
      </c>
      <c r="AA51">
        <v>1952.7811007989769</v>
      </c>
      <c r="AB51">
        <v>2.7671866874999989E-4</v>
      </c>
      <c r="AC51">
        <v>25.023775167785221</v>
      </c>
      <c r="AD51">
        <v>298.17377516778521</v>
      </c>
      <c r="AE51">
        <v>298.16726999999997</v>
      </c>
      <c r="AF51">
        <v>307.14800000000002</v>
      </c>
      <c r="AG51">
        <v>304.80309</v>
      </c>
      <c r="AH51">
        <v>305.88567999999998</v>
      </c>
      <c r="AI51">
        <v>305.86982</v>
      </c>
      <c r="AJ51">
        <v>752.02885000000003</v>
      </c>
      <c r="AK51">
        <v>4.7804628000000004E-3</v>
      </c>
      <c r="AL51">
        <v>5.1307534000000004E-4</v>
      </c>
      <c r="AM51">
        <v>5.1306348000000005E-4</v>
      </c>
      <c r="AN51">
        <v>184.32580325624579</v>
      </c>
      <c r="AO51">
        <v>23.017507962860751</v>
      </c>
      <c r="AP51">
        <v>2011.7137708177979</v>
      </c>
      <c r="AQ51">
        <v>113</v>
      </c>
      <c r="AR51">
        <v>1898.7137708177979</v>
      </c>
      <c r="AS51">
        <v>2.6750486644465798</v>
      </c>
      <c r="AT51">
        <v>5.7163314339181612</v>
      </c>
      <c r="AU51">
        <v>3.0868189743158072</v>
      </c>
      <c r="AV51">
        <v>1025.305436241611</v>
      </c>
      <c r="AW51">
        <v>113.7823473478618</v>
      </c>
      <c r="AZ51">
        <f t="shared" si="3"/>
        <v>20.931700357543228</v>
      </c>
      <c r="BA51">
        <f t="shared" si="0"/>
        <v>9.0618307102707171E-2</v>
      </c>
      <c r="BB51">
        <f t="shared" si="4"/>
        <v>21.531065045817918</v>
      </c>
      <c r="BC51">
        <f t="shared" si="2"/>
        <v>6.4578794517688054E-2</v>
      </c>
      <c r="BD51">
        <v>0.76</v>
      </c>
      <c r="BF51">
        <v>0.72</v>
      </c>
    </row>
    <row r="52" spans="1:58" x14ac:dyDescent="0.25">
      <c r="A52" t="s">
        <v>55</v>
      </c>
      <c r="B52">
        <v>8</v>
      </c>
      <c r="C52">
        <v>0.5</v>
      </c>
      <c r="D52">
        <v>1200</v>
      </c>
      <c r="E52">
        <v>3.2467250730079269</v>
      </c>
      <c r="F52">
        <v>2241.281273692191</v>
      </c>
      <c r="G52">
        <v>24.32</v>
      </c>
      <c r="H52">
        <v>24.5</v>
      </c>
      <c r="I52">
        <v>104175</v>
      </c>
      <c r="J52">
        <v>1.8465999999999999E-5</v>
      </c>
      <c r="K52">
        <v>1007</v>
      </c>
      <c r="L52">
        <v>3.3197251500000002E-3</v>
      </c>
      <c r="M52">
        <v>1.2190000000000001</v>
      </c>
      <c r="N52">
        <v>5.5989276659848439</v>
      </c>
      <c r="O52">
        <v>165.43480813953491</v>
      </c>
      <c r="P52">
        <v>165</v>
      </c>
      <c r="Q52">
        <v>0.59899999999999998</v>
      </c>
      <c r="R52">
        <v>22.21</v>
      </c>
      <c r="S52">
        <v>0.59599999999999997</v>
      </c>
      <c r="T52">
        <v>21.83</v>
      </c>
      <c r="U52">
        <v>13.303789999999999</v>
      </c>
      <c r="V52">
        <v>13.010680000000001</v>
      </c>
      <c r="W52">
        <v>26.31447</v>
      </c>
      <c r="X52">
        <v>30.898378148025959</v>
      </c>
      <c r="Y52">
        <v>2055.8179687500001</v>
      </c>
      <c r="Z52">
        <v>69.657133468877191</v>
      </c>
      <c r="AA52">
        <v>1986.1608352811229</v>
      </c>
      <c r="AB52">
        <v>3.3197251499999999E-4</v>
      </c>
      <c r="AC52">
        <v>25.007858929946121</v>
      </c>
      <c r="AD52">
        <v>298.15785892994609</v>
      </c>
      <c r="AE52">
        <v>298.14855999999997</v>
      </c>
      <c r="AF52">
        <v>305.72433000000001</v>
      </c>
      <c r="AG52">
        <v>303.8501</v>
      </c>
      <c r="AH52">
        <v>304.91658999999999</v>
      </c>
      <c r="AI52">
        <v>304.89179999999999</v>
      </c>
      <c r="AJ52">
        <v>1051.4973</v>
      </c>
      <c r="AK52">
        <v>4.7804628000000004E-3</v>
      </c>
      <c r="AL52">
        <v>5.1307534000000004E-4</v>
      </c>
      <c r="AM52">
        <v>5.1306348000000005E-4</v>
      </c>
      <c r="AN52">
        <v>208.49551020711709</v>
      </c>
      <c r="AO52">
        <v>26.035676946116439</v>
      </c>
      <c r="AP52">
        <v>2842.8808698999228</v>
      </c>
      <c r="AQ52">
        <v>136</v>
      </c>
      <c r="AR52">
        <v>2706.8808698999228</v>
      </c>
      <c r="AS52">
        <v>2.7036501852167598</v>
      </c>
      <c r="AT52">
        <v>5.6859725188408499</v>
      </c>
      <c r="AU52">
        <v>3.0704251601740591</v>
      </c>
      <c r="AV52">
        <v>1461.7156697459591</v>
      </c>
      <c r="AW52">
        <v>136.5018564967105</v>
      </c>
      <c r="AZ52">
        <f t="shared" si="3"/>
        <v>24.339472064842692</v>
      </c>
      <c r="BA52">
        <f t="shared" si="0"/>
        <v>6.5149252112177494E-2</v>
      </c>
      <c r="BB52">
        <f t="shared" si="4"/>
        <v>25.042761633843508</v>
      </c>
      <c r="BC52">
        <f t="shared" si="2"/>
        <v>3.8136719637744516E-2</v>
      </c>
      <c r="BD52">
        <v>0.76</v>
      </c>
      <c r="BF52">
        <v>0.72</v>
      </c>
    </row>
    <row r="53" spans="1:58" x14ac:dyDescent="0.25">
      <c r="A53" t="s">
        <v>55</v>
      </c>
      <c r="B53">
        <v>8</v>
      </c>
      <c r="C53">
        <v>0.5</v>
      </c>
      <c r="D53">
        <v>1400</v>
      </c>
      <c r="E53">
        <v>3.2467250730079269</v>
      </c>
      <c r="F53">
        <v>2620.2009814534172</v>
      </c>
      <c r="G53">
        <v>24.32</v>
      </c>
      <c r="H53">
        <v>24.7</v>
      </c>
      <c r="I53">
        <v>105175</v>
      </c>
      <c r="J53">
        <v>1.8476000000000001E-5</v>
      </c>
      <c r="K53">
        <v>1007</v>
      </c>
      <c r="L53">
        <v>3.87511005E-3</v>
      </c>
      <c r="M53">
        <v>1.23</v>
      </c>
      <c r="N53">
        <v>6.4771710024871627</v>
      </c>
      <c r="O53">
        <v>193.11179651162789</v>
      </c>
      <c r="P53">
        <v>193</v>
      </c>
      <c r="Q53">
        <v>0.59899999999999998</v>
      </c>
      <c r="R53">
        <v>22.21</v>
      </c>
      <c r="S53">
        <v>0.59799999999999998</v>
      </c>
      <c r="T53">
        <v>21.83</v>
      </c>
      <c r="U53">
        <v>13.303789999999999</v>
      </c>
      <c r="V53">
        <v>13.05434</v>
      </c>
      <c r="W53">
        <v>26.358129999999999</v>
      </c>
      <c r="X53">
        <v>30.202355363599839</v>
      </c>
      <c r="Y53">
        <v>2059.228906249999</v>
      </c>
      <c r="Z53">
        <v>54.822799864403457</v>
      </c>
      <c r="AA53">
        <v>2004.4061063855961</v>
      </c>
      <c r="AB53">
        <v>3.8751100499999998E-4</v>
      </c>
      <c r="AC53">
        <v>25.00302932904783</v>
      </c>
      <c r="AD53">
        <v>298.1530293290478</v>
      </c>
      <c r="AE53">
        <v>298.14035000000001</v>
      </c>
      <c r="AF53">
        <v>304.75463000000002</v>
      </c>
      <c r="AG53">
        <v>303.17131000000001</v>
      </c>
      <c r="AH53">
        <v>304.23032000000001</v>
      </c>
      <c r="AI53">
        <v>304.20818000000003</v>
      </c>
      <c r="AJ53">
        <v>1394.4937</v>
      </c>
      <c r="AK53">
        <v>4.7804628000000004E-3</v>
      </c>
      <c r="AL53">
        <v>5.1307534000000004E-4</v>
      </c>
      <c r="AM53">
        <v>5.1306348000000005E-4</v>
      </c>
      <c r="AN53">
        <v>231.45424955808099</v>
      </c>
      <c r="AO53">
        <v>28.90262751132521</v>
      </c>
      <c r="AP53">
        <v>3829.418173295835</v>
      </c>
      <c r="AQ53">
        <v>159</v>
      </c>
      <c r="AR53">
        <v>3670.418173295835</v>
      </c>
      <c r="AS53">
        <v>2.7460992999077982</v>
      </c>
      <c r="AT53">
        <v>5.6841334360237488</v>
      </c>
      <c r="AU53">
        <v>3.069432055452824</v>
      </c>
      <c r="AV53">
        <v>1982.025813579751</v>
      </c>
      <c r="AW53">
        <v>159.33840666118419</v>
      </c>
      <c r="AZ53">
        <f t="shared" si="3"/>
        <v>27.650069864836336</v>
      </c>
      <c r="BA53">
        <f t="shared" si="0"/>
        <v>4.3337154935068511E-2</v>
      </c>
      <c r="BB53">
        <f t="shared" si="4"/>
        <v>28.455115637172121</v>
      </c>
      <c r="BC53">
        <f t="shared" si="2"/>
        <v>1.5483432223514516E-2</v>
      </c>
      <c r="BD53">
        <v>0.76</v>
      </c>
      <c r="BF53">
        <v>0.72</v>
      </c>
    </row>
    <row r="54" spans="1:58" x14ac:dyDescent="0.25">
      <c r="A54" t="s">
        <v>55</v>
      </c>
      <c r="B54">
        <v>8</v>
      </c>
      <c r="C54">
        <v>0.5</v>
      </c>
      <c r="D54">
        <v>1600</v>
      </c>
      <c r="E54">
        <v>3.2467250730079269</v>
      </c>
      <c r="F54">
        <v>3001.1459404832799</v>
      </c>
      <c r="G54">
        <v>24.32</v>
      </c>
      <c r="H54">
        <v>24.6</v>
      </c>
      <c r="I54">
        <v>106215</v>
      </c>
      <c r="J54">
        <v>1.8471E-5</v>
      </c>
      <c r="K54">
        <v>1007</v>
      </c>
      <c r="L54">
        <v>4.4274986999999991E-3</v>
      </c>
      <c r="M54">
        <v>1.2430000000000001</v>
      </c>
      <c r="N54">
        <v>7.3230794753249757</v>
      </c>
      <c r="O54">
        <v>220.6394700996677</v>
      </c>
      <c r="P54">
        <v>221</v>
      </c>
      <c r="Q54">
        <v>0.8</v>
      </c>
      <c r="R54">
        <v>29.51</v>
      </c>
      <c r="S54">
        <v>0.8</v>
      </c>
      <c r="T54">
        <v>28.96</v>
      </c>
      <c r="U54">
        <v>23.608000000000001</v>
      </c>
      <c r="V54">
        <v>23.167999999999999</v>
      </c>
      <c r="W54">
        <v>46.77600000000001</v>
      </c>
      <c r="X54">
        <v>33.49987534030663</v>
      </c>
      <c r="Y54">
        <v>3654.3750000000009</v>
      </c>
      <c r="Z54">
        <v>125.1028431279552</v>
      </c>
      <c r="AA54">
        <v>3529.2721568720458</v>
      </c>
      <c r="AB54">
        <v>4.4274986999999992E-4</v>
      </c>
      <c r="AC54">
        <v>24.978721163490469</v>
      </c>
      <c r="AD54">
        <v>298.12872116349052</v>
      </c>
      <c r="AE54">
        <v>298.11234000000002</v>
      </c>
      <c r="AF54">
        <v>308.19533999999999</v>
      </c>
      <c r="AG54">
        <v>305.95544999999998</v>
      </c>
      <c r="AH54">
        <v>307.78823999999997</v>
      </c>
      <c r="AI54">
        <v>307.71746000000002</v>
      </c>
      <c r="AJ54">
        <v>1826.3762999999999</v>
      </c>
      <c r="AK54">
        <v>4.7804628000000004E-3</v>
      </c>
      <c r="AL54">
        <v>5.1307534000000004E-4</v>
      </c>
      <c r="AM54">
        <v>5.1306348000000005E-4</v>
      </c>
      <c r="AN54">
        <v>249.41555940218791</v>
      </c>
      <c r="AO54">
        <v>31.14552885805314</v>
      </c>
      <c r="AP54">
        <v>4910.5292544299564</v>
      </c>
      <c r="AQ54">
        <v>181</v>
      </c>
      <c r="AR54">
        <v>4729.5292544299564</v>
      </c>
      <c r="AS54">
        <v>2.6886733333267392</v>
      </c>
      <c r="AT54">
        <v>5.6408254021650679</v>
      </c>
      <c r="AU54">
        <v>3.0460457171691369</v>
      </c>
      <c r="AV54">
        <v>2553.9457973921772</v>
      </c>
      <c r="AW54">
        <v>182.0517557565789</v>
      </c>
      <c r="AZ54">
        <f t="shared" si="3"/>
        <v>30.879692766651395</v>
      </c>
      <c r="BA54">
        <f t="shared" si="0"/>
        <v>8.5352890494588326E-3</v>
      </c>
      <c r="BB54">
        <f t="shared" si="4"/>
        <v>31.784669605342774</v>
      </c>
      <c r="BC54">
        <f t="shared" si="2"/>
        <v>-2.0521107546529093E-2</v>
      </c>
      <c r="BD54">
        <v>0.76</v>
      </c>
      <c r="BF54">
        <v>0.72</v>
      </c>
    </row>
    <row r="55" spans="1:58" x14ac:dyDescent="0.25">
      <c r="A55" t="s">
        <v>55</v>
      </c>
      <c r="B55">
        <v>8</v>
      </c>
      <c r="C55">
        <v>0.5</v>
      </c>
      <c r="D55">
        <v>1800</v>
      </c>
      <c r="E55">
        <v>3.2467250730079269</v>
      </c>
      <c r="F55">
        <v>3368.5312539484848</v>
      </c>
      <c r="G55">
        <v>24.32</v>
      </c>
      <c r="H55">
        <v>24.5</v>
      </c>
      <c r="I55">
        <v>107325</v>
      </c>
      <c r="J55">
        <v>1.8467000000000001E-5</v>
      </c>
      <c r="K55">
        <v>1007</v>
      </c>
      <c r="L55">
        <v>4.979857387499999E-3</v>
      </c>
      <c r="M55">
        <v>1.256</v>
      </c>
      <c r="N55">
        <v>8.1514280589682659</v>
      </c>
      <c r="O55">
        <v>248.16565053986699</v>
      </c>
      <c r="P55">
        <v>248</v>
      </c>
      <c r="Q55">
        <v>0.8</v>
      </c>
      <c r="R55">
        <v>29.51</v>
      </c>
      <c r="S55">
        <v>0.8</v>
      </c>
      <c r="T55">
        <v>28.96</v>
      </c>
      <c r="U55">
        <v>23.608000000000001</v>
      </c>
      <c r="V55">
        <v>23.167999999999999</v>
      </c>
      <c r="W55">
        <v>46.77600000000001</v>
      </c>
      <c r="X55">
        <v>32.768663007426113</v>
      </c>
      <c r="Y55">
        <v>3654.3750000000009</v>
      </c>
      <c r="Z55">
        <v>109.51851467727261</v>
      </c>
      <c r="AA55">
        <v>3544.8564853227281</v>
      </c>
      <c r="AB55">
        <v>4.9798573874999992E-4</v>
      </c>
      <c r="AC55">
        <v>24.992257037189258</v>
      </c>
      <c r="AD55">
        <v>298.14225703718921</v>
      </c>
      <c r="AE55">
        <v>298.12180000000001</v>
      </c>
      <c r="AF55">
        <v>307.19286</v>
      </c>
      <c r="AG55">
        <v>305.24277999999998</v>
      </c>
      <c r="AH55">
        <v>307.07234</v>
      </c>
      <c r="AI55">
        <v>307.02483000000001</v>
      </c>
      <c r="AJ55">
        <v>2279.1442999999999</v>
      </c>
      <c r="AK55">
        <v>4.7804628000000004E-3</v>
      </c>
      <c r="AL55">
        <v>5.1307534000000004E-4</v>
      </c>
      <c r="AM55">
        <v>5.1306348000000005E-4</v>
      </c>
      <c r="AN55">
        <v>269.03243403513278</v>
      </c>
      <c r="AO55">
        <v>33.59516727054681</v>
      </c>
      <c r="AP55">
        <v>6070.8772686802286</v>
      </c>
      <c r="AQ55">
        <v>204</v>
      </c>
      <c r="AR55">
        <v>5866.8772686802286</v>
      </c>
      <c r="AS55">
        <v>2.6636651609466888</v>
      </c>
      <c r="AT55">
        <v>5.5606718339160528</v>
      </c>
      <c r="AU55">
        <v>3.002762790314669</v>
      </c>
      <c r="AV55">
        <v>3168.113725087323</v>
      </c>
      <c r="AW55">
        <v>204.7638728412829</v>
      </c>
      <c r="AZ55">
        <f t="shared" si="3"/>
        <v>34.040149011582287</v>
      </c>
      <c r="BA55">
        <f t="shared" si="0"/>
        <v>-1.3245409301045404E-2</v>
      </c>
      <c r="BB55">
        <f t="shared" si="4"/>
        <v>35.043484670417456</v>
      </c>
      <c r="BC55">
        <f t="shared" si="2"/>
        <v>-4.3110885211766731E-2</v>
      </c>
      <c r="BD55">
        <v>0.76</v>
      </c>
      <c r="BF55">
        <v>0.72</v>
      </c>
    </row>
    <row r="56" spans="1:58" x14ac:dyDescent="0.25">
      <c r="A56" t="s">
        <v>55</v>
      </c>
      <c r="B56">
        <v>8</v>
      </c>
      <c r="C56">
        <v>0.5</v>
      </c>
      <c r="D56">
        <v>2000</v>
      </c>
      <c r="E56">
        <v>3.2467250730079269</v>
      </c>
      <c r="F56">
        <v>3748.849298749119</v>
      </c>
      <c r="G56">
        <v>24.32</v>
      </c>
      <c r="H56">
        <v>24.5</v>
      </c>
      <c r="I56">
        <v>108625</v>
      </c>
      <c r="J56">
        <v>1.8467000000000001E-5</v>
      </c>
      <c r="K56">
        <v>1007</v>
      </c>
      <c r="L56">
        <v>5.5331748749999996E-3</v>
      </c>
      <c r="M56">
        <v>1.2709999999999999</v>
      </c>
      <c r="N56">
        <v>8.9502523315535853</v>
      </c>
      <c r="O56">
        <v>275.73961171096352</v>
      </c>
      <c r="P56">
        <v>276</v>
      </c>
      <c r="Q56">
        <v>0.8</v>
      </c>
      <c r="R56">
        <v>29.51</v>
      </c>
      <c r="S56">
        <v>0.8</v>
      </c>
      <c r="T56">
        <v>28.96</v>
      </c>
      <c r="U56">
        <v>23.608000000000001</v>
      </c>
      <c r="V56">
        <v>23.167999999999999</v>
      </c>
      <c r="W56">
        <v>46.77600000000001</v>
      </c>
      <c r="X56">
        <v>32.180840372007928</v>
      </c>
      <c r="Y56">
        <v>3654.3750000000009</v>
      </c>
      <c r="Z56">
        <v>96.990250848604887</v>
      </c>
      <c r="AA56">
        <v>3557.3847491513961</v>
      </c>
      <c r="AB56">
        <v>5.5331748750000001E-4</v>
      </c>
      <c r="AC56">
        <v>24.960925293489879</v>
      </c>
      <c r="AD56">
        <v>298.11092529348991</v>
      </c>
      <c r="AE56">
        <v>298.08584999999999</v>
      </c>
      <c r="AF56">
        <v>306.26715000000002</v>
      </c>
      <c r="AG56">
        <v>304.56155000000001</v>
      </c>
      <c r="AH56">
        <v>306.35140999999999</v>
      </c>
      <c r="AI56">
        <v>306.30185</v>
      </c>
      <c r="AJ56">
        <v>2756.9222</v>
      </c>
      <c r="AK56">
        <v>4.7804628000000004E-3</v>
      </c>
      <c r="AL56">
        <v>5.1307534000000004E-4</v>
      </c>
      <c r="AM56">
        <v>5.1306348000000005E-4</v>
      </c>
      <c r="AN56">
        <v>290.7649446251142</v>
      </c>
      <c r="AO56">
        <v>36.308993694850763</v>
      </c>
      <c r="AP56">
        <v>7298.3482746353611</v>
      </c>
      <c r="AQ56">
        <v>227</v>
      </c>
      <c r="AR56">
        <v>7071.3482746353611</v>
      </c>
      <c r="AS56">
        <v>2.6472811872004809</v>
      </c>
      <c r="AT56">
        <v>5.4621108200389479</v>
      </c>
      <c r="AU56">
        <v>2.9495398428210322</v>
      </c>
      <c r="AV56">
        <v>3818.5280683030951</v>
      </c>
      <c r="AW56">
        <v>227.51541426809209</v>
      </c>
      <c r="AZ56">
        <f t="shared" si="3"/>
        <v>37.140404082363752</v>
      </c>
      <c r="BA56">
        <f t="shared" si="0"/>
        <v>-2.2898194163692754E-2</v>
      </c>
      <c r="BB56">
        <f t="shared" si="4"/>
        <v>38.240719951925556</v>
      </c>
      <c r="BC56">
        <f t="shared" si="2"/>
        <v>-5.3202417927345223E-2</v>
      </c>
      <c r="BD56">
        <v>0.76</v>
      </c>
      <c r="BF56">
        <v>0.72</v>
      </c>
    </row>
    <row r="57" spans="1:58" x14ac:dyDescent="0.25">
      <c r="A57" t="s">
        <v>55</v>
      </c>
      <c r="B57">
        <v>8</v>
      </c>
      <c r="C57">
        <v>0.5</v>
      </c>
      <c r="D57">
        <v>2500</v>
      </c>
      <c r="E57">
        <v>3.2467250730079269</v>
      </c>
      <c r="F57">
        <v>4688.346516415646</v>
      </c>
      <c r="G57">
        <v>24.32</v>
      </c>
      <c r="H57">
        <v>24.3</v>
      </c>
      <c r="I57">
        <v>112225</v>
      </c>
      <c r="J57">
        <v>1.8457999999999998E-5</v>
      </c>
      <c r="K57">
        <v>1007</v>
      </c>
      <c r="L57">
        <v>6.9130978124999987E-3</v>
      </c>
      <c r="M57">
        <v>1.3149999999999999</v>
      </c>
      <c r="N57">
        <v>10.80820025218256</v>
      </c>
      <c r="O57">
        <v>344.50653550664452</v>
      </c>
      <c r="P57">
        <v>345</v>
      </c>
      <c r="Q57">
        <v>0.8</v>
      </c>
      <c r="R57">
        <v>29.51</v>
      </c>
      <c r="S57">
        <v>0.8</v>
      </c>
      <c r="T57">
        <v>28.96</v>
      </c>
      <c r="U57">
        <v>23.608000000000001</v>
      </c>
      <c r="V57">
        <v>23.167999999999999</v>
      </c>
      <c r="W57">
        <v>46.77600000000001</v>
      </c>
      <c r="X57">
        <v>31.033037147443249</v>
      </c>
      <c r="Y57">
        <v>3654.3750000000009</v>
      </c>
      <c r="Z57">
        <v>72.527120723457983</v>
      </c>
      <c r="AA57">
        <v>3581.8478792765432</v>
      </c>
      <c r="AB57">
        <v>6.9130978124999989E-4</v>
      </c>
      <c r="AC57">
        <v>24.948819221508799</v>
      </c>
      <c r="AD57">
        <v>298.09881922150879</v>
      </c>
      <c r="AE57">
        <v>298.0607</v>
      </c>
      <c r="AF57">
        <v>304.62076999999999</v>
      </c>
      <c r="AG57">
        <v>303.43365</v>
      </c>
      <c r="AH57">
        <v>305.19173000000001</v>
      </c>
      <c r="AI57">
        <v>305.14666</v>
      </c>
      <c r="AJ57">
        <v>4144.5902999999998</v>
      </c>
      <c r="AK57">
        <v>4.7804628000000004E-3</v>
      </c>
      <c r="AL57">
        <v>5.1307534000000004E-4</v>
      </c>
      <c r="AM57">
        <v>5.1306348000000005E-4</v>
      </c>
      <c r="AN57">
        <v>329.04303981801883</v>
      </c>
      <c r="AO57">
        <v>41.088934133688753</v>
      </c>
      <c r="AP57">
        <v>10914.824973247731</v>
      </c>
      <c r="AQ57">
        <v>284</v>
      </c>
      <c r="AR57">
        <v>10630.824973247731</v>
      </c>
      <c r="AS57">
        <v>2.633511199707177</v>
      </c>
      <c r="AT57">
        <v>5.3544955125274356</v>
      </c>
      <c r="AU57">
        <v>2.8914275767648152</v>
      </c>
      <c r="AV57">
        <v>5740.6454855537731</v>
      </c>
      <c r="AW57">
        <v>284.2556666324013</v>
      </c>
      <c r="AZ57">
        <f t="shared" si="3"/>
        <v>44.670444936905511</v>
      </c>
      <c r="BA57">
        <f t="shared" si="0"/>
        <v>-8.7164850554745432E-2</v>
      </c>
      <c r="BB57">
        <f t="shared" si="4"/>
        <v>46.008112734819385</v>
      </c>
      <c r="BC57">
        <f t="shared" si="2"/>
        <v>-0.11972027760869575</v>
      </c>
      <c r="BD57">
        <v>0.76</v>
      </c>
      <c r="BF57">
        <v>0.72</v>
      </c>
    </row>
    <row r="58" spans="1:58" x14ac:dyDescent="0.25">
      <c r="A58" t="s">
        <v>55</v>
      </c>
      <c r="B58">
        <v>8</v>
      </c>
      <c r="C58">
        <v>0.5</v>
      </c>
      <c r="D58">
        <v>3000</v>
      </c>
      <c r="E58">
        <v>3.2467250730079269</v>
      </c>
      <c r="F58">
        <v>5624.4922276986417</v>
      </c>
      <c r="G58">
        <v>24.32</v>
      </c>
      <c r="H58">
        <v>24.4</v>
      </c>
      <c r="I58">
        <v>116225</v>
      </c>
      <c r="J58">
        <v>1.8462999999999999E-5</v>
      </c>
      <c r="K58">
        <v>1007</v>
      </c>
      <c r="L58">
        <v>8.2979645624999994E-3</v>
      </c>
      <c r="M58">
        <v>1.361</v>
      </c>
      <c r="N58">
        <v>12.53487144602097</v>
      </c>
      <c r="O58">
        <v>413.51982869601329</v>
      </c>
      <c r="P58">
        <v>414</v>
      </c>
      <c r="Q58">
        <v>0.8</v>
      </c>
      <c r="R58">
        <v>29.51</v>
      </c>
      <c r="S58">
        <v>0.8</v>
      </c>
      <c r="T58">
        <v>28.96</v>
      </c>
      <c r="U58">
        <v>23.608000000000001</v>
      </c>
      <c r="V58">
        <v>23.167999999999999</v>
      </c>
      <c r="W58">
        <v>46.77600000000001</v>
      </c>
      <c r="X58">
        <v>30.246725547524299</v>
      </c>
      <c r="Y58">
        <v>3654.3750000000009</v>
      </c>
      <c r="Z58">
        <v>55.768461594385371</v>
      </c>
      <c r="AA58">
        <v>3598.606538405616</v>
      </c>
      <c r="AB58">
        <v>8.2979645624999996E-4</v>
      </c>
      <c r="AC58">
        <v>24.887472048512372</v>
      </c>
      <c r="AD58">
        <v>298.03747204851243</v>
      </c>
      <c r="AE58">
        <v>297.98453000000001</v>
      </c>
      <c r="AF58">
        <v>303.54025000000001</v>
      </c>
      <c r="AG58">
        <v>302.51677999999998</v>
      </c>
      <c r="AH58">
        <v>304.22413</v>
      </c>
      <c r="AI58">
        <v>304.23815000000002</v>
      </c>
      <c r="AJ58">
        <v>6055.28</v>
      </c>
      <c r="AK58">
        <v>4.7804628000000004E-3</v>
      </c>
      <c r="AL58">
        <v>5.1307534000000004E-4</v>
      </c>
      <c r="AM58">
        <v>5.1306348000000005E-4</v>
      </c>
      <c r="AN58">
        <v>385.57956123740581</v>
      </c>
      <c r="AO58">
        <v>48.148878042649251</v>
      </c>
      <c r="AP58">
        <v>14809.67241488219</v>
      </c>
      <c r="AQ58">
        <v>340</v>
      </c>
      <c r="AR58">
        <v>14469.67241488219</v>
      </c>
      <c r="AS58">
        <v>2.4457452693983091</v>
      </c>
      <c r="AT58">
        <v>5.151207242619579</v>
      </c>
      <c r="AU58">
        <v>2.7816519110145732</v>
      </c>
      <c r="AV58">
        <v>7813.6231040363837</v>
      </c>
      <c r="AW58">
        <v>341.19920076069081</v>
      </c>
      <c r="AZ58">
        <f t="shared" si="3"/>
        <v>51.942987339491829</v>
      </c>
      <c r="BA58">
        <f t="shared" si="0"/>
        <v>-7.8799537000256506E-2</v>
      </c>
      <c r="BB58">
        <f t="shared" si="4"/>
        <v>53.511992926930105</v>
      </c>
      <c r="BC58">
        <f t="shared" si="2"/>
        <v>-0.11138608213321859</v>
      </c>
      <c r="BD58">
        <v>0.76</v>
      </c>
      <c r="BF58">
        <v>0.72</v>
      </c>
    </row>
    <row r="59" spans="1:58" x14ac:dyDescent="0.25">
      <c r="A59" t="s">
        <v>55</v>
      </c>
      <c r="B59">
        <v>8</v>
      </c>
      <c r="C59">
        <v>0.5</v>
      </c>
      <c r="D59">
        <v>3500</v>
      </c>
      <c r="E59">
        <v>3.2467250730079269</v>
      </c>
      <c r="F59">
        <v>6549.7408671470093</v>
      </c>
      <c r="G59">
        <v>24.32</v>
      </c>
      <c r="H59">
        <v>24.3</v>
      </c>
      <c r="I59">
        <v>120325</v>
      </c>
      <c r="J59">
        <v>1.8459000000000001E-5</v>
      </c>
      <c r="K59">
        <v>1007</v>
      </c>
      <c r="L59">
        <v>9.6788612812499994E-3</v>
      </c>
      <c r="M59">
        <v>1.409</v>
      </c>
      <c r="N59">
        <v>14.122764140257299</v>
      </c>
      <c r="O59">
        <v>482.3352797965116</v>
      </c>
      <c r="P59">
        <v>482</v>
      </c>
      <c r="Q59">
        <v>1</v>
      </c>
      <c r="R59">
        <v>36.950000000000003</v>
      </c>
      <c r="S59">
        <v>1</v>
      </c>
      <c r="T59">
        <v>36.200000000000003</v>
      </c>
      <c r="U59">
        <v>36.950000000000003</v>
      </c>
      <c r="V59">
        <v>36.200000000000003</v>
      </c>
      <c r="W59">
        <v>73.150000000000006</v>
      </c>
      <c r="X59">
        <v>32.474979106026097</v>
      </c>
      <c r="Y59">
        <v>5714.84375</v>
      </c>
      <c r="Z59">
        <v>103.2592296867343</v>
      </c>
      <c r="AA59">
        <v>5611.5845203132658</v>
      </c>
      <c r="AB59">
        <v>9.6788612812499992E-4</v>
      </c>
      <c r="AC59">
        <v>24.821095420617301</v>
      </c>
      <c r="AD59">
        <v>297.9710954206173</v>
      </c>
      <c r="AE59">
        <v>297.90152999999998</v>
      </c>
      <c r="AF59">
        <v>305.25378999999998</v>
      </c>
      <c r="AG59">
        <v>304.04217999999997</v>
      </c>
      <c r="AH59">
        <v>306.63871999999998</v>
      </c>
      <c r="AI59">
        <v>306.62878000000001</v>
      </c>
      <c r="AJ59">
        <v>7942.5205999999998</v>
      </c>
      <c r="AK59">
        <v>4.7804628000000004E-3</v>
      </c>
      <c r="AL59">
        <v>5.1307534000000004E-4</v>
      </c>
      <c r="AM59">
        <v>5.1306348000000005E-4</v>
      </c>
      <c r="AN59">
        <v>423.27132212368412</v>
      </c>
      <c r="AO59">
        <v>52.855600547083853</v>
      </c>
      <c r="AP59">
        <v>19050.983390491561</v>
      </c>
      <c r="AQ59">
        <v>397</v>
      </c>
      <c r="AR59">
        <v>18653.983390491561</v>
      </c>
      <c r="AS59">
        <v>2.3986067332946619</v>
      </c>
      <c r="AT59">
        <v>4.9728581048073046</v>
      </c>
      <c r="AU59">
        <v>2.6853433765959451</v>
      </c>
      <c r="AV59">
        <v>10073.15103086544</v>
      </c>
      <c r="AW59">
        <v>397.97949347245071</v>
      </c>
      <c r="AZ59">
        <f t="shared" si="3"/>
        <v>59.008150427380357</v>
      </c>
      <c r="BA59">
        <f t="shared" si="0"/>
        <v>-0.11640298883399884</v>
      </c>
      <c r="BB59">
        <f t="shared" si="4"/>
        <v>60.803595425095907</v>
      </c>
      <c r="BC59">
        <f t="shared" si="2"/>
        <v>-0.15037185834133068</v>
      </c>
      <c r="BD59">
        <v>0.76</v>
      </c>
      <c r="BF59">
        <v>0.72</v>
      </c>
    </row>
    <row r="60" spans="1:58" x14ac:dyDescent="0.25">
      <c r="A60" t="s">
        <v>55</v>
      </c>
      <c r="B60">
        <v>8</v>
      </c>
      <c r="C60">
        <v>0.5</v>
      </c>
      <c r="D60">
        <v>4000</v>
      </c>
      <c r="E60">
        <v>3.2467250730079269</v>
      </c>
      <c r="F60">
        <v>7486.9537739256048</v>
      </c>
      <c r="G60">
        <v>24.32</v>
      </c>
      <c r="H60">
        <v>24.3</v>
      </c>
      <c r="I60">
        <v>124825</v>
      </c>
      <c r="J60">
        <v>1.8459999999999999E-5</v>
      </c>
      <c r="K60">
        <v>1007</v>
      </c>
      <c r="L60">
        <v>1.1062155000000001E-2</v>
      </c>
      <c r="M60">
        <v>1.462</v>
      </c>
      <c r="N60">
        <v>15.556031020501839</v>
      </c>
      <c r="O60">
        <v>551.27018272425255</v>
      </c>
      <c r="P60">
        <v>551</v>
      </c>
      <c r="Q60">
        <v>1</v>
      </c>
      <c r="R60">
        <v>36.950000000000003</v>
      </c>
      <c r="S60">
        <v>1</v>
      </c>
      <c r="T60">
        <v>36.200000000000003</v>
      </c>
      <c r="U60">
        <v>36.950000000000003</v>
      </c>
      <c r="V60">
        <v>36.200000000000003</v>
      </c>
      <c r="W60">
        <v>73.150000000000006</v>
      </c>
      <c r="X60">
        <v>31.72302474062251</v>
      </c>
      <c r="Y60">
        <v>5714.84375</v>
      </c>
      <c r="Z60">
        <v>87.232826296887538</v>
      </c>
      <c r="AA60">
        <v>5627.6109237031123</v>
      </c>
      <c r="AB60">
        <v>1.1062155E-3</v>
      </c>
      <c r="AC60">
        <v>24.779032322426211</v>
      </c>
      <c r="AD60">
        <v>297.92903232242622</v>
      </c>
      <c r="AE60">
        <v>297.84215999999998</v>
      </c>
      <c r="AF60">
        <v>304.29214000000002</v>
      </c>
      <c r="AG60">
        <v>303.21719000000002</v>
      </c>
      <c r="AH60">
        <v>305.77019000000001</v>
      </c>
      <c r="AI60">
        <v>305.7441</v>
      </c>
      <c r="AJ60">
        <v>10398.484</v>
      </c>
      <c r="AK60">
        <v>4.7804628000000004E-3</v>
      </c>
      <c r="AL60">
        <v>5.1307534000000004E-4</v>
      </c>
      <c r="AM60">
        <v>5.1306348000000005E-4</v>
      </c>
      <c r="AN60">
        <v>477.33421627574887</v>
      </c>
      <c r="AO60">
        <v>59.606652622579333</v>
      </c>
      <c r="AP60">
        <v>23575.480779462621</v>
      </c>
      <c r="AQ60">
        <v>454</v>
      </c>
      <c r="AR60">
        <v>23121.480779462621</v>
      </c>
      <c r="AS60">
        <v>2.267203640402065</v>
      </c>
      <c r="AT60">
        <v>4.8148165484263634</v>
      </c>
      <c r="AU60">
        <v>2.6000009361502361</v>
      </c>
      <c r="AV60">
        <v>12485.599620909819</v>
      </c>
      <c r="AW60">
        <v>454.85834703947381</v>
      </c>
      <c r="AZ60">
        <f t="shared" si="3"/>
        <v>65.900504585818709</v>
      </c>
      <c r="BA60">
        <f t="shared" si="0"/>
        <v>-0.10558975695365974</v>
      </c>
      <c r="BB60">
        <f t="shared" si="4"/>
        <v>67.918268758638902</v>
      </c>
      <c r="BC60">
        <f t="shared" si="2"/>
        <v>-0.13944108199947941</v>
      </c>
      <c r="BD60">
        <v>0.76</v>
      </c>
      <c r="BF60">
        <v>0.72</v>
      </c>
    </row>
    <row r="61" spans="1:58" x14ac:dyDescent="0.25">
      <c r="A61" t="s">
        <v>55</v>
      </c>
      <c r="B61">
        <v>8</v>
      </c>
      <c r="C61">
        <v>0.5</v>
      </c>
      <c r="D61">
        <v>4500</v>
      </c>
      <c r="E61">
        <v>3.2467250730079269</v>
      </c>
      <c r="F61">
        <v>8424.0651463445429</v>
      </c>
      <c r="G61">
        <v>24.32</v>
      </c>
      <c r="H61">
        <v>24.3</v>
      </c>
      <c r="I61">
        <v>129825</v>
      </c>
      <c r="J61">
        <v>1.8461000000000002E-5</v>
      </c>
      <c r="K61">
        <v>1007</v>
      </c>
      <c r="L61">
        <v>1.2445598531249999E-2</v>
      </c>
      <c r="M61">
        <v>1.5209999999999999</v>
      </c>
      <c r="N61">
        <v>16.822595682444138</v>
      </c>
      <c r="O61">
        <v>620.21255139119603</v>
      </c>
      <c r="P61">
        <v>620</v>
      </c>
      <c r="Q61">
        <v>1</v>
      </c>
      <c r="R61">
        <v>36.950000000000003</v>
      </c>
      <c r="S61">
        <v>1</v>
      </c>
      <c r="T61">
        <v>36.200000000000003</v>
      </c>
      <c r="U61">
        <v>36.950000000000003</v>
      </c>
      <c r="V61">
        <v>36.200000000000003</v>
      </c>
      <c r="W61">
        <v>73.150000000000006</v>
      </c>
      <c r="X61">
        <v>31.162151943663581</v>
      </c>
      <c r="Y61">
        <v>5714.84375</v>
      </c>
      <c r="Z61">
        <v>75.278944375301762</v>
      </c>
      <c r="AA61">
        <v>5639.5648056246982</v>
      </c>
      <c r="AB61">
        <v>1.244559853125E-3</v>
      </c>
      <c r="AC61">
        <v>24.72628105744386</v>
      </c>
      <c r="AD61">
        <v>297.87628105744392</v>
      </c>
      <c r="AE61">
        <v>297.77143000000001</v>
      </c>
      <c r="AF61">
        <v>303.45168999999999</v>
      </c>
      <c r="AG61">
        <v>302.56150000000002</v>
      </c>
      <c r="AH61">
        <v>305.06722000000002</v>
      </c>
      <c r="AI61">
        <v>305.09197</v>
      </c>
      <c r="AJ61">
        <v>13080.736000000001</v>
      </c>
      <c r="AK61">
        <v>4.7804628000000004E-3</v>
      </c>
      <c r="AL61">
        <v>5.1307534000000004E-4</v>
      </c>
      <c r="AM61">
        <v>5.1306348000000005E-4</v>
      </c>
      <c r="AN61">
        <v>519.08634660451571</v>
      </c>
      <c r="AO61">
        <v>64.820409868344782</v>
      </c>
      <c r="AP61">
        <v>28361.607168886239</v>
      </c>
      <c r="AQ61">
        <v>510</v>
      </c>
      <c r="AR61">
        <v>27851.607168886239</v>
      </c>
      <c r="AS61">
        <v>2.16819658839428</v>
      </c>
      <c r="AT61">
        <v>4.6839380275276961</v>
      </c>
      <c r="AU61">
        <v>2.5293265348649561</v>
      </c>
      <c r="AV61">
        <v>15039.86787119857</v>
      </c>
      <c r="AW61">
        <v>511.74336065995072</v>
      </c>
      <c r="AZ61">
        <f t="shared" si="3"/>
        <v>72.645249840773886</v>
      </c>
      <c r="BA61">
        <f t="shared" si="0"/>
        <v>-0.12071568180950958</v>
      </c>
      <c r="BB61">
        <f t="shared" si="4"/>
        <v>74.881785453090842</v>
      </c>
      <c r="BC61">
        <f t="shared" si="2"/>
        <v>-0.15521925278136137</v>
      </c>
      <c r="BD61">
        <v>0.76</v>
      </c>
      <c r="BF61">
        <v>0.72</v>
      </c>
    </row>
    <row r="62" spans="1:58" x14ac:dyDescent="0.25">
      <c r="A62" t="s">
        <v>55</v>
      </c>
      <c r="B62">
        <v>8</v>
      </c>
      <c r="C62">
        <v>0.5</v>
      </c>
      <c r="D62">
        <v>5000</v>
      </c>
      <c r="E62">
        <v>3.2467250730079269</v>
      </c>
      <c r="F62">
        <v>9368.6868686868675</v>
      </c>
      <c r="G62">
        <v>24.32</v>
      </c>
      <c r="H62">
        <v>24</v>
      </c>
      <c r="I62">
        <v>134525</v>
      </c>
      <c r="J62">
        <v>1.8447000000000001E-5</v>
      </c>
      <c r="K62">
        <v>1007</v>
      </c>
      <c r="L62">
        <v>1.3817955937499999E-2</v>
      </c>
      <c r="M62">
        <v>1.577</v>
      </c>
      <c r="N62">
        <v>18.014347822601</v>
      </c>
      <c r="O62">
        <v>688.60245535714307</v>
      </c>
      <c r="P62">
        <v>689</v>
      </c>
      <c r="Q62">
        <v>1</v>
      </c>
      <c r="R62">
        <v>36.950000000000003</v>
      </c>
      <c r="S62">
        <v>1</v>
      </c>
      <c r="T62">
        <v>36.200000000000003</v>
      </c>
      <c r="U62">
        <v>36.950000000000003</v>
      </c>
      <c r="V62">
        <v>36.200000000000003</v>
      </c>
      <c r="W62">
        <v>73.150000000000006</v>
      </c>
      <c r="X62">
        <v>30.671201827970449</v>
      </c>
      <c r="Y62">
        <v>5714.84375</v>
      </c>
      <c r="Z62">
        <v>64.815324559534247</v>
      </c>
      <c r="AA62">
        <v>5650.028425440466</v>
      </c>
      <c r="AB62">
        <v>1.38179559375E-3</v>
      </c>
      <c r="AC62">
        <v>24.690724802804549</v>
      </c>
      <c r="AD62">
        <v>297.84072480280452</v>
      </c>
      <c r="AE62">
        <v>297.71753000000001</v>
      </c>
      <c r="AF62">
        <v>302.84829000000002</v>
      </c>
      <c r="AG62">
        <v>301.94956000000002</v>
      </c>
      <c r="AH62">
        <v>304.4316</v>
      </c>
      <c r="AI62">
        <v>304.43734999999998</v>
      </c>
      <c r="AJ62">
        <v>15837.035</v>
      </c>
      <c r="AK62">
        <v>4.7804628000000004E-3</v>
      </c>
      <c r="AL62">
        <v>5.1307534000000004E-4</v>
      </c>
      <c r="AM62">
        <v>5.1306348000000005E-4</v>
      </c>
      <c r="AN62">
        <v>591.45955376396876</v>
      </c>
      <c r="AO62">
        <v>73.857944725982975</v>
      </c>
      <c r="AP62">
        <v>33263.739117732977</v>
      </c>
      <c r="AQ62">
        <v>567</v>
      </c>
      <c r="AR62">
        <v>32696.739117732981</v>
      </c>
      <c r="AS62">
        <v>2.1003766877911789</v>
      </c>
      <c r="AT62">
        <v>4.5528406620385589</v>
      </c>
      <c r="AU62">
        <v>2.4585339575008218</v>
      </c>
      <c r="AV62">
        <v>17656.239123575811</v>
      </c>
      <c r="AW62">
        <v>568.17253032483575</v>
      </c>
      <c r="AZ62">
        <f t="shared" si="3"/>
        <v>79.261519473154635</v>
      </c>
      <c r="BA62">
        <f t="shared" si="0"/>
        <v>-7.3161726436055313E-2</v>
      </c>
      <c r="BB62">
        <f t="shared" si="4"/>
        <v>81.71371694177212</v>
      </c>
      <c r="BC62">
        <f t="shared" si="2"/>
        <v>-0.1063632659280527</v>
      </c>
      <c r="BD62">
        <v>0.76</v>
      </c>
      <c r="BF62">
        <v>0.72</v>
      </c>
    </row>
    <row r="63" spans="1:58" x14ac:dyDescent="0.25">
      <c r="A63" t="s">
        <v>55</v>
      </c>
      <c r="B63">
        <v>8</v>
      </c>
      <c r="C63">
        <v>0.5</v>
      </c>
      <c r="D63">
        <v>6000</v>
      </c>
      <c r="E63">
        <v>3.2467250730079269</v>
      </c>
      <c r="F63">
        <v>11238.44222920504</v>
      </c>
      <c r="G63">
        <v>24.32</v>
      </c>
      <c r="H63">
        <v>24.2</v>
      </c>
      <c r="I63">
        <v>145325</v>
      </c>
      <c r="J63">
        <v>1.8457999999999998E-5</v>
      </c>
      <c r="K63">
        <v>1007</v>
      </c>
      <c r="L63">
        <v>1.6591434750000002E-2</v>
      </c>
      <c r="M63">
        <v>1.7030000000000001</v>
      </c>
      <c r="N63">
        <v>20.02975924597073</v>
      </c>
      <c r="O63">
        <v>826.8156852159467</v>
      </c>
      <c r="P63">
        <v>827</v>
      </c>
      <c r="Q63">
        <v>1</v>
      </c>
      <c r="R63">
        <v>36.950000000000003</v>
      </c>
      <c r="S63">
        <v>1</v>
      </c>
      <c r="T63">
        <v>36.200000000000003</v>
      </c>
      <c r="U63">
        <v>36.950000000000003</v>
      </c>
      <c r="V63">
        <v>36.200000000000003</v>
      </c>
      <c r="W63">
        <v>73.150000000000006</v>
      </c>
      <c r="X63">
        <v>29.93455345647547</v>
      </c>
      <c r="Y63">
        <v>5714.84375</v>
      </c>
      <c r="Z63">
        <v>49.115137817861637</v>
      </c>
      <c r="AA63">
        <v>5665.728612182138</v>
      </c>
      <c r="AB63">
        <v>1.6591434749999999E-3</v>
      </c>
      <c r="AC63">
        <v>24.660259334191601</v>
      </c>
      <c r="AD63">
        <v>297.81025933419158</v>
      </c>
      <c r="AE63">
        <v>297.65163000000001</v>
      </c>
      <c r="AF63">
        <v>301.91741000000002</v>
      </c>
      <c r="AG63">
        <v>301.01650000000001</v>
      </c>
      <c r="AH63">
        <v>303.47118</v>
      </c>
      <c r="AI63">
        <v>303.43520000000001</v>
      </c>
      <c r="AJ63">
        <v>22565.767</v>
      </c>
      <c r="AK63">
        <v>4.7804628000000004E-3</v>
      </c>
      <c r="AL63">
        <v>5.1307534000000004E-4</v>
      </c>
      <c r="AM63">
        <v>5.1306348000000005E-4</v>
      </c>
      <c r="AN63">
        <v>751.2049943407452</v>
      </c>
      <c r="AO63">
        <v>93.806003465187516</v>
      </c>
      <c r="AP63">
        <v>43980.122861872347</v>
      </c>
      <c r="AQ63">
        <v>680</v>
      </c>
      <c r="AR63">
        <v>43300.122861872347</v>
      </c>
      <c r="AS63">
        <v>1.9489753156572229</v>
      </c>
      <c r="AT63">
        <v>4.372325344469175</v>
      </c>
      <c r="AU63">
        <v>2.361055686013354</v>
      </c>
      <c r="AV63">
        <v>23382.066345411069</v>
      </c>
      <c r="AW63">
        <v>682.21359991776319</v>
      </c>
      <c r="AZ63">
        <f t="shared" si="3"/>
        <v>92.165639010717172</v>
      </c>
      <c r="BA63">
        <f t="shared" si="0"/>
        <v>1.7486774767876152E-2</v>
      </c>
      <c r="BB63">
        <f t="shared" si="4"/>
        <v>95.041147812872609</v>
      </c>
      <c r="BC63">
        <f t="shared" si="2"/>
        <v>-1.3167007462837594E-2</v>
      </c>
      <c r="BD63">
        <v>0.76</v>
      </c>
      <c r="BF63">
        <v>0.72</v>
      </c>
    </row>
    <row r="64" spans="1:58" x14ac:dyDescent="0.25">
      <c r="A64" t="s">
        <v>55</v>
      </c>
      <c r="B64">
        <v>8</v>
      </c>
      <c r="C64">
        <v>0.5</v>
      </c>
      <c r="D64">
        <v>7000</v>
      </c>
      <c r="E64">
        <v>3.2467250730079269</v>
      </c>
      <c r="F64">
        <v>13102.32096089587</v>
      </c>
      <c r="G64">
        <v>24.32</v>
      </c>
      <c r="H64">
        <v>24.1</v>
      </c>
      <c r="I64">
        <v>157125</v>
      </c>
      <c r="J64">
        <v>1.8454999999999999E-5</v>
      </c>
      <c r="K64">
        <v>1007</v>
      </c>
      <c r="L64">
        <v>1.93535278125E-2</v>
      </c>
      <c r="M64">
        <v>1.8420000000000001</v>
      </c>
      <c r="N64">
        <v>21.601153785238619</v>
      </c>
      <c r="O64">
        <v>964.4615188953486</v>
      </c>
      <c r="P64">
        <v>964</v>
      </c>
      <c r="Q64">
        <v>1.1990000000000001</v>
      </c>
      <c r="R64">
        <v>44.25</v>
      </c>
      <c r="S64">
        <v>1.1990000000000001</v>
      </c>
      <c r="T64">
        <v>43.41</v>
      </c>
      <c r="U64">
        <v>53.055750000000003</v>
      </c>
      <c r="V64">
        <v>52.048589999999997</v>
      </c>
      <c r="W64">
        <v>105.10433999999999</v>
      </c>
      <c r="X64">
        <v>31.567397448127831</v>
      </c>
      <c r="Y64">
        <v>8211.2765625000011</v>
      </c>
      <c r="Z64">
        <v>83.915941811948414</v>
      </c>
      <c r="AA64">
        <v>8127.3606206880522</v>
      </c>
      <c r="AB64">
        <v>1.93535278125E-3</v>
      </c>
      <c r="AC64">
        <v>24.616119574290462</v>
      </c>
      <c r="AD64">
        <v>297.76611957429043</v>
      </c>
      <c r="AE64">
        <v>297.57182</v>
      </c>
      <c r="AF64">
        <v>302.70787999999999</v>
      </c>
      <c r="AG64">
        <v>301.73253999999997</v>
      </c>
      <c r="AH64">
        <v>305.17381</v>
      </c>
      <c r="AI64">
        <v>305.05218000000002</v>
      </c>
      <c r="AJ64">
        <v>29227.71</v>
      </c>
      <c r="AK64">
        <v>4.7804628000000004E-3</v>
      </c>
      <c r="AL64">
        <v>5.1307534000000004E-4</v>
      </c>
      <c r="AM64">
        <v>5.1306348000000005E-4</v>
      </c>
      <c r="AN64">
        <v>818.04484331566186</v>
      </c>
      <c r="AO64">
        <v>102.1525655245308</v>
      </c>
      <c r="AP64">
        <v>55851.623817473563</v>
      </c>
      <c r="AQ64">
        <v>793</v>
      </c>
      <c r="AR64">
        <v>55058.623817473563</v>
      </c>
      <c r="AS64">
        <v>1.9109134385647579</v>
      </c>
      <c r="AT64">
        <v>4.2821641087935847</v>
      </c>
      <c r="AU64">
        <v>2.3123686187485362</v>
      </c>
      <c r="AV64">
        <v>29731.656861435731</v>
      </c>
      <c r="AW64">
        <v>795.78650544819072</v>
      </c>
      <c r="AZ64">
        <f t="shared" si="3"/>
        <v>104.70179266807725</v>
      </c>
      <c r="BA64">
        <f t="shared" si="0"/>
        <v>-2.4955096628819149E-2</v>
      </c>
      <c r="BB64">
        <f t="shared" si="4"/>
        <v>107.99155823333989</v>
      </c>
      <c r="BC64">
        <f t="shared" si="2"/>
        <v>-5.7159530735495019E-2</v>
      </c>
      <c r="BD64">
        <v>0.76</v>
      </c>
      <c r="BF64">
        <v>0.72</v>
      </c>
    </row>
    <row r="65" spans="1:58" x14ac:dyDescent="0.25">
      <c r="A65" t="s">
        <v>55</v>
      </c>
      <c r="B65">
        <v>8</v>
      </c>
      <c r="C65">
        <v>0.5</v>
      </c>
      <c r="D65">
        <v>8000</v>
      </c>
      <c r="E65">
        <v>3.2467250730079269</v>
      </c>
      <c r="F65">
        <v>14976.34140615123</v>
      </c>
      <c r="G65">
        <v>24.32</v>
      </c>
      <c r="H65">
        <v>24.1</v>
      </c>
      <c r="I65">
        <v>169425</v>
      </c>
      <c r="J65">
        <v>1.8457E-5</v>
      </c>
      <c r="K65">
        <v>1008</v>
      </c>
      <c r="L65">
        <v>2.2120714499999999E-2</v>
      </c>
      <c r="M65">
        <v>1.986</v>
      </c>
      <c r="N65">
        <v>22.89951794551996</v>
      </c>
      <c r="O65">
        <v>1102.361187707641</v>
      </c>
      <c r="P65">
        <v>1102</v>
      </c>
      <c r="Q65">
        <v>1.2010000000000001</v>
      </c>
      <c r="R65">
        <v>44.54</v>
      </c>
      <c r="S65">
        <v>1.1950000000000001</v>
      </c>
      <c r="T65">
        <v>43.75</v>
      </c>
      <c r="U65">
        <v>53.492540000000012</v>
      </c>
      <c r="V65">
        <v>52.28125</v>
      </c>
      <c r="W65">
        <v>105.77379000000001</v>
      </c>
      <c r="X65">
        <v>31.041785858819448</v>
      </c>
      <c r="Y65">
        <v>8263.5773437500011</v>
      </c>
      <c r="Z65">
        <v>72.713582009018978</v>
      </c>
      <c r="AA65">
        <v>8190.8637617409822</v>
      </c>
      <c r="AB65">
        <v>2.2120714499999999E-3</v>
      </c>
      <c r="AC65">
        <v>24.600875151760409</v>
      </c>
      <c r="AD65">
        <v>297.7508751517604</v>
      </c>
      <c r="AE65">
        <v>297.52292999999997</v>
      </c>
      <c r="AF65">
        <v>302.02814999999998</v>
      </c>
      <c r="AG65">
        <v>300.96057999999999</v>
      </c>
      <c r="AH65">
        <v>304.31628999999998</v>
      </c>
      <c r="AI65">
        <v>304.26092</v>
      </c>
      <c r="AJ65">
        <v>36431.932999999997</v>
      </c>
      <c r="AK65">
        <v>4.7804628000000004E-3</v>
      </c>
      <c r="AL65">
        <v>5.1307534000000004E-4</v>
      </c>
      <c r="AM65">
        <v>5.1306348000000005E-4</v>
      </c>
      <c r="AN65">
        <v>1018.282163515643</v>
      </c>
      <c r="AO65">
        <v>127.1570089108844</v>
      </c>
      <c r="AP65">
        <v>68117.038243626055</v>
      </c>
      <c r="AQ65">
        <v>907</v>
      </c>
      <c r="AR65">
        <v>67210.038243626055</v>
      </c>
      <c r="AS65">
        <v>1.8697069475733299</v>
      </c>
      <c r="AT65">
        <v>4.1911421856095856</v>
      </c>
      <c r="AU65">
        <v>2.2632167802291758</v>
      </c>
      <c r="AV65">
        <v>36293.420651558074</v>
      </c>
      <c r="AW65">
        <v>909.56885279605274</v>
      </c>
      <c r="AZ65">
        <f t="shared" si="3"/>
        <v>116.93132080724298</v>
      </c>
      <c r="BA65">
        <f t="shared" si="0"/>
        <v>8.0417809377758318E-2</v>
      </c>
      <c r="BB65">
        <f t="shared" si="4"/>
        <v>120.6277297333789</v>
      </c>
      <c r="BC65">
        <f t="shared" si="2"/>
        <v>5.1348165810359878E-2</v>
      </c>
      <c r="BD65">
        <v>0.76</v>
      </c>
      <c r="BF65">
        <v>0.72</v>
      </c>
    </row>
    <row r="66" spans="1:58" x14ac:dyDescent="0.25">
      <c r="A66" t="s">
        <v>55</v>
      </c>
      <c r="B66">
        <v>8</v>
      </c>
      <c r="C66">
        <v>0.5</v>
      </c>
      <c r="D66">
        <v>9000</v>
      </c>
      <c r="E66">
        <v>3.2467250730079269</v>
      </c>
      <c r="F66">
        <v>16854.52115169249</v>
      </c>
      <c r="G66">
        <v>24.32</v>
      </c>
      <c r="H66">
        <v>24</v>
      </c>
      <c r="I66">
        <v>183025</v>
      </c>
      <c r="J66">
        <v>1.8454E-5</v>
      </c>
      <c r="K66">
        <v>1008</v>
      </c>
      <c r="L66">
        <v>2.4881758875E-2</v>
      </c>
      <c r="M66">
        <v>2.1459999999999999</v>
      </c>
      <c r="N66">
        <v>23.837340120044331</v>
      </c>
      <c r="O66">
        <v>1239.954761212625</v>
      </c>
      <c r="P66">
        <v>1240</v>
      </c>
      <c r="Q66">
        <v>1.2549999999999999</v>
      </c>
      <c r="R66">
        <v>46.32</v>
      </c>
      <c r="S66">
        <v>1.254</v>
      </c>
      <c r="T66">
        <v>45.53</v>
      </c>
      <c r="U66">
        <v>58.131599999999999</v>
      </c>
      <c r="V66">
        <v>57.094619999999999</v>
      </c>
      <c r="W66">
        <v>115.22622</v>
      </c>
      <c r="X66">
        <v>31.0101946356856</v>
      </c>
      <c r="Y66">
        <v>9002.0484374999996</v>
      </c>
      <c r="Z66">
        <v>72.040278270367139</v>
      </c>
      <c r="AA66">
        <v>8930.0081592296319</v>
      </c>
      <c r="AB66">
        <v>2.4881758875000002E-3</v>
      </c>
      <c r="AC66">
        <v>24.573553212851429</v>
      </c>
      <c r="AD66">
        <v>297.72355321285141</v>
      </c>
      <c r="AE66">
        <v>297.46856000000002</v>
      </c>
      <c r="AF66">
        <v>301.75245999999999</v>
      </c>
      <c r="AG66">
        <v>300.53631000000001</v>
      </c>
      <c r="AH66">
        <v>304.07524000000001</v>
      </c>
      <c r="AI66">
        <v>304.14949000000001</v>
      </c>
      <c r="AJ66">
        <v>45133.46</v>
      </c>
      <c r="AK66">
        <v>4.7804628000000004E-3</v>
      </c>
      <c r="AL66">
        <v>5.1307534000000004E-4</v>
      </c>
      <c r="AM66">
        <v>5.1306348000000005E-4</v>
      </c>
      <c r="AN66">
        <v>1263.687823295744</v>
      </c>
      <c r="AO66">
        <v>157.8018053980424</v>
      </c>
      <c r="AP66">
        <v>81730.635876840694</v>
      </c>
      <c r="AQ66">
        <v>1020</v>
      </c>
      <c r="AR66">
        <v>80710.635876840694</v>
      </c>
      <c r="AS66">
        <v>1.810865727485566</v>
      </c>
      <c r="AT66">
        <v>4.1782806483767994</v>
      </c>
      <c r="AU66">
        <v>2.256271550123472</v>
      </c>
      <c r="AV66">
        <v>43583.743373493977</v>
      </c>
      <c r="AW66">
        <v>1023.098637952303</v>
      </c>
      <c r="AZ66">
        <f t="shared" si="3"/>
        <v>128.89893738509872</v>
      </c>
      <c r="BA66">
        <f t="shared" si="0"/>
        <v>0.18315929871675751</v>
      </c>
      <c r="BB66">
        <f t="shared" si="4"/>
        <v>132.99543617179393</v>
      </c>
      <c r="BC66">
        <f t="shared" si="2"/>
        <v>0.1571995273671071</v>
      </c>
      <c r="BD66">
        <v>0.76</v>
      </c>
      <c r="BF66">
        <v>0.72</v>
      </c>
    </row>
    <row r="67" spans="1:58" x14ac:dyDescent="0.25">
      <c r="A67" t="s">
        <v>55</v>
      </c>
      <c r="B67">
        <v>8</v>
      </c>
      <c r="C67">
        <v>0.5</v>
      </c>
      <c r="D67" t="s">
        <v>51</v>
      </c>
      <c r="E67">
        <v>1.204</v>
      </c>
    </row>
    <row r="68" spans="1:58" x14ac:dyDescent="0.25">
      <c r="A68" t="s">
        <v>56</v>
      </c>
    </row>
    <row r="69" spans="1:58" x14ac:dyDescent="0.25">
      <c r="A69" t="s">
        <v>57</v>
      </c>
      <c r="B69">
        <v>6</v>
      </c>
      <c r="C69">
        <v>0.3</v>
      </c>
      <c r="D69">
        <v>400</v>
      </c>
      <c r="E69">
        <v>2.5624431067390989</v>
      </c>
      <c r="F69">
        <v>760.67728076825881</v>
      </c>
      <c r="G69">
        <v>14.544</v>
      </c>
      <c r="H69">
        <v>24.4</v>
      </c>
      <c r="I69">
        <v>101955</v>
      </c>
      <c r="J69">
        <v>1.8465999999999999E-5</v>
      </c>
      <c r="K69">
        <v>1007</v>
      </c>
      <c r="L69">
        <v>8.3847950666666657E-4</v>
      </c>
      <c r="M69">
        <v>1.1930000000000001</v>
      </c>
      <c r="N69">
        <v>2.4162293045454302</v>
      </c>
      <c r="O69">
        <v>41.784693023255812</v>
      </c>
      <c r="P69">
        <v>42</v>
      </c>
      <c r="Q69">
        <v>0.5</v>
      </c>
      <c r="R69">
        <v>29.56</v>
      </c>
      <c r="S69">
        <v>0.5</v>
      </c>
      <c r="T69">
        <v>29.68</v>
      </c>
      <c r="U69">
        <v>14.78</v>
      </c>
      <c r="V69">
        <v>14.84</v>
      </c>
      <c r="W69">
        <v>29.62</v>
      </c>
      <c r="X69">
        <v>46.408263684409206</v>
      </c>
      <c r="Y69">
        <v>4113.8888888888887</v>
      </c>
      <c r="Z69">
        <v>400.21932390581361</v>
      </c>
      <c r="AA69">
        <v>3713.6695649830749</v>
      </c>
      <c r="AB69">
        <v>8.3847950666666657E-5</v>
      </c>
      <c r="AC69">
        <v>25.093136089090219</v>
      </c>
      <c r="AD69">
        <v>298.24313608909023</v>
      </c>
      <c r="AE69">
        <v>298.23806999999999</v>
      </c>
      <c r="AF69">
        <v>329.92669999999998</v>
      </c>
      <c r="AG69">
        <v>321.57324</v>
      </c>
      <c r="AH69">
        <v>323.67883</v>
      </c>
      <c r="AI69">
        <v>323.70359999999999</v>
      </c>
      <c r="AJ69">
        <v>227.53771</v>
      </c>
      <c r="AK69">
        <v>2.7139078000000001E-3</v>
      </c>
      <c r="AL69">
        <v>3.0292585000000002E-4</v>
      </c>
      <c r="AM69">
        <v>3.02925E-4</v>
      </c>
      <c r="AN69">
        <v>102.2462355968828</v>
      </c>
      <c r="AO69">
        <v>10.076929292125159</v>
      </c>
      <c r="AP69">
        <v>656.94129860324654</v>
      </c>
      <c r="AQ69">
        <v>42</v>
      </c>
      <c r="AR69">
        <v>614.94129860324654</v>
      </c>
      <c r="AS69">
        <v>2.8871754866621742</v>
      </c>
      <c r="AT69">
        <v>7.5382032577922091</v>
      </c>
      <c r="AU69">
        <v>4.3269286699727276</v>
      </c>
      <c r="AV69">
        <v>352.97630539826349</v>
      </c>
      <c r="AW69">
        <v>57.651231206453971</v>
      </c>
      <c r="AZ69">
        <f t="shared" ref="AZ69:AZ132" si="5">0.0944*D69^0.8273*(E69/B69)^0.226*BF69^(1/3)</f>
        <v>9.9218821520972984</v>
      </c>
      <c r="BA69">
        <f t="shared" ref="BA69:BA131" si="6">(AO69-AZ69)/AO69</f>
        <v>1.5386347917418261E-2</v>
      </c>
      <c r="BB69">
        <f t="shared" ref="BB69:BB131" si="7">0.4226*D69^0.82869*(C69/B69)^0.4638*BD69^1.45073*BF69^(1/3)</f>
        <v>9.9118719643086006</v>
      </c>
      <c r="BC69">
        <f t="shared" ref="BC69:BC131" si="8">(AO69-BB69)/AO69</f>
        <v>1.6379724718873091E-2</v>
      </c>
      <c r="BD69">
        <v>0.80700000000000005</v>
      </c>
      <c r="BF69">
        <v>0.72</v>
      </c>
    </row>
    <row r="70" spans="1:58" x14ac:dyDescent="0.25">
      <c r="A70" t="s">
        <v>57</v>
      </c>
      <c r="B70">
        <v>6</v>
      </c>
      <c r="C70">
        <v>0.3</v>
      </c>
      <c r="D70">
        <v>600</v>
      </c>
      <c r="E70">
        <v>2.5624431067390989</v>
      </c>
      <c r="F70">
        <v>1140.7070543013369</v>
      </c>
      <c r="G70">
        <v>14.544</v>
      </c>
      <c r="H70">
        <v>24.6</v>
      </c>
      <c r="I70">
        <v>102725</v>
      </c>
      <c r="J70">
        <v>1.8471E-5</v>
      </c>
      <c r="K70">
        <v>1007</v>
      </c>
      <c r="L70">
        <v>1.25805981E-3</v>
      </c>
      <c r="M70">
        <v>1.202</v>
      </c>
      <c r="N70">
        <v>3.598180614130464</v>
      </c>
      <c r="O70">
        <v>62.694010465116257</v>
      </c>
      <c r="P70">
        <v>63</v>
      </c>
      <c r="Q70">
        <v>0.5</v>
      </c>
      <c r="R70">
        <v>29.56</v>
      </c>
      <c r="S70">
        <v>0.5</v>
      </c>
      <c r="T70">
        <v>29.68</v>
      </c>
      <c r="U70">
        <v>14.78</v>
      </c>
      <c r="V70">
        <v>14.84</v>
      </c>
      <c r="W70">
        <v>29.62</v>
      </c>
      <c r="X70">
        <v>40.664438260522637</v>
      </c>
      <c r="Y70">
        <v>4113.8888888888887</v>
      </c>
      <c r="Z70">
        <v>277.80117264651892</v>
      </c>
      <c r="AA70">
        <v>3836.0877162423699</v>
      </c>
      <c r="AB70">
        <v>1.25805981E-4</v>
      </c>
      <c r="AC70">
        <v>25.102419708757221</v>
      </c>
      <c r="AD70">
        <v>298.2524197087572</v>
      </c>
      <c r="AE70">
        <v>298.2457</v>
      </c>
      <c r="AF70">
        <v>320.01835</v>
      </c>
      <c r="AG70">
        <v>314.36461000000003</v>
      </c>
      <c r="AH70">
        <v>316.46348</v>
      </c>
      <c r="AI70">
        <v>316.4572</v>
      </c>
      <c r="AJ70">
        <v>461.90053</v>
      </c>
      <c r="AK70">
        <v>2.7139078000000001E-3</v>
      </c>
      <c r="AL70">
        <v>3.0292585000000002E-4</v>
      </c>
      <c r="AM70">
        <v>3.02925E-4</v>
      </c>
      <c r="AN70">
        <v>148.17014058878021</v>
      </c>
      <c r="AO70">
        <v>14.602982899087809</v>
      </c>
      <c r="AP70">
        <v>1403.131857171355</v>
      </c>
      <c r="AQ70">
        <v>63</v>
      </c>
      <c r="AR70">
        <v>1340.131857171355</v>
      </c>
      <c r="AS70">
        <v>3.0377359756901661</v>
      </c>
      <c r="AT70">
        <v>7.3248680283918901</v>
      </c>
      <c r="AU70">
        <v>4.2044742482969442</v>
      </c>
      <c r="AV70">
        <v>769.23568601635748</v>
      </c>
      <c r="AW70">
        <v>86.500261963696346</v>
      </c>
      <c r="AZ70">
        <f t="shared" si="5"/>
        <v>13.876321804884366</v>
      </c>
      <c r="BA70">
        <f t="shared" si="6"/>
        <v>4.9761141215116739E-2</v>
      </c>
      <c r="BB70">
        <f t="shared" si="7"/>
        <v>13.870136940766749</v>
      </c>
      <c r="BC70">
        <f t="shared" si="8"/>
        <v>5.0184675513578726E-2</v>
      </c>
      <c r="BD70">
        <v>0.80700000000000005</v>
      </c>
      <c r="BF70">
        <v>0.72</v>
      </c>
    </row>
    <row r="71" spans="1:58" x14ac:dyDescent="0.25">
      <c r="A71" t="s">
        <v>57</v>
      </c>
      <c r="B71">
        <v>6</v>
      </c>
      <c r="C71">
        <v>0.3</v>
      </c>
      <c r="D71">
        <v>800</v>
      </c>
      <c r="E71">
        <v>2.5624431067390989</v>
      </c>
      <c r="F71">
        <v>1520.94273906845</v>
      </c>
      <c r="G71">
        <v>14.544</v>
      </c>
      <c r="H71">
        <v>24.6</v>
      </c>
      <c r="I71">
        <v>103625</v>
      </c>
      <c r="J71">
        <v>1.8471E-5</v>
      </c>
      <c r="K71">
        <v>1007</v>
      </c>
      <c r="L71">
        <v>1.6774130800000001E-3</v>
      </c>
      <c r="M71">
        <v>1.2130000000000001</v>
      </c>
      <c r="N71">
        <v>4.7540677089143362</v>
      </c>
      <c r="O71">
        <v>83.592013953488362</v>
      </c>
      <c r="P71">
        <v>84</v>
      </c>
      <c r="Q71">
        <v>0.5</v>
      </c>
      <c r="R71">
        <v>29.56</v>
      </c>
      <c r="S71">
        <v>0.5</v>
      </c>
      <c r="T71">
        <v>29.68</v>
      </c>
      <c r="U71">
        <v>14.78</v>
      </c>
      <c r="V71">
        <v>14.84</v>
      </c>
      <c r="W71">
        <v>29.62</v>
      </c>
      <c r="X71">
        <v>37.594091920374723</v>
      </c>
      <c r="Y71">
        <v>4113.8888888888887</v>
      </c>
      <c r="Z71">
        <v>212.3628810989463</v>
      </c>
      <c r="AA71">
        <v>3901.526007789942</v>
      </c>
      <c r="AB71">
        <v>1.6774130799999999E-4</v>
      </c>
      <c r="AC71">
        <v>25.14372072599528</v>
      </c>
      <c r="AD71">
        <v>298.29372072599529</v>
      </c>
      <c r="AE71">
        <v>298.28241000000003</v>
      </c>
      <c r="AF71">
        <v>314.89143000000001</v>
      </c>
      <c r="AG71">
        <v>310.79163999999997</v>
      </c>
      <c r="AH71">
        <v>312.83283999999998</v>
      </c>
      <c r="AI71">
        <v>312.83819999999997</v>
      </c>
      <c r="AJ71">
        <v>775.44070999999997</v>
      </c>
      <c r="AK71">
        <v>2.7139078000000001E-3</v>
      </c>
      <c r="AL71">
        <v>3.0292585000000002E-4</v>
      </c>
      <c r="AM71">
        <v>3.02925E-4</v>
      </c>
      <c r="AN71">
        <v>184.84631455463639</v>
      </c>
      <c r="AO71">
        <v>18.217621712948279</v>
      </c>
      <c r="AP71">
        <v>2377.9413869372888</v>
      </c>
      <c r="AQ71">
        <v>84</v>
      </c>
      <c r="AR71">
        <v>2293.9413869372888</v>
      </c>
      <c r="AS71">
        <v>3.066567638597784</v>
      </c>
      <c r="AT71">
        <v>7.0851337257170526</v>
      </c>
      <c r="AU71">
        <v>4.0668667585615887</v>
      </c>
      <c r="AV71">
        <v>1316.7223561020039</v>
      </c>
      <c r="AW71">
        <v>115.3336826182618</v>
      </c>
      <c r="AZ71">
        <f t="shared" si="5"/>
        <v>17.605006095631769</v>
      </c>
      <c r="BA71">
        <f t="shared" si="6"/>
        <v>3.3627639599141015E-2</v>
      </c>
      <c r="BB71">
        <f t="shared" si="7"/>
        <v>17.604197431937521</v>
      </c>
      <c r="BC71">
        <f t="shared" si="8"/>
        <v>3.3672028691580695E-2</v>
      </c>
      <c r="BD71">
        <v>0.80700000000000005</v>
      </c>
      <c r="BF71">
        <v>0.72</v>
      </c>
    </row>
    <row r="72" spans="1:58" x14ac:dyDescent="0.25">
      <c r="A72" t="s">
        <v>57</v>
      </c>
      <c r="B72">
        <v>6</v>
      </c>
      <c r="C72">
        <v>0.3</v>
      </c>
      <c r="D72">
        <v>1000</v>
      </c>
      <c r="E72">
        <v>2.5624431067390989</v>
      </c>
      <c r="F72">
        <v>1883.0719626561761</v>
      </c>
      <c r="G72">
        <v>14.544</v>
      </c>
      <c r="H72">
        <v>24.6</v>
      </c>
      <c r="I72">
        <v>104825</v>
      </c>
      <c r="J72">
        <v>1.8471E-5</v>
      </c>
      <c r="K72">
        <v>1007</v>
      </c>
      <c r="L72">
        <v>2.0967663499999998E-3</v>
      </c>
      <c r="M72">
        <v>1.2270000000000001</v>
      </c>
      <c r="N72">
        <v>5.8747800844672886</v>
      </c>
      <c r="O72">
        <v>104.4900174418605</v>
      </c>
      <c r="P72">
        <v>104</v>
      </c>
      <c r="Q72">
        <v>0.5</v>
      </c>
      <c r="R72">
        <v>29.56</v>
      </c>
      <c r="S72">
        <v>0.5</v>
      </c>
      <c r="T72">
        <v>29.68</v>
      </c>
      <c r="U72">
        <v>14.78</v>
      </c>
      <c r="V72">
        <v>14.84</v>
      </c>
      <c r="W72">
        <v>29.62</v>
      </c>
      <c r="X72">
        <v>35.74301448983698</v>
      </c>
      <c r="Y72">
        <v>4113.8888888888887</v>
      </c>
      <c r="Z72">
        <v>172.91086782189549</v>
      </c>
      <c r="AA72">
        <v>3940.9780210669928</v>
      </c>
      <c r="AB72">
        <v>2.0967663500000001E-4</v>
      </c>
      <c r="AC72">
        <v>25.145500100623831</v>
      </c>
      <c r="AD72">
        <v>298.29550010062383</v>
      </c>
      <c r="AE72">
        <v>298.28820999999999</v>
      </c>
      <c r="AF72">
        <v>311.73469999999998</v>
      </c>
      <c r="AG72">
        <v>308.51276999999999</v>
      </c>
      <c r="AH72">
        <v>310.51209999999998</v>
      </c>
      <c r="AI72">
        <v>310.50932999999998</v>
      </c>
      <c r="AJ72">
        <v>1181.5499</v>
      </c>
      <c r="AK72">
        <v>2.7139078000000001E-3</v>
      </c>
      <c r="AL72">
        <v>3.0292585000000002E-4</v>
      </c>
      <c r="AM72">
        <v>3.02925E-4</v>
      </c>
      <c r="AN72">
        <v>221.0931248299118</v>
      </c>
      <c r="AO72">
        <v>21.78994437183902</v>
      </c>
      <c r="AP72">
        <v>3537.9100422620249</v>
      </c>
      <c r="AQ72">
        <v>104</v>
      </c>
      <c r="AR72">
        <v>3433.9100422620249</v>
      </c>
      <c r="AS72">
        <v>2.994295917812718</v>
      </c>
      <c r="AT72">
        <v>6.8274009792558381</v>
      </c>
      <c r="AU72">
        <v>3.9189281620928509</v>
      </c>
      <c r="AV72">
        <v>1971.0643642584021</v>
      </c>
      <c r="AW72">
        <v>144.16710327282729</v>
      </c>
      <c r="AZ72">
        <f t="shared" si="5"/>
        <v>21.174337620689506</v>
      </c>
      <c r="BA72">
        <f t="shared" si="6"/>
        <v>2.8251873462564421E-2</v>
      </c>
      <c r="BB72">
        <f t="shared" si="7"/>
        <v>21.17993335566937</v>
      </c>
      <c r="BC72">
        <f t="shared" si="8"/>
        <v>2.7995069916654729E-2</v>
      </c>
      <c r="BD72">
        <v>0.80700000000000005</v>
      </c>
      <c r="BF72">
        <v>0.72</v>
      </c>
    </row>
    <row r="73" spans="1:58" x14ac:dyDescent="0.25">
      <c r="A73" t="s">
        <v>57</v>
      </c>
      <c r="B73">
        <v>6</v>
      </c>
      <c r="C73">
        <v>0.3</v>
      </c>
      <c r="D73">
        <v>1200</v>
      </c>
      <c r="E73">
        <v>2.5624431067390989</v>
      </c>
      <c r="F73">
        <v>2263.185121024012</v>
      </c>
      <c r="G73">
        <v>14.544</v>
      </c>
      <c r="H73">
        <v>24.6</v>
      </c>
      <c r="I73">
        <v>106325</v>
      </c>
      <c r="J73">
        <v>1.8471999999999999E-5</v>
      </c>
      <c r="K73">
        <v>1007</v>
      </c>
      <c r="L73">
        <v>2.516255839999999E-3</v>
      </c>
      <c r="M73">
        <v>1.244</v>
      </c>
      <c r="N73">
        <v>6.9537737133841979</v>
      </c>
      <c r="O73">
        <v>125.3948093023256</v>
      </c>
      <c r="P73">
        <v>125</v>
      </c>
      <c r="Q73">
        <v>0.5</v>
      </c>
      <c r="R73">
        <v>29.56</v>
      </c>
      <c r="S73">
        <v>0.5</v>
      </c>
      <c r="T73">
        <v>29.68</v>
      </c>
      <c r="U73">
        <v>14.78</v>
      </c>
      <c r="V73">
        <v>14.84</v>
      </c>
      <c r="W73">
        <v>29.62</v>
      </c>
      <c r="X73">
        <v>34.36264227154571</v>
      </c>
      <c r="Y73">
        <v>4113.8888888888887</v>
      </c>
      <c r="Z73">
        <v>143.4909947334537</v>
      </c>
      <c r="AA73">
        <v>3970.3978941554351</v>
      </c>
      <c r="AB73">
        <v>2.5162558399999989E-4</v>
      </c>
      <c r="AC73">
        <v>25.161533693261301</v>
      </c>
      <c r="AD73">
        <v>298.31153369326131</v>
      </c>
      <c r="AE73">
        <v>298.29318000000001</v>
      </c>
      <c r="AF73">
        <v>309.56033000000002</v>
      </c>
      <c r="AG73">
        <v>306.99777999999998</v>
      </c>
      <c r="AH73">
        <v>308.94306999999998</v>
      </c>
      <c r="AI73">
        <v>308.92977000000002</v>
      </c>
      <c r="AJ73">
        <v>1673.9625000000001</v>
      </c>
      <c r="AK73">
        <v>2.7139078000000001E-3</v>
      </c>
      <c r="AL73">
        <v>3.0292585000000002E-4</v>
      </c>
      <c r="AM73">
        <v>3.02925E-4</v>
      </c>
      <c r="AN73">
        <v>251.4327130116221</v>
      </c>
      <c r="AO73">
        <v>24.780077779436201</v>
      </c>
      <c r="AP73">
        <v>4968.650936479371</v>
      </c>
      <c r="AQ73">
        <v>125</v>
      </c>
      <c r="AR73">
        <v>4843.650936479371</v>
      </c>
      <c r="AS73">
        <v>2.9681972783018562</v>
      </c>
      <c r="AT73">
        <v>6.7339708834116694</v>
      </c>
      <c r="AU73">
        <v>3.8652992870782978</v>
      </c>
      <c r="AV73">
        <v>2780.2556375391591</v>
      </c>
      <c r="AW73">
        <v>173.00988998899891</v>
      </c>
      <c r="AZ73">
        <f t="shared" si="5"/>
        <v>24.62161172800247</v>
      </c>
      <c r="BA73">
        <f t="shared" si="6"/>
        <v>6.3948972575555915E-3</v>
      </c>
      <c r="BB73">
        <f t="shared" si="7"/>
        <v>24.634360693167014</v>
      </c>
      <c r="BC73">
        <f t="shared" si="8"/>
        <v>5.8804127882968312E-3</v>
      </c>
      <c r="BD73">
        <v>0.80700000000000005</v>
      </c>
      <c r="BF73">
        <v>0.72</v>
      </c>
    </row>
    <row r="74" spans="1:58" x14ac:dyDescent="0.25">
      <c r="A74" t="s">
        <v>57</v>
      </c>
      <c r="B74">
        <v>6</v>
      </c>
      <c r="C74">
        <v>0.3</v>
      </c>
      <c r="D74">
        <v>1400</v>
      </c>
      <c r="E74">
        <v>2.5624431067390989</v>
      </c>
      <c r="F74">
        <v>2643.4002213560461</v>
      </c>
      <c r="G74">
        <v>14.544</v>
      </c>
      <c r="H74">
        <v>24.6</v>
      </c>
      <c r="I74">
        <v>107825</v>
      </c>
      <c r="J74">
        <v>1.8471999999999999E-5</v>
      </c>
      <c r="K74">
        <v>1007</v>
      </c>
      <c r="L74">
        <v>2.9356318133333332E-3</v>
      </c>
      <c r="M74">
        <v>1.262</v>
      </c>
      <c r="N74">
        <v>7.997023441118543</v>
      </c>
      <c r="O74">
        <v>146.2939441860465</v>
      </c>
      <c r="P74">
        <v>146</v>
      </c>
      <c r="Q74">
        <v>0.5</v>
      </c>
      <c r="R74">
        <v>29.56</v>
      </c>
      <c r="S74">
        <v>0.5</v>
      </c>
      <c r="T74">
        <v>29.68</v>
      </c>
      <c r="U74">
        <v>14.78</v>
      </c>
      <c r="V74">
        <v>14.84</v>
      </c>
      <c r="W74">
        <v>29.62</v>
      </c>
      <c r="X74">
        <v>33.357747447505297</v>
      </c>
      <c r="Y74">
        <v>4113.8888888888887</v>
      </c>
      <c r="Z74">
        <v>122.07367134868051</v>
      </c>
      <c r="AA74">
        <v>3991.8152175402079</v>
      </c>
      <c r="AB74">
        <v>2.9356318133333333E-4</v>
      </c>
      <c r="AC74">
        <v>25.154930649200509</v>
      </c>
      <c r="AD74">
        <v>298.30493064920051</v>
      </c>
      <c r="AE74">
        <v>298.27737000000002</v>
      </c>
      <c r="AF74">
        <v>307.97838000000002</v>
      </c>
      <c r="AG74">
        <v>305.89920999999998</v>
      </c>
      <c r="AH74">
        <v>307.82474999999999</v>
      </c>
      <c r="AI74">
        <v>307.81677999999999</v>
      </c>
      <c r="AJ74">
        <v>2261.3319999999999</v>
      </c>
      <c r="AK74">
        <v>2.7139078000000001E-3</v>
      </c>
      <c r="AL74">
        <v>3.0292585000000002E-4</v>
      </c>
      <c r="AM74">
        <v>3.02925E-4</v>
      </c>
      <c r="AN74">
        <v>277.30730698120749</v>
      </c>
      <c r="AO74">
        <v>27.330161431629939</v>
      </c>
      <c r="AP74">
        <v>6579.1812752841461</v>
      </c>
      <c r="AQ74">
        <v>146</v>
      </c>
      <c r="AR74">
        <v>6433.1812752841461</v>
      </c>
      <c r="AS74">
        <v>2.9094273973411009</v>
      </c>
      <c r="AT74">
        <v>6.6195410689170613</v>
      </c>
      <c r="AU74">
        <v>3.7996165735583931</v>
      </c>
      <c r="AV74">
        <v>3692.6460520131</v>
      </c>
      <c r="AW74">
        <v>201.844871653832</v>
      </c>
      <c r="AZ74">
        <f t="shared" si="5"/>
        <v>27.970585502037761</v>
      </c>
      <c r="BA74">
        <f t="shared" si="6"/>
        <v>-2.3432868188866276E-2</v>
      </c>
      <c r="BB74">
        <f t="shared" si="7"/>
        <v>27.991065539056173</v>
      </c>
      <c r="BC74">
        <f t="shared" si="8"/>
        <v>-2.4182224795106819E-2</v>
      </c>
      <c r="BD74">
        <v>0.80700000000000005</v>
      </c>
      <c r="BF74">
        <v>0.72</v>
      </c>
    </row>
    <row r="75" spans="1:58" x14ac:dyDescent="0.25">
      <c r="A75" t="s">
        <v>57</v>
      </c>
      <c r="B75">
        <v>6</v>
      </c>
      <c r="C75">
        <v>0.3</v>
      </c>
      <c r="D75">
        <v>1600</v>
      </c>
      <c r="E75">
        <v>2.5624431067390989</v>
      </c>
      <c r="F75">
        <v>3023.6153216880798</v>
      </c>
      <c r="G75">
        <v>14.544</v>
      </c>
      <c r="H75">
        <v>24.6</v>
      </c>
      <c r="I75">
        <v>109725</v>
      </c>
      <c r="J75">
        <v>1.8471999999999999E-5</v>
      </c>
      <c r="K75">
        <v>1007</v>
      </c>
      <c r="L75">
        <v>3.355007786666666E-3</v>
      </c>
      <c r="M75">
        <v>1.284</v>
      </c>
      <c r="N75">
        <v>8.982860331723721</v>
      </c>
      <c r="O75">
        <v>167.19307906976741</v>
      </c>
      <c r="P75">
        <v>167</v>
      </c>
      <c r="Q75">
        <v>0.6</v>
      </c>
      <c r="R75">
        <v>35.47</v>
      </c>
      <c r="S75">
        <v>0.6</v>
      </c>
      <c r="T75">
        <v>35.590000000000003</v>
      </c>
      <c r="U75">
        <v>21.282</v>
      </c>
      <c r="V75">
        <v>21.353999999999999</v>
      </c>
      <c r="W75">
        <v>42.636000000000003</v>
      </c>
      <c r="X75">
        <v>35.863273731510972</v>
      </c>
      <c r="Y75">
        <v>5921.666666666667</v>
      </c>
      <c r="Z75">
        <v>175.4739530396931</v>
      </c>
      <c r="AA75">
        <v>5746.1927136269742</v>
      </c>
      <c r="AB75">
        <v>3.355007786666666E-4</v>
      </c>
      <c r="AC75">
        <v>25.1454765025276</v>
      </c>
      <c r="AD75">
        <v>298.29547650252749</v>
      </c>
      <c r="AE75">
        <v>298.27075000000002</v>
      </c>
      <c r="AF75">
        <v>310.47510999999997</v>
      </c>
      <c r="AG75">
        <v>308.03111000000001</v>
      </c>
      <c r="AH75">
        <v>310.66215999999997</v>
      </c>
      <c r="AI75">
        <v>310.68847</v>
      </c>
      <c r="AJ75">
        <v>2819.1531</v>
      </c>
      <c r="AK75">
        <v>2.7139078000000001E-3</v>
      </c>
      <c r="AL75">
        <v>3.0292585000000002E-4</v>
      </c>
      <c r="AM75">
        <v>3.02925E-4</v>
      </c>
      <c r="AN75">
        <v>300.97322365037161</v>
      </c>
      <c r="AO75">
        <v>29.66256777907461</v>
      </c>
      <c r="AP75">
        <v>8399.5518941521568</v>
      </c>
      <c r="AQ75">
        <v>167</v>
      </c>
      <c r="AR75">
        <v>8232.5518941521568</v>
      </c>
      <c r="AS75">
        <v>2.9794592901507042</v>
      </c>
      <c r="AT75">
        <v>6.5437810048811471</v>
      </c>
      <c r="AU75">
        <v>3.756130296801778</v>
      </c>
      <c r="AV75">
        <v>4725.4847872433375</v>
      </c>
      <c r="AW75">
        <v>230.67985331866521</v>
      </c>
      <c r="AZ75">
        <f t="shared" si="5"/>
        <v>31.237645728508991</v>
      </c>
      <c r="BA75">
        <f t="shared" si="6"/>
        <v>-5.3099851677221123E-2</v>
      </c>
      <c r="BB75">
        <f t="shared" si="7"/>
        <v>31.266320664610511</v>
      </c>
      <c r="BC75">
        <f t="shared" si="8"/>
        <v>-5.4066556121525812E-2</v>
      </c>
      <c r="BD75">
        <v>0.80700000000000005</v>
      </c>
      <c r="BF75">
        <v>0.72</v>
      </c>
    </row>
    <row r="76" spans="1:58" x14ac:dyDescent="0.25">
      <c r="A76" t="s">
        <v>57</v>
      </c>
      <c r="B76">
        <v>6</v>
      </c>
      <c r="C76">
        <v>0.3</v>
      </c>
      <c r="D76">
        <v>1800</v>
      </c>
      <c r="E76">
        <v>2.5624431067390989</v>
      </c>
      <c r="F76">
        <v>3403.8304220201139</v>
      </c>
      <c r="G76">
        <v>14.544</v>
      </c>
      <c r="H76">
        <v>24.6</v>
      </c>
      <c r="I76">
        <v>111625</v>
      </c>
      <c r="J76">
        <v>1.8471999999999999E-5</v>
      </c>
      <c r="K76">
        <v>1007</v>
      </c>
      <c r="L76">
        <v>3.7743837599999992E-3</v>
      </c>
      <c r="M76">
        <v>1.306</v>
      </c>
      <c r="N76">
        <v>9.9354837283115724</v>
      </c>
      <c r="O76">
        <v>188.09221395348831</v>
      </c>
      <c r="P76">
        <v>188</v>
      </c>
      <c r="Q76">
        <v>0.6</v>
      </c>
      <c r="R76">
        <v>35.47</v>
      </c>
      <c r="S76">
        <v>0.6</v>
      </c>
      <c r="T76">
        <v>35.590000000000003</v>
      </c>
      <c r="U76">
        <v>21.282</v>
      </c>
      <c r="V76">
        <v>21.353999999999999</v>
      </c>
      <c r="W76">
        <v>42.636000000000003</v>
      </c>
      <c r="X76">
        <v>34.973584262948208</v>
      </c>
      <c r="Y76">
        <v>5921.666666666667</v>
      </c>
      <c r="Z76">
        <v>156.5120013962152</v>
      </c>
      <c r="AA76">
        <v>5765.1546652704519</v>
      </c>
      <c r="AB76">
        <v>3.7743837599999992E-4</v>
      </c>
      <c r="AC76">
        <v>25.148726095617501</v>
      </c>
      <c r="AD76">
        <v>298.2987260956175</v>
      </c>
      <c r="AE76">
        <v>298.26375999999999</v>
      </c>
      <c r="AF76">
        <v>309.21429999999998</v>
      </c>
      <c r="AG76">
        <v>307.07535999999999</v>
      </c>
      <c r="AH76">
        <v>309.70677999999998</v>
      </c>
      <c r="AI76">
        <v>309.73685999999998</v>
      </c>
      <c r="AJ76">
        <v>3623.1689999999999</v>
      </c>
      <c r="AK76">
        <v>2.7139078000000001E-3</v>
      </c>
      <c r="AL76">
        <v>3.0292585000000002E-4</v>
      </c>
      <c r="AM76">
        <v>3.02925E-4</v>
      </c>
      <c r="AN76">
        <v>327.38035901261571</v>
      </c>
      <c r="AO76">
        <v>32.265136316678777</v>
      </c>
      <c r="AP76">
        <v>10313.78519256308</v>
      </c>
      <c r="AQ76">
        <v>188</v>
      </c>
      <c r="AR76">
        <v>10125.78519256308</v>
      </c>
      <c r="AS76">
        <v>2.8466199596439141</v>
      </c>
      <c r="AT76">
        <v>6.4159317967992058</v>
      </c>
      <c r="AU76">
        <v>3.6827448513627439</v>
      </c>
      <c r="AV76">
        <v>5812.200700531208</v>
      </c>
      <c r="AW76">
        <v>259.5148349834983</v>
      </c>
      <c r="AZ76">
        <f t="shared" si="5"/>
        <v>34.434737528147075</v>
      </c>
      <c r="BA76">
        <f t="shared" si="6"/>
        <v>-6.7242896176662612E-2</v>
      </c>
      <c r="BB76">
        <f t="shared" si="7"/>
        <v>34.471990507224241</v>
      </c>
      <c r="BC76">
        <f t="shared" si="8"/>
        <v>-6.8397485412286241E-2</v>
      </c>
      <c r="BD76">
        <v>0.80700000000000005</v>
      </c>
      <c r="BF76">
        <v>0.72</v>
      </c>
    </row>
    <row r="77" spans="1:58" x14ac:dyDescent="0.25">
      <c r="A77" t="s">
        <v>57</v>
      </c>
      <c r="B77">
        <v>6</v>
      </c>
      <c r="C77">
        <v>0.3</v>
      </c>
      <c r="D77">
        <v>2000</v>
      </c>
      <c r="E77">
        <v>2.5624431067390989</v>
      </c>
      <c r="F77">
        <v>3783.840680392404</v>
      </c>
      <c r="G77">
        <v>14.544</v>
      </c>
      <c r="H77">
        <v>24.6</v>
      </c>
      <c r="I77">
        <v>113725</v>
      </c>
      <c r="J77">
        <v>1.8473000000000001E-5</v>
      </c>
      <c r="K77">
        <v>1007</v>
      </c>
      <c r="L77">
        <v>4.1939867666666662E-3</v>
      </c>
      <c r="M77">
        <v>1.331</v>
      </c>
      <c r="N77">
        <v>10.83266065931662</v>
      </c>
      <c r="O77">
        <v>209.00266279069771</v>
      </c>
      <c r="P77">
        <v>209</v>
      </c>
      <c r="Q77">
        <v>0.6</v>
      </c>
      <c r="R77">
        <v>35.47</v>
      </c>
      <c r="S77">
        <v>0.6</v>
      </c>
      <c r="T77">
        <v>35.590000000000003</v>
      </c>
      <c r="U77">
        <v>21.282</v>
      </c>
      <c r="V77">
        <v>21.353999999999999</v>
      </c>
      <c r="W77">
        <v>42.636000000000003</v>
      </c>
      <c r="X77">
        <v>34.260667879522927</v>
      </c>
      <c r="Y77">
        <v>5921.666666666667</v>
      </c>
      <c r="Z77">
        <v>141.31761451627219</v>
      </c>
      <c r="AA77">
        <v>5780.3490521503954</v>
      </c>
      <c r="AB77">
        <v>4.1939867666666663E-4</v>
      </c>
      <c r="AC77">
        <v>25.108268647665241</v>
      </c>
      <c r="AD77">
        <v>298.2582686476652</v>
      </c>
      <c r="AE77">
        <v>298.21609000000001</v>
      </c>
      <c r="AF77">
        <v>308.08447000000001</v>
      </c>
      <c r="AG77">
        <v>306.13317999999998</v>
      </c>
      <c r="AH77">
        <v>308.73844000000003</v>
      </c>
      <c r="AI77">
        <v>308.73478999999998</v>
      </c>
      <c r="AJ77">
        <v>4614.8433999999997</v>
      </c>
      <c r="AK77">
        <v>2.7139078000000001E-3</v>
      </c>
      <c r="AL77">
        <v>3.0292585000000002E-4</v>
      </c>
      <c r="AM77">
        <v>3.02925E-4</v>
      </c>
      <c r="AN77">
        <v>362.53687476796068</v>
      </c>
      <c r="AO77">
        <v>35.730004449534498</v>
      </c>
      <c r="AP77">
        <v>12347.206387709721</v>
      </c>
      <c r="AQ77">
        <v>209</v>
      </c>
      <c r="AR77">
        <v>12138.206387709721</v>
      </c>
      <c r="AS77">
        <v>2.6755417936196331</v>
      </c>
      <c r="AT77">
        <v>6.2914153969517939</v>
      </c>
      <c r="AU77">
        <v>3.6112724378503289</v>
      </c>
      <c r="AV77">
        <v>6967.3304665453816</v>
      </c>
      <c r="AW77">
        <v>288.36542675100839</v>
      </c>
      <c r="AZ77">
        <f t="shared" si="5"/>
        <v>37.57093031027452</v>
      </c>
      <c r="BA77">
        <f t="shared" si="6"/>
        <v>-5.1523247452716338E-2</v>
      </c>
      <c r="BB77">
        <f t="shared" si="7"/>
        <v>37.61708481819467</v>
      </c>
      <c r="BC77">
        <f t="shared" si="8"/>
        <v>-5.2815005140161894E-2</v>
      </c>
      <c r="BD77">
        <v>0.80700000000000005</v>
      </c>
      <c r="BF77">
        <v>0.72</v>
      </c>
    </row>
    <row r="78" spans="1:58" x14ac:dyDescent="0.25">
      <c r="A78" t="s">
        <v>57</v>
      </c>
      <c r="B78">
        <v>6</v>
      </c>
      <c r="C78">
        <v>0.3</v>
      </c>
      <c r="D78">
        <v>2500</v>
      </c>
      <c r="E78">
        <v>2.5624431067390989</v>
      </c>
      <c r="F78">
        <v>4725.274725274724</v>
      </c>
      <c r="G78">
        <v>14.544</v>
      </c>
      <c r="H78">
        <v>24.6</v>
      </c>
      <c r="I78">
        <v>119025</v>
      </c>
      <c r="J78">
        <v>1.8473000000000001E-5</v>
      </c>
      <c r="K78">
        <v>1007</v>
      </c>
      <c r="L78">
        <v>5.242483458333334E-3</v>
      </c>
      <c r="M78">
        <v>1.393</v>
      </c>
      <c r="N78">
        <v>12.938147287823419</v>
      </c>
      <c r="O78">
        <v>261.25332848837212</v>
      </c>
      <c r="P78">
        <v>261</v>
      </c>
      <c r="Q78">
        <v>0.6</v>
      </c>
      <c r="R78">
        <v>35.47</v>
      </c>
      <c r="S78">
        <v>0.6</v>
      </c>
      <c r="T78">
        <v>35.590000000000003</v>
      </c>
      <c r="U78">
        <v>21.282</v>
      </c>
      <c r="V78">
        <v>21.353999999999999</v>
      </c>
      <c r="W78">
        <v>42.636000000000003</v>
      </c>
      <c r="X78">
        <v>32.99535245404968</v>
      </c>
      <c r="Y78">
        <v>5921.666666666667</v>
      </c>
      <c r="Z78">
        <v>114.3499468531608</v>
      </c>
      <c r="AA78">
        <v>5807.3167198135061</v>
      </c>
      <c r="AB78">
        <v>5.2424834583333338E-4</v>
      </c>
      <c r="AC78">
        <v>25.071945061603731</v>
      </c>
      <c r="AD78">
        <v>298.22194506160372</v>
      </c>
      <c r="AE78">
        <v>298.15460999999999</v>
      </c>
      <c r="AF78">
        <v>306.05802</v>
      </c>
      <c r="AG78">
        <v>304.61919</v>
      </c>
      <c r="AH78">
        <v>307.12853999999999</v>
      </c>
      <c r="AI78">
        <v>307.17944</v>
      </c>
      <c r="AJ78">
        <v>7230.0347000000002</v>
      </c>
      <c r="AK78">
        <v>2.7139078000000001E-3</v>
      </c>
      <c r="AL78">
        <v>3.0292585000000002E-4</v>
      </c>
      <c r="AM78">
        <v>3.02925E-4</v>
      </c>
      <c r="AN78">
        <v>423.29741431232901</v>
      </c>
      <c r="AO78">
        <v>41.718290054042761</v>
      </c>
      <c r="AP78">
        <v>17775.00134652932</v>
      </c>
      <c r="AQ78">
        <v>261</v>
      </c>
      <c r="AR78">
        <v>17514.00134652932</v>
      </c>
      <c r="AS78">
        <v>2.4584946108943742</v>
      </c>
      <c r="AT78">
        <v>5.9525423363126313</v>
      </c>
      <c r="AU78">
        <v>3.41675930104345</v>
      </c>
      <c r="AV78">
        <v>10053.03677290783</v>
      </c>
      <c r="AW78">
        <v>360.45678343876062</v>
      </c>
      <c r="AZ78">
        <f t="shared" si="5"/>
        <v>45.188258316510442</v>
      </c>
      <c r="BA78">
        <f t="shared" si="6"/>
        <v>-8.3176186223658979E-2</v>
      </c>
      <c r="BB78">
        <f t="shared" si="7"/>
        <v>45.257805847968008</v>
      </c>
      <c r="BC78">
        <f t="shared" si="8"/>
        <v>-8.4843261536848291E-2</v>
      </c>
      <c r="BD78">
        <v>0.80700000000000005</v>
      </c>
      <c r="BF78">
        <v>0.72</v>
      </c>
    </row>
    <row r="79" spans="1:58" x14ac:dyDescent="0.25">
      <c r="A79" t="s">
        <v>57</v>
      </c>
      <c r="B79">
        <v>6</v>
      </c>
      <c r="C79">
        <v>0.3</v>
      </c>
      <c r="D79">
        <v>3000</v>
      </c>
      <c r="E79">
        <v>2.5624431067390989</v>
      </c>
      <c r="F79">
        <v>5684.5055513454354</v>
      </c>
      <c r="G79">
        <v>14.544</v>
      </c>
      <c r="H79">
        <v>24.6</v>
      </c>
      <c r="I79">
        <v>125425</v>
      </c>
      <c r="J79">
        <v>1.8474E-5</v>
      </c>
      <c r="K79">
        <v>1007</v>
      </c>
      <c r="L79">
        <v>6.2913206999999994E-3</v>
      </c>
      <c r="M79">
        <v>1.468</v>
      </c>
      <c r="N79">
        <v>14.733363599473019</v>
      </c>
      <c r="O79">
        <v>313.520965116279</v>
      </c>
      <c r="P79">
        <v>314</v>
      </c>
      <c r="Q79">
        <v>0.7</v>
      </c>
      <c r="R79">
        <v>41.39</v>
      </c>
      <c r="S79">
        <v>0.7</v>
      </c>
      <c r="T79">
        <v>41.53</v>
      </c>
      <c r="U79">
        <v>28.972999999999999</v>
      </c>
      <c r="V79">
        <v>29.071000000000002</v>
      </c>
      <c r="W79">
        <v>58.043999999999997</v>
      </c>
      <c r="X79">
        <v>34.56340806548215</v>
      </c>
      <c r="Y79">
        <v>8061.666666666667</v>
      </c>
      <c r="Z79">
        <v>147.76991609962101</v>
      </c>
      <c r="AA79">
        <v>7913.8967505670462</v>
      </c>
      <c r="AB79">
        <v>6.2913206999999996E-4</v>
      </c>
      <c r="AC79">
        <v>25.030506089039751</v>
      </c>
      <c r="AD79">
        <v>298.18050608903968</v>
      </c>
      <c r="AE79">
        <v>298.09116</v>
      </c>
      <c r="AF79">
        <v>307.08300000000003</v>
      </c>
      <c r="AG79">
        <v>305.47820999999999</v>
      </c>
      <c r="AH79">
        <v>308.85836999999998</v>
      </c>
      <c r="AI79">
        <v>308.84370000000001</v>
      </c>
      <c r="AJ79">
        <v>10436.308000000001</v>
      </c>
      <c r="AK79">
        <v>2.7139078000000001E-3</v>
      </c>
      <c r="AL79">
        <v>3.0292585000000002E-4</v>
      </c>
      <c r="AM79">
        <v>3.02925E-4</v>
      </c>
      <c r="AN79">
        <v>489.46544766008788</v>
      </c>
      <c r="AO79">
        <v>48.239513936290749</v>
      </c>
      <c r="AP79">
        <v>24103.761229786389</v>
      </c>
      <c r="AQ79">
        <v>314</v>
      </c>
      <c r="AR79">
        <v>23789.761229786389</v>
      </c>
      <c r="AS79">
        <v>2.309606158594244</v>
      </c>
      <c r="AT79">
        <v>5.7772182746235581</v>
      </c>
      <c r="AU79">
        <v>3.3161232896339219</v>
      </c>
      <c r="AV79">
        <v>13655.32294589738</v>
      </c>
      <c r="AW79">
        <v>432.571555280528</v>
      </c>
      <c r="AZ79">
        <f t="shared" si="5"/>
        <v>52.545102985732392</v>
      </c>
      <c r="BA79">
        <f t="shared" si="6"/>
        <v>-8.9254403664348156E-2</v>
      </c>
      <c r="BB79">
        <f t="shared" si="7"/>
        <v>52.63931168800088</v>
      </c>
      <c r="BC79">
        <f t="shared" si="8"/>
        <v>-9.1207340055724506E-2</v>
      </c>
      <c r="BD79">
        <v>0.80700000000000005</v>
      </c>
      <c r="BF79">
        <v>0.72</v>
      </c>
    </row>
    <row r="80" spans="1:58" x14ac:dyDescent="0.25">
      <c r="A80" t="s">
        <v>57</v>
      </c>
      <c r="B80">
        <v>6</v>
      </c>
      <c r="C80">
        <v>0.3</v>
      </c>
      <c r="D80">
        <v>3500</v>
      </c>
      <c r="E80">
        <v>2.5624431067390989</v>
      </c>
      <c r="F80">
        <v>6625.5299954893999</v>
      </c>
      <c r="G80">
        <v>14.544</v>
      </c>
      <c r="H80">
        <v>24.6</v>
      </c>
      <c r="I80">
        <v>132325</v>
      </c>
      <c r="J80">
        <v>1.8474999999999998E-5</v>
      </c>
      <c r="K80">
        <v>1007</v>
      </c>
      <c r="L80">
        <v>7.3402714583333329E-3</v>
      </c>
      <c r="M80">
        <v>1.548</v>
      </c>
      <c r="N80">
        <v>16.301490057287921</v>
      </c>
      <c r="O80">
        <v>365.7942587209302</v>
      </c>
      <c r="P80">
        <v>366</v>
      </c>
      <c r="Q80">
        <v>0.7</v>
      </c>
      <c r="R80">
        <v>41.39</v>
      </c>
      <c r="S80">
        <v>0.7</v>
      </c>
      <c r="T80">
        <v>41.53</v>
      </c>
      <c r="U80">
        <v>28.972999999999999</v>
      </c>
      <c r="V80">
        <v>29.071000000000002</v>
      </c>
      <c r="W80">
        <v>58.043999999999997</v>
      </c>
      <c r="X80">
        <v>33.557455870917558</v>
      </c>
      <c r="Y80">
        <v>8061.666666666667</v>
      </c>
      <c r="Z80">
        <v>126.3300569768659</v>
      </c>
      <c r="AA80">
        <v>7935.3366096898008</v>
      </c>
      <c r="AB80">
        <v>7.3402714583333331E-4</v>
      </c>
      <c r="AC80">
        <v>24.978318429237941</v>
      </c>
      <c r="AD80">
        <v>298.12831842923788</v>
      </c>
      <c r="AE80">
        <v>298.01605000000001</v>
      </c>
      <c r="AF80">
        <v>305.69002999999998</v>
      </c>
      <c r="AG80">
        <v>304.35789999999997</v>
      </c>
      <c r="AH80">
        <v>307.67320999999998</v>
      </c>
      <c r="AI80">
        <v>307.60827999999998</v>
      </c>
      <c r="AJ80">
        <v>13804.739</v>
      </c>
      <c r="AK80">
        <v>2.7139078000000001E-3</v>
      </c>
      <c r="AL80">
        <v>3.0292585000000002E-4</v>
      </c>
      <c r="AM80">
        <v>3.02925E-4</v>
      </c>
      <c r="AN80">
        <v>554.46385478834702</v>
      </c>
      <c r="AO80">
        <v>54.645464716861113</v>
      </c>
      <c r="AP80">
        <v>30926.391264904101</v>
      </c>
      <c r="AQ80">
        <v>366</v>
      </c>
      <c r="AR80">
        <v>30560.391264904101</v>
      </c>
      <c r="AS80">
        <v>2.240273522368232</v>
      </c>
      <c r="AT80">
        <v>5.6158556317605326</v>
      </c>
      <c r="AU80">
        <v>3.2235011326305449</v>
      </c>
      <c r="AV80">
        <v>17541.664586054951</v>
      </c>
      <c r="AW80">
        <v>504.69413217363399</v>
      </c>
      <c r="AZ80">
        <f t="shared" si="5"/>
        <v>59.692164429036154</v>
      </c>
      <c r="BA80">
        <f t="shared" si="6"/>
        <v>-9.235349609201618E-2</v>
      </c>
      <c r="BB80">
        <f t="shared" si="7"/>
        <v>59.812001689101443</v>
      </c>
      <c r="BC80">
        <f t="shared" si="8"/>
        <v>-9.4546491625793982E-2</v>
      </c>
      <c r="BD80">
        <v>0.80700000000000005</v>
      </c>
      <c r="BF80">
        <v>0.72</v>
      </c>
    </row>
    <row r="81" spans="1:58" x14ac:dyDescent="0.25">
      <c r="A81" t="s">
        <v>57</v>
      </c>
      <c r="B81">
        <v>6</v>
      </c>
      <c r="C81">
        <v>0.3</v>
      </c>
      <c r="D81">
        <v>4000</v>
      </c>
      <c r="E81">
        <v>2.5624431067390989</v>
      </c>
      <c r="F81">
        <v>7568.091044704297</v>
      </c>
      <c r="G81">
        <v>14.544</v>
      </c>
      <c r="H81">
        <v>24.5</v>
      </c>
      <c r="I81">
        <v>139825</v>
      </c>
      <c r="J81">
        <v>1.8471999999999999E-5</v>
      </c>
      <c r="K81">
        <v>1007</v>
      </c>
      <c r="L81">
        <v>8.3875194666666649E-3</v>
      </c>
      <c r="M81">
        <v>1.637</v>
      </c>
      <c r="N81">
        <v>17.61452759000192</v>
      </c>
      <c r="O81">
        <v>417.98269767441849</v>
      </c>
      <c r="P81">
        <v>418</v>
      </c>
      <c r="Q81">
        <v>0.7</v>
      </c>
      <c r="R81">
        <v>41.39</v>
      </c>
      <c r="S81">
        <v>0.7</v>
      </c>
      <c r="T81">
        <v>41.53</v>
      </c>
      <c r="U81">
        <v>28.972999999999999</v>
      </c>
      <c r="V81">
        <v>29.071000000000002</v>
      </c>
      <c r="W81">
        <v>58.043999999999997</v>
      </c>
      <c r="X81">
        <v>32.884610139516603</v>
      </c>
      <c r="Y81">
        <v>8061.666666666667</v>
      </c>
      <c r="Z81">
        <v>111.9896959035171</v>
      </c>
      <c r="AA81">
        <v>7949.6769707631502</v>
      </c>
      <c r="AB81">
        <v>8.3875194666666649E-4</v>
      </c>
      <c r="AC81">
        <v>24.903974258203959</v>
      </c>
      <c r="AD81">
        <v>298.05397425820388</v>
      </c>
      <c r="AE81">
        <v>297.91323999999997</v>
      </c>
      <c r="AF81">
        <v>304.6354</v>
      </c>
      <c r="AG81">
        <v>303.33389</v>
      </c>
      <c r="AH81">
        <v>306.57112000000001</v>
      </c>
      <c r="AI81">
        <v>306.59539000000001</v>
      </c>
      <c r="AJ81">
        <v>18765.906999999999</v>
      </c>
      <c r="AK81">
        <v>2.7139078000000001E-3</v>
      </c>
      <c r="AL81">
        <v>3.0292585000000002E-4</v>
      </c>
      <c r="AM81">
        <v>3.02925E-4</v>
      </c>
      <c r="AN81">
        <v>649.99189295898429</v>
      </c>
      <c r="AO81">
        <v>64.060278674963371</v>
      </c>
      <c r="AP81">
        <v>38182.595794851637</v>
      </c>
      <c r="AQ81">
        <v>418</v>
      </c>
      <c r="AR81">
        <v>37764.595794851637</v>
      </c>
      <c r="AS81">
        <v>2.0346789417027189</v>
      </c>
      <c r="AT81">
        <v>5.4875868940629484</v>
      </c>
      <c r="AU81">
        <v>3.1498748771921319</v>
      </c>
      <c r="AV81">
        <v>21676.877986244839</v>
      </c>
      <c r="AW81">
        <v>576.69963329666291</v>
      </c>
      <c r="AZ81">
        <f t="shared" si="5"/>
        <v>66.664413766608192</v>
      </c>
      <c r="BA81">
        <f t="shared" si="6"/>
        <v>-4.0651323183559504E-2</v>
      </c>
      <c r="BB81">
        <f t="shared" si="7"/>
        <v>66.810647911716785</v>
      </c>
      <c r="BC81">
        <f t="shared" si="8"/>
        <v>-4.2934081674988703E-2</v>
      </c>
      <c r="BD81">
        <v>0.80700000000000005</v>
      </c>
      <c r="BF81">
        <v>0.72</v>
      </c>
    </row>
    <row r="82" spans="1:58" x14ac:dyDescent="0.25">
      <c r="A82" t="s">
        <v>57</v>
      </c>
      <c r="B82">
        <v>6</v>
      </c>
      <c r="C82">
        <v>0.3</v>
      </c>
      <c r="D82">
        <v>4500</v>
      </c>
      <c r="E82">
        <v>2.5624431067390989</v>
      </c>
      <c r="F82">
        <v>8511.4191514451413</v>
      </c>
      <c r="G82">
        <v>14.544</v>
      </c>
      <c r="H82">
        <v>24.4</v>
      </c>
      <c r="I82">
        <v>146725</v>
      </c>
      <c r="J82">
        <v>1.8468E-5</v>
      </c>
      <c r="K82">
        <v>1007</v>
      </c>
      <c r="L82">
        <v>9.4339161000000001E-3</v>
      </c>
      <c r="M82">
        <v>1.718</v>
      </c>
      <c r="N82">
        <v>18.877956825804819</v>
      </c>
      <c r="O82">
        <v>470.12870930232549</v>
      </c>
      <c r="P82">
        <v>470</v>
      </c>
      <c r="Q82">
        <v>0.8</v>
      </c>
      <c r="R82">
        <v>47.27</v>
      </c>
      <c r="S82">
        <v>0.8</v>
      </c>
      <c r="T82">
        <v>47.48</v>
      </c>
      <c r="U82">
        <v>37.816000000000003</v>
      </c>
      <c r="V82">
        <v>37.984000000000002</v>
      </c>
      <c r="W82">
        <v>75.800000000000011</v>
      </c>
      <c r="X82">
        <v>34.546542634146348</v>
      </c>
      <c r="Y82">
        <v>10527.777777777779</v>
      </c>
      <c r="Z82">
        <v>147.4104631615611</v>
      </c>
      <c r="AA82">
        <v>10380.36731461622</v>
      </c>
      <c r="AB82">
        <v>9.4339160999999997E-4</v>
      </c>
      <c r="AC82">
        <v>24.887487804878042</v>
      </c>
      <c r="AD82">
        <v>298.03748780487803</v>
      </c>
      <c r="AE82">
        <v>297.87891999999999</v>
      </c>
      <c r="AF82">
        <v>305.66408000000001</v>
      </c>
      <c r="AG82">
        <v>304.23329000000001</v>
      </c>
      <c r="AH82">
        <v>308.40447</v>
      </c>
      <c r="AI82">
        <v>308.35658000000001</v>
      </c>
      <c r="AJ82">
        <v>23022.317999999999</v>
      </c>
      <c r="AK82">
        <v>2.7139078000000001E-3</v>
      </c>
      <c r="AL82">
        <v>3.0292585000000002E-4</v>
      </c>
      <c r="AM82">
        <v>3.02925E-4</v>
      </c>
      <c r="AN82">
        <v>699.46246022622222</v>
      </c>
      <c r="AO82">
        <v>68.935875370363632</v>
      </c>
      <c r="AP82">
        <v>45884.828943089429</v>
      </c>
      <c r="AQ82">
        <v>470</v>
      </c>
      <c r="AR82">
        <v>45414.828943089429</v>
      </c>
      <c r="AS82">
        <v>1.9930586026606629</v>
      </c>
      <c r="AT82">
        <v>5.3658355315395552</v>
      </c>
      <c r="AU82">
        <v>3.079989595103704</v>
      </c>
      <c r="AV82">
        <v>26068.111813333329</v>
      </c>
      <c r="AW82">
        <v>648.64659653465344</v>
      </c>
      <c r="AZ82">
        <f t="shared" si="5"/>
        <v>73.487343139495835</v>
      </c>
      <c r="BA82">
        <f t="shared" si="6"/>
        <v>-6.6024660522247217E-2</v>
      </c>
      <c r="BB82">
        <f t="shared" si="7"/>
        <v>73.660602579343873</v>
      </c>
      <c r="BC82">
        <f t="shared" si="8"/>
        <v>-6.8538002652410765E-2</v>
      </c>
      <c r="BD82">
        <v>0.80700000000000005</v>
      </c>
      <c r="BF82">
        <v>0.72</v>
      </c>
    </row>
    <row r="83" spans="1:58" x14ac:dyDescent="0.25">
      <c r="A83" t="s">
        <v>57</v>
      </c>
      <c r="B83">
        <v>6</v>
      </c>
      <c r="C83">
        <v>0.3</v>
      </c>
      <c r="D83">
        <v>5000</v>
      </c>
      <c r="E83">
        <v>2.5624431067390989</v>
      </c>
      <c r="F83">
        <v>9452.5962423520486</v>
      </c>
      <c r="G83">
        <v>14.544</v>
      </c>
      <c r="H83">
        <v>24.4</v>
      </c>
      <c r="I83">
        <v>155125</v>
      </c>
      <c r="J83">
        <v>1.8468999999999999E-5</v>
      </c>
      <c r="K83">
        <v>1007</v>
      </c>
      <c r="L83">
        <v>1.0482696583333329E-2</v>
      </c>
      <c r="M83">
        <v>1.8169999999999999</v>
      </c>
      <c r="N83">
        <v>19.833722230345401</v>
      </c>
      <c r="O83">
        <v>522.39351744186047</v>
      </c>
      <c r="P83">
        <v>522</v>
      </c>
      <c r="Q83">
        <v>0.8</v>
      </c>
      <c r="R83">
        <v>47.98</v>
      </c>
      <c r="S83">
        <v>0.8</v>
      </c>
      <c r="T83">
        <v>47.96</v>
      </c>
      <c r="U83">
        <v>38.384</v>
      </c>
      <c r="V83">
        <v>38.368000000000002</v>
      </c>
      <c r="W83">
        <v>76.75200000000001</v>
      </c>
      <c r="X83">
        <v>33.916451465927118</v>
      </c>
      <c r="Y83">
        <v>10660</v>
      </c>
      <c r="Z83">
        <v>133.98133009330471</v>
      </c>
      <c r="AA83">
        <v>10526.0186699067</v>
      </c>
      <c r="AB83">
        <v>1.0482696583333331E-3</v>
      </c>
      <c r="AC83">
        <v>24.83469294770207</v>
      </c>
      <c r="AD83">
        <v>297.98469294770211</v>
      </c>
      <c r="AE83">
        <v>297.79230000000001</v>
      </c>
      <c r="AF83">
        <v>304.80813999999998</v>
      </c>
      <c r="AG83">
        <v>303.58044999999998</v>
      </c>
      <c r="AH83">
        <v>307.72636999999997</v>
      </c>
      <c r="AI83">
        <v>307.78766000000002</v>
      </c>
      <c r="AJ83">
        <v>26655.171999999999</v>
      </c>
      <c r="AK83">
        <v>2.7139078000000001E-3</v>
      </c>
      <c r="AL83">
        <v>3.0292585000000002E-4</v>
      </c>
      <c r="AM83">
        <v>3.02925E-4</v>
      </c>
      <c r="AN83">
        <v>750.35562904936376</v>
      </c>
      <c r="AO83">
        <v>73.951677279247036</v>
      </c>
      <c r="AP83">
        <v>53771.330229793974</v>
      </c>
      <c r="AQ83">
        <v>522</v>
      </c>
      <c r="AR83">
        <v>53249.330229793974</v>
      </c>
      <c r="AS83">
        <v>2.01729443838494</v>
      </c>
      <c r="AT83">
        <v>5.2689127940344402</v>
      </c>
      <c r="AU83">
        <v>3.024355943775769</v>
      </c>
      <c r="AV83">
        <v>30565.115551901741</v>
      </c>
      <c r="AW83">
        <v>720.75746585075171</v>
      </c>
      <c r="AZ83">
        <f t="shared" si="5"/>
        <v>80.180307618851117</v>
      </c>
      <c r="BA83">
        <f t="shared" si="6"/>
        <v>-8.4225680454606988E-2</v>
      </c>
      <c r="BB83">
        <f t="shared" si="7"/>
        <v>80.381117951567603</v>
      </c>
      <c r="BC83">
        <f t="shared" si="8"/>
        <v>-8.6941106799275428E-2</v>
      </c>
      <c r="BD83">
        <v>0.80700000000000005</v>
      </c>
      <c r="BF83">
        <v>0.72</v>
      </c>
    </row>
    <row r="84" spans="1:58" x14ac:dyDescent="0.25">
      <c r="A84" t="s">
        <v>58</v>
      </c>
    </row>
    <row r="85" spans="1:58" x14ac:dyDescent="0.25">
      <c r="A85" t="s">
        <v>59</v>
      </c>
      <c r="B85">
        <v>6</v>
      </c>
      <c r="C85">
        <v>0.4</v>
      </c>
      <c r="D85">
        <v>400</v>
      </c>
      <c r="E85">
        <v>2.3948210432323829</v>
      </c>
      <c r="F85">
        <v>743.93566743827148</v>
      </c>
      <c r="G85">
        <v>13.41</v>
      </c>
      <c r="H85">
        <v>23.8</v>
      </c>
      <c r="I85">
        <v>102025</v>
      </c>
      <c r="J85">
        <v>1.8431999999999999E-5</v>
      </c>
      <c r="K85">
        <v>1007</v>
      </c>
      <c r="L85">
        <v>8.2569216000000006E-4</v>
      </c>
      <c r="M85">
        <v>1.1970000000000001</v>
      </c>
      <c r="N85">
        <v>2.5719660822451349</v>
      </c>
      <c r="O85">
        <v>41.147449833887038</v>
      </c>
      <c r="P85">
        <v>41</v>
      </c>
      <c r="Q85">
        <v>0.5</v>
      </c>
      <c r="R85">
        <v>29.23</v>
      </c>
      <c r="S85">
        <v>0.5</v>
      </c>
      <c r="T85">
        <v>30.04</v>
      </c>
      <c r="U85">
        <v>14.615</v>
      </c>
      <c r="V85">
        <v>15.02</v>
      </c>
      <c r="W85">
        <v>29.635000000000002</v>
      </c>
      <c r="X85">
        <v>46.104506198347103</v>
      </c>
      <c r="Y85">
        <v>4115.9722222222217</v>
      </c>
      <c r="Z85">
        <v>393.74534060537161</v>
      </c>
      <c r="AA85">
        <v>3722.2268816168498</v>
      </c>
      <c r="AB85">
        <v>8.2569216000000006E-5</v>
      </c>
      <c r="AC85">
        <v>24.30290195341852</v>
      </c>
      <c r="AD85">
        <v>297.45290195341852</v>
      </c>
      <c r="AE85">
        <v>297.44817999999998</v>
      </c>
      <c r="AF85">
        <v>329.65915000000001</v>
      </c>
      <c r="AG85">
        <v>321.09242999999998</v>
      </c>
      <c r="AH85">
        <v>322.73309999999998</v>
      </c>
      <c r="AI85">
        <v>322.70807000000002</v>
      </c>
      <c r="AJ85">
        <v>296.50567000000001</v>
      </c>
      <c r="AK85">
        <v>2.6787965E-3</v>
      </c>
      <c r="AL85">
        <v>2.8383135000000002E-4</v>
      </c>
      <c r="AM85">
        <v>2.8382424999999999E-4</v>
      </c>
      <c r="AN85">
        <v>105.51829556019401</v>
      </c>
      <c r="AO85">
        <v>9.7191321020602626</v>
      </c>
      <c r="AP85">
        <v>766.22276483846701</v>
      </c>
      <c r="AQ85">
        <v>42</v>
      </c>
      <c r="AR85">
        <v>724.22276483846701</v>
      </c>
      <c r="AS85">
        <v>2.5841757590621022</v>
      </c>
      <c r="AT85">
        <v>7.2860368294038951</v>
      </c>
      <c r="AU85">
        <v>3.854313482754661</v>
      </c>
      <c r="AV85">
        <v>383.11384259954912</v>
      </c>
      <c r="AW85">
        <v>61.572868008948547</v>
      </c>
      <c r="AZ85">
        <f t="shared" si="5"/>
        <v>9.7713354043923282</v>
      </c>
      <c r="BA85">
        <f t="shared" si="6"/>
        <v>-5.3711897095214444E-3</v>
      </c>
      <c r="BB85">
        <f t="shared" si="7"/>
        <v>10.086416463690037</v>
      </c>
      <c r="BC85">
        <f t="shared" si="8"/>
        <v>-3.7789831208479792E-2</v>
      </c>
      <c r="BD85">
        <v>0.745</v>
      </c>
      <c r="BF85">
        <v>0.72</v>
      </c>
    </row>
    <row r="86" spans="1:58" x14ac:dyDescent="0.25">
      <c r="A86" t="s">
        <v>59</v>
      </c>
      <c r="B86">
        <v>6</v>
      </c>
      <c r="C86">
        <v>0.4</v>
      </c>
      <c r="D86">
        <v>600</v>
      </c>
      <c r="E86">
        <v>2.3948210432323829</v>
      </c>
      <c r="F86">
        <v>1124.975887345679</v>
      </c>
      <c r="G86">
        <v>13.41</v>
      </c>
      <c r="H86">
        <v>23.8</v>
      </c>
      <c r="I86">
        <v>102825</v>
      </c>
      <c r="J86">
        <v>1.8431999999999999E-5</v>
      </c>
      <c r="K86">
        <v>1007</v>
      </c>
      <c r="L86">
        <v>1.2385382400000001E-3</v>
      </c>
      <c r="M86">
        <v>1.206</v>
      </c>
      <c r="N86">
        <v>3.829158458267945</v>
      </c>
      <c r="O86">
        <v>61.721174750830571</v>
      </c>
      <c r="P86">
        <v>62</v>
      </c>
      <c r="Q86">
        <v>0.5</v>
      </c>
      <c r="R86">
        <v>29.56</v>
      </c>
      <c r="S86">
        <v>0.5</v>
      </c>
      <c r="T86">
        <v>29.68</v>
      </c>
      <c r="U86">
        <v>14.78</v>
      </c>
      <c r="V86">
        <v>14.84</v>
      </c>
      <c r="W86">
        <v>29.62</v>
      </c>
      <c r="X86">
        <v>39.886186311787078</v>
      </c>
      <c r="Y86">
        <v>4113.8888888888887</v>
      </c>
      <c r="Z86">
        <v>261.21428886311799</v>
      </c>
      <c r="AA86">
        <v>3852.6746000257708</v>
      </c>
      <c r="AB86">
        <v>1.2385382400000001E-4</v>
      </c>
      <c r="AC86">
        <v>24.342135614702169</v>
      </c>
      <c r="AD86">
        <v>297.49213561470208</v>
      </c>
      <c r="AE86">
        <v>297.48586999999998</v>
      </c>
      <c r="AF86">
        <v>319.69466999999997</v>
      </c>
      <c r="AG86">
        <v>313.69481999999999</v>
      </c>
      <c r="AH86">
        <v>315.31473999999997</v>
      </c>
      <c r="AI86">
        <v>315.31178</v>
      </c>
      <c r="AJ86">
        <v>605.51850999999999</v>
      </c>
      <c r="AK86">
        <v>2.6787965E-3</v>
      </c>
      <c r="AL86">
        <v>2.8383135000000002E-4</v>
      </c>
      <c r="AM86">
        <v>2.8382424999999999E-4</v>
      </c>
      <c r="AN86">
        <v>158.5971004640987</v>
      </c>
      <c r="AO86">
        <v>14.608141291810149</v>
      </c>
      <c r="AP86">
        <v>1659.45832578912</v>
      </c>
      <c r="AQ86">
        <v>63</v>
      </c>
      <c r="AR86">
        <v>1596.45832578912</v>
      </c>
      <c r="AS86">
        <v>2.740557552549665</v>
      </c>
      <c r="AT86">
        <v>7.1651830049401459</v>
      </c>
      <c r="AU86">
        <v>3.7903818096133368</v>
      </c>
      <c r="AV86">
        <v>844.52645434244448</v>
      </c>
      <c r="AW86">
        <v>92.35930201342282</v>
      </c>
      <c r="AZ86">
        <f t="shared" si="5"/>
        <v>13.665773535331363</v>
      </c>
      <c r="BA86">
        <f t="shared" si="6"/>
        <v>6.4509764634266761E-2</v>
      </c>
      <c r="BB86">
        <f t="shared" si="7"/>
        <v>14.114385062352222</v>
      </c>
      <c r="BC86">
        <f t="shared" si="8"/>
        <v>3.3800072137496723E-2</v>
      </c>
      <c r="BD86">
        <v>0.745</v>
      </c>
      <c r="BF86">
        <v>0.72</v>
      </c>
    </row>
    <row r="87" spans="1:58" x14ac:dyDescent="0.25">
      <c r="A87" t="s">
        <v>59</v>
      </c>
      <c r="B87">
        <v>6</v>
      </c>
      <c r="C87">
        <v>0.4</v>
      </c>
      <c r="D87">
        <v>800</v>
      </c>
      <c r="E87">
        <v>2.3948210432323829</v>
      </c>
      <c r="F87">
        <v>1487.467833402638</v>
      </c>
      <c r="G87">
        <v>13.41</v>
      </c>
      <c r="H87">
        <v>23.9</v>
      </c>
      <c r="I87">
        <v>103955</v>
      </c>
      <c r="J87">
        <v>1.8437E-5</v>
      </c>
      <c r="K87">
        <v>1007</v>
      </c>
      <c r="L87">
        <v>1.651832286666667E-3</v>
      </c>
      <c r="M87">
        <v>1.2190000000000001</v>
      </c>
      <c r="N87">
        <v>5.052466834976979</v>
      </c>
      <c r="O87">
        <v>82.317223588039866</v>
      </c>
      <c r="P87">
        <v>82</v>
      </c>
      <c r="Q87">
        <v>0.5</v>
      </c>
      <c r="R87">
        <v>29.56</v>
      </c>
      <c r="S87">
        <v>0.5</v>
      </c>
      <c r="T87">
        <v>29.68</v>
      </c>
      <c r="U87">
        <v>14.78</v>
      </c>
      <c r="V87">
        <v>14.84</v>
      </c>
      <c r="W87">
        <v>29.62</v>
      </c>
      <c r="X87">
        <v>36.78920462868026</v>
      </c>
      <c r="Y87">
        <v>4113.8888888888887</v>
      </c>
      <c r="Z87">
        <v>195.20831825106231</v>
      </c>
      <c r="AA87">
        <v>3918.6805706378259</v>
      </c>
      <c r="AB87">
        <v>1.6518322866666669E-4</v>
      </c>
      <c r="AC87">
        <v>24.408243738098712</v>
      </c>
      <c r="AD87">
        <v>297.55824373809872</v>
      </c>
      <c r="AE87">
        <v>297.55273</v>
      </c>
      <c r="AF87">
        <v>314.54061000000002</v>
      </c>
      <c r="AG87">
        <v>310.09282000000002</v>
      </c>
      <c r="AH87">
        <v>311.67883999999998</v>
      </c>
      <c r="AI87">
        <v>311.68594999999999</v>
      </c>
      <c r="AJ87">
        <v>1023.7192</v>
      </c>
      <c r="AK87">
        <v>2.6787965E-3</v>
      </c>
      <c r="AL87">
        <v>2.8383135000000002E-4</v>
      </c>
      <c r="AM87">
        <v>2.8382424999999999E-4</v>
      </c>
      <c r="AN87">
        <v>200.98713414934431</v>
      </c>
      <c r="AO87">
        <v>18.51262377999306</v>
      </c>
      <c r="AP87">
        <v>2874.0276353693698</v>
      </c>
      <c r="AQ87">
        <v>84</v>
      </c>
      <c r="AR87">
        <v>2790.0276353693698</v>
      </c>
      <c r="AS87">
        <v>2.8074374646576619</v>
      </c>
      <c r="AT87">
        <v>7.0780426710543267</v>
      </c>
      <c r="AU87">
        <v>3.744284572987739</v>
      </c>
      <c r="AV87">
        <v>1475.9246191103971</v>
      </c>
      <c r="AW87">
        <v>123.1791414367388</v>
      </c>
      <c r="AZ87">
        <f t="shared" si="5"/>
        <v>17.337881736523823</v>
      </c>
      <c r="BA87">
        <f t="shared" si="6"/>
        <v>6.3456269485625424E-2</v>
      </c>
      <c r="BB87">
        <f t="shared" si="7"/>
        <v>17.914201015401265</v>
      </c>
      <c r="BC87">
        <f t="shared" si="8"/>
        <v>3.2325118886633572E-2</v>
      </c>
      <c r="BD87">
        <v>0.745</v>
      </c>
      <c r="BF87">
        <v>0.72</v>
      </c>
    </row>
    <row r="88" spans="1:58" x14ac:dyDescent="0.25">
      <c r="A88" t="s">
        <v>59</v>
      </c>
      <c r="B88">
        <v>6</v>
      </c>
      <c r="C88">
        <v>0.4</v>
      </c>
      <c r="D88">
        <v>1000</v>
      </c>
      <c r="E88">
        <v>2.3948210432323829</v>
      </c>
      <c r="F88">
        <v>1867.8981551771919</v>
      </c>
      <c r="G88">
        <v>13.41</v>
      </c>
      <c r="H88">
        <v>24</v>
      </c>
      <c r="I88">
        <v>105925</v>
      </c>
      <c r="J88">
        <v>1.8442000000000001E-5</v>
      </c>
      <c r="K88">
        <v>1007</v>
      </c>
      <c r="L88">
        <v>2.0653503166666669E-3</v>
      </c>
      <c r="M88">
        <v>1.242</v>
      </c>
      <c r="N88">
        <v>6.2003093224426546</v>
      </c>
      <c r="O88">
        <v>102.9244343853821</v>
      </c>
      <c r="P88">
        <v>103</v>
      </c>
      <c r="Q88">
        <v>0.5</v>
      </c>
      <c r="R88">
        <v>29.56</v>
      </c>
      <c r="S88">
        <v>0.5</v>
      </c>
      <c r="T88">
        <v>29.68</v>
      </c>
      <c r="U88">
        <v>14.78</v>
      </c>
      <c r="V88">
        <v>14.84</v>
      </c>
      <c r="W88">
        <v>29.62</v>
      </c>
      <c r="X88">
        <v>34.640510317322693</v>
      </c>
      <c r="Y88">
        <v>4113.8888888888887</v>
      </c>
      <c r="Z88">
        <v>149.4131963930985</v>
      </c>
      <c r="AA88">
        <v>3964.4756924957901</v>
      </c>
      <c r="AB88">
        <v>2.065350316666667E-4</v>
      </c>
      <c r="AC88">
        <v>24.46756719264781</v>
      </c>
      <c r="AD88">
        <v>297.61756719264781</v>
      </c>
      <c r="AE88">
        <v>297.60867000000002</v>
      </c>
      <c r="AF88">
        <v>311.31670000000003</v>
      </c>
      <c r="AG88">
        <v>307.87157000000002</v>
      </c>
      <c r="AH88">
        <v>309.43139000000002</v>
      </c>
      <c r="AI88">
        <v>309.43813999999998</v>
      </c>
      <c r="AJ88">
        <v>1550.153</v>
      </c>
      <c r="AK88">
        <v>2.6787965E-3</v>
      </c>
      <c r="AL88">
        <v>2.8383135000000002E-4</v>
      </c>
      <c r="AM88">
        <v>2.8382424999999999E-4</v>
      </c>
      <c r="AN88">
        <v>238.78111844004351</v>
      </c>
      <c r="AO88">
        <v>21.993771044876169</v>
      </c>
      <c r="AP88">
        <v>4340.90110398243</v>
      </c>
      <c r="AQ88">
        <v>104</v>
      </c>
      <c r="AR88">
        <v>4236.90110398243</v>
      </c>
      <c r="AS88">
        <v>2.8003049402106952</v>
      </c>
      <c r="AT88">
        <v>6.9409803035965556</v>
      </c>
      <c r="AU88">
        <v>3.6717785806025791</v>
      </c>
      <c r="AV88">
        <v>2241.320684006706</v>
      </c>
      <c r="AW88">
        <v>154.0156835694755</v>
      </c>
      <c r="AZ88">
        <f t="shared" si="5"/>
        <v>20.853055064140698</v>
      </c>
      <c r="BA88">
        <f t="shared" si="6"/>
        <v>5.1865411275217453E-2</v>
      </c>
      <c r="BB88">
        <f t="shared" si="7"/>
        <v>21.552904362337873</v>
      </c>
      <c r="BC88">
        <f t="shared" si="8"/>
        <v>2.0045070108202449E-2</v>
      </c>
      <c r="BD88">
        <v>0.745</v>
      </c>
      <c r="BF88">
        <v>0.72</v>
      </c>
    </row>
    <row r="89" spans="1:58" x14ac:dyDescent="0.25">
      <c r="A89" t="s">
        <v>59</v>
      </c>
      <c r="B89">
        <v>6</v>
      </c>
      <c r="C89">
        <v>0.4</v>
      </c>
      <c r="D89">
        <v>1200</v>
      </c>
      <c r="E89">
        <v>2.3948210432323829</v>
      </c>
      <c r="F89">
        <v>2248.6098308903711</v>
      </c>
      <c r="G89">
        <v>13.41</v>
      </c>
      <c r="H89">
        <v>24</v>
      </c>
      <c r="I89">
        <v>107625</v>
      </c>
      <c r="J89">
        <v>1.8442999999999999E-5</v>
      </c>
      <c r="K89">
        <v>1007</v>
      </c>
      <c r="L89">
        <v>2.47855477E-3</v>
      </c>
      <c r="M89">
        <v>1.264</v>
      </c>
      <c r="N89">
        <v>7.3112674805784454</v>
      </c>
      <c r="O89">
        <v>123.5160184385382</v>
      </c>
      <c r="P89">
        <v>124</v>
      </c>
      <c r="Q89">
        <v>0.5</v>
      </c>
      <c r="R89">
        <v>29.56</v>
      </c>
      <c r="S89">
        <v>0.5</v>
      </c>
      <c r="T89">
        <v>29.68</v>
      </c>
      <c r="U89">
        <v>14.78</v>
      </c>
      <c r="V89">
        <v>14.84</v>
      </c>
      <c r="W89">
        <v>29.62</v>
      </c>
      <c r="X89">
        <v>33.31915684774291</v>
      </c>
      <c r="Y89">
        <v>4113.8888888888887</v>
      </c>
      <c r="Z89">
        <v>121.25118989594471</v>
      </c>
      <c r="AA89">
        <v>3992.637698992944</v>
      </c>
      <c r="AB89">
        <v>2.4785547699999989E-4</v>
      </c>
      <c r="AC89">
        <v>24.501678462127021</v>
      </c>
      <c r="AD89">
        <v>297.65167846212699</v>
      </c>
      <c r="AE89">
        <v>297.63394</v>
      </c>
      <c r="AF89">
        <v>309.11117000000002</v>
      </c>
      <c r="AG89">
        <v>306.36268999999999</v>
      </c>
      <c r="AH89">
        <v>307.90814</v>
      </c>
      <c r="AI89">
        <v>307.88461000000001</v>
      </c>
      <c r="AJ89">
        <v>2176.6349</v>
      </c>
      <c r="AK89">
        <v>2.6787965E-3</v>
      </c>
      <c r="AL89">
        <v>2.8383135000000002E-4</v>
      </c>
      <c r="AM89">
        <v>2.8382424999999999E-4</v>
      </c>
      <c r="AN89">
        <v>271.76373648459798</v>
      </c>
      <c r="AO89">
        <v>25.031750573875978</v>
      </c>
      <c r="AP89">
        <v>6158.9116296863003</v>
      </c>
      <c r="AQ89">
        <v>125</v>
      </c>
      <c r="AR89">
        <v>6033.9116296863003</v>
      </c>
      <c r="AS89">
        <v>2.8295565920064498</v>
      </c>
      <c r="AT89">
        <v>6.9257949557419654</v>
      </c>
      <c r="AU89">
        <v>3.6637455315874998</v>
      </c>
      <c r="AV89">
        <v>3191.9392521040531</v>
      </c>
      <c r="AW89">
        <v>184.82884190902311</v>
      </c>
      <c r="AZ89">
        <f t="shared" si="5"/>
        <v>24.248022976182657</v>
      </c>
      <c r="BA89">
        <f t="shared" si="6"/>
        <v>3.1309340326810674E-2</v>
      </c>
      <c r="BB89">
        <f t="shared" si="7"/>
        <v>25.068162922478855</v>
      </c>
      <c r="BC89">
        <f t="shared" si="8"/>
        <v>-1.454646509656336E-3</v>
      </c>
      <c r="BD89">
        <v>0.745</v>
      </c>
      <c r="BF89">
        <v>0.72</v>
      </c>
    </row>
    <row r="90" spans="1:58" x14ac:dyDescent="0.25">
      <c r="A90" t="s">
        <v>59</v>
      </c>
      <c r="B90">
        <v>6</v>
      </c>
      <c r="C90">
        <v>0.4</v>
      </c>
      <c r="D90">
        <v>1400</v>
      </c>
      <c r="E90">
        <v>2.3948210432323829</v>
      </c>
      <c r="F90">
        <v>2611.2888358726882</v>
      </c>
      <c r="G90">
        <v>13.41</v>
      </c>
      <c r="H90">
        <v>24</v>
      </c>
      <c r="I90">
        <v>109625</v>
      </c>
      <c r="J90">
        <v>1.8442999999999999E-5</v>
      </c>
      <c r="K90">
        <v>1007</v>
      </c>
      <c r="L90">
        <v>2.8916472316666661E-3</v>
      </c>
      <c r="M90">
        <v>1.2849999999999999</v>
      </c>
      <c r="N90">
        <v>8.3904143538467029</v>
      </c>
      <c r="O90">
        <v>144.1020215116279</v>
      </c>
      <c r="P90">
        <v>144</v>
      </c>
      <c r="Q90">
        <v>0.5</v>
      </c>
      <c r="R90">
        <v>29.56</v>
      </c>
      <c r="S90">
        <v>0.5</v>
      </c>
      <c r="T90">
        <v>29.68</v>
      </c>
      <c r="U90">
        <v>14.78</v>
      </c>
      <c r="V90">
        <v>14.84</v>
      </c>
      <c r="W90">
        <v>29.62</v>
      </c>
      <c r="X90">
        <v>32.393721093750003</v>
      </c>
      <c r="Y90">
        <v>4113.8888888888887</v>
      </c>
      <c r="Z90">
        <v>101.5273776710936</v>
      </c>
      <c r="AA90">
        <v>4012.3615112177949</v>
      </c>
      <c r="AB90">
        <v>2.8916472316666659E-4</v>
      </c>
      <c r="AC90">
        <v>24.52210742187502</v>
      </c>
      <c r="AD90">
        <v>297.67210742187501</v>
      </c>
      <c r="AE90">
        <v>297.64852999999999</v>
      </c>
      <c r="AF90">
        <v>307.60777000000002</v>
      </c>
      <c r="AG90">
        <v>305.27301</v>
      </c>
      <c r="AH90">
        <v>306.80903999999998</v>
      </c>
      <c r="AI90">
        <v>306.75709999999998</v>
      </c>
      <c r="AJ90">
        <v>2971.7347</v>
      </c>
      <c r="AK90">
        <v>2.6787965E-3</v>
      </c>
      <c r="AL90">
        <v>2.8383135000000002E-4</v>
      </c>
      <c r="AM90">
        <v>2.8382424999999999E-4</v>
      </c>
      <c r="AN90">
        <v>305.91073375445711</v>
      </c>
      <c r="AO90">
        <v>28.176979328685881</v>
      </c>
      <c r="AP90">
        <v>8285.6038411458339</v>
      </c>
      <c r="AQ90">
        <v>146</v>
      </c>
      <c r="AR90">
        <v>8139.6038411458339</v>
      </c>
      <c r="AS90">
        <v>2.788137124470039</v>
      </c>
      <c r="AT90">
        <v>6.9227399412923099</v>
      </c>
      <c r="AU90">
        <v>3.6621294289436319</v>
      </c>
      <c r="AV90">
        <v>4305.8504319661461</v>
      </c>
      <c r="AW90">
        <v>215.63364889386031</v>
      </c>
      <c r="AZ90">
        <f t="shared" si="5"/>
        <v>27.546182086013967</v>
      </c>
      <c r="BA90">
        <f t="shared" si="6"/>
        <v>2.2386971836605776E-2</v>
      </c>
      <c r="BB90">
        <f t="shared" si="7"/>
        <v>28.483978133090908</v>
      </c>
      <c r="BC90">
        <f t="shared" si="8"/>
        <v>-1.0895376712452736E-2</v>
      </c>
      <c r="BD90">
        <v>0.745</v>
      </c>
      <c r="BF90">
        <v>0.72</v>
      </c>
    </row>
    <row r="91" spans="1:58" x14ac:dyDescent="0.25">
      <c r="A91" t="s">
        <v>59</v>
      </c>
      <c r="B91">
        <v>6</v>
      </c>
      <c r="C91">
        <v>0.4</v>
      </c>
      <c r="D91">
        <v>1600</v>
      </c>
      <c r="E91">
        <v>2.3948210432323829</v>
      </c>
      <c r="F91">
        <v>2992.1017911041231</v>
      </c>
      <c r="G91">
        <v>13.41</v>
      </c>
      <c r="H91">
        <v>24</v>
      </c>
      <c r="I91">
        <v>111925</v>
      </c>
      <c r="J91">
        <v>1.8442999999999999E-5</v>
      </c>
      <c r="K91">
        <v>1007</v>
      </c>
      <c r="L91">
        <v>3.304739693333334E-3</v>
      </c>
      <c r="M91">
        <v>1.3120000000000001</v>
      </c>
      <c r="N91">
        <v>9.3917094465967033</v>
      </c>
      <c r="O91">
        <v>164.6880245847176</v>
      </c>
      <c r="P91">
        <v>165</v>
      </c>
      <c r="Q91">
        <v>0.6</v>
      </c>
      <c r="R91">
        <v>35.049999999999997</v>
      </c>
      <c r="S91">
        <v>0.6</v>
      </c>
      <c r="T91">
        <v>35.979999999999997</v>
      </c>
      <c r="U91">
        <v>21.03</v>
      </c>
      <c r="V91">
        <v>21.588000000000001</v>
      </c>
      <c r="W91">
        <v>42.617999999999988</v>
      </c>
      <c r="X91">
        <v>34.791952608446387</v>
      </c>
      <c r="Y91">
        <v>5919.1666666666661</v>
      </c>
      <c r="Z91">
        <v>152.64088594381781</v>
      </c>
      <c r="AA91">
        <v>5766.5257807228481</v>
      </c>
      <c r="AB91">
        <v>3.3047396933333329E-4</v>
      </c>
      <c r="AC91">
        <v>24.528124402828251</v>
      </c>
      <c r="AD91">
        <v>297.67812440282819</v>
      </c>
      <c r="AE91">
        <v>297.6524</v>
      </c>
      <c r="AF91">
        <v>310.11685999999997</v>
      </c>
      <c r="AG91">
        <v>307.35861999999997</v>
      </c>
      <c r="AH91">
        <v>309.47269999999997</v>
      </c>
      <c r="AI91">
        <v>309.45396</v>
      </c>
      <c r="AJ91">
        <v>3765.7516999999998</v>
      </c>
      <c r="AK91">
        <v>2.6787965E-3</v>
      </c>
      <c r="AL91">
        <v>2.8383135000000002E-4</v>
      </c>
      <c r="AM91">
        <v>2.8382424999999999E-4</v>
      </c>
      <c r="AN91">
        <v>332.87375191810241</v>
      </c>
      <c r="AO91">
        <v>30.660502532045669</v>
      </c>
      <c r="AP91">
        <v>10598.929231161221</v>
      </c>
      <c r="AQ91">
        <v>167</v>
      </c>
      <c r="AR91">
        <v>10431.929231161221</v>
      </c>
      <c r="AS91">
        <v>2.8145587058119692</v>
      </c>
      <c r="AT91">
        <v>6.8669487383987127</v>
      </c>
      <c r="AU91">
        <v>3.6326158826129191</v>
      </c>
      <c r="AV91">
        <v>5518.4905632842856</v>
      </c>
      <c r="AW91">
        <v>246.43845587869751</v>
      </c>
      <c r="AZ91">
        <f t="shared" si="5"/>
        <v>30.763670539296221</v>
      </c>
      <c r="BA91">
        <f t="shared" si="6"/>
        <v>-3.3648504991959419E-3</v>
      </c>
      <c r="BB91">
        <f t="shared" si="7"/>
        <v>31.816909323095526</v>
      </c>
      <c r="BC91">
        <f t="shared" si="8"/>
        <v>-3.7716498281174834E-2</v>
      </c>
      <c r="BD91">
        <v>0.745</v>
      </c>
      <c r="BF91">
        <v>0.72</v>
      </c>
    </row>
    <row r="92" spans="1:58" x14ac:dyDescent="0.25">
      <c r="A92" t="s">
        <v>59</v>
      </c>
      <c r="B92">
        <v>6</v>
      </c>
      <c r="C92">
        <v>0.4</v>
      </c>
      <c r="D92">
        <v>1800</v>
      </c>
      <c r="E92">
        <v>2.3948210432323829</v>
      </c>
      <c r="F92">
        <v>3354.5989059977342</v>
      </c>
      <c r="G92">
        <v>13.41</v>
      </c>
      <c r="H92">
        <v>24</v>
      </c>
      <c r="I92">
        <v>114325</v>
      </c>
      <c r="J92">
        <v>1.8444000000000002E-5</v>
      </c>
      <c r="K92">
        <v>1007</v>
      </c>
      <c r="L92">
        <v>3.7180337400000009E-3</v>
      </c>
      <c r="M92">
        <v>1.34</v>
      </c>
      <c r="N92">
        <v>10.34545877992587</v>
      </c>
      <c r="O92">
        <v>185.28407342192699</v>
      </c>
      <c r="P92">
        <v>185</v>
      </c>
      <c r="Q92">
        <v>0.6</v>
      </c>
      <c r="R92">
        <v>35.47</v>
      </c>
      <c r="S92">
        <v>0.6</v>
      </c>
      <c r="T92">
        <v>35.590000000000003</v>
      </c>
      <c r="U92">
        <v>21.282</v>
      </c>
      <c r="V92">
        <v>21.353999999999999</v>
      </c>
      <c r="W92">
        <v>42.636000000000003</v>
      </c>
      <c r="X92">
        <v>33.973155417233997</v>
      </c>
      <c r="Y92">
        <v>5921.666666666667</v>
      </c>
      <c r="Z92">
        <v>135.18986140750809</v>
      </c>
      <c r="AA92">
        <v>5786.4768052591589</v>
      </c>
      <c r="AB92">
        <v>3.7180337400000011E-4</v>
      </c>
      <c r="AC92">
        <v>24.521682552032729</v>
      </c>
      <c r="AD92">
        <v>297.67168255203268</v>
      </c>
      <c r="AE92">
        <v>297.63565</v>
      </c>
      <c r="AF92">
        <v>308.73849000000001</v>
      </c>
      <c r="AG92">
        <v>306.32146999999998</v>
      </c>
      <c r="AH92">
        <v>308.41836999999998</v>
      </c>
      <c r="AI92">
        <v>308.39524</v>
      </c>
      <c r="AJ92">
        <v>4815.0634</v>
      </c>
      <c r="AK92">
        <v>2.6787965E-3</v>
      </c>
      <c r="AL92">
        <v>2.8383135000000002E-4</v>
      </c>
      <c r="AM92">
        <v>2.8382424999999999E-4</v>
      </c>
      <c r="AN92">
        <v>366.76688003984572</v>
      </c>
      <c r="AO92">
        <v>33.782347780004223</v>
      </c>
      <c r="AP92">
        <v>12902.590935615641</v>
      </c>
      <c r="AQ92">
        <v>188</v>
      </c>
      <c r="AR92">
        <v>12714.590935615641</v>
      </c>
      <c r="AS92">
        <v>2.67963053936437</v>
      </c>
      <c r="AT92">
        <v>6.6861913718329031</v>
      </c>
      <c r="AU92">
        <v>3.5369952356996062</v>
      </c>
      <c r="AV92">
        <v>6726.018604940673</v>
      </c>
      <c r="AW92">
        <v>277.25829530201349</v>
      </c>
      <c r="AZ92">
        <f t="shared" si="5"/>
        <v>33.91225221099976</v>
      </c>
      <c r="BA92">
        <f t="shared" si="6"/>
        <v>-3.8453346061527488E-3</v>
      </c>
      <c r="BB92">
        <f t="shared" si="7"/>
        <v>35.079029858361054</v>
      </c>
      <c r="BC92">
        <f t="shared" si="8"/>
        <v>-3.8383421033997445E-2</v>
      </c>
      <c r="BD92">
        <v>0.745</v>
      </c>
      <c r="BF92">
        <v>0.72</v>
      </c>
    </row>
    <row r="93" spans="1:58" x14ac:dyDescent="0.25">
      <c r="A93" t="s">
        <v>59</v>
      </c>
      <c r="B93">
        <v>6</v>
      </c>
      <c r="C93">
        <v>0.4</v>
      </c>
      <c r="D93">
        <v>2000</v>
      </c>
      <c r="E93">
        <v>2.3948210432323829</v>
      </c>
      <c r="F93">
        <v>3735.3912142461249</v>
      </c>
      <c r="G93">
        <v>13.41</v>
      </c>
      <c r="H93">
        <v>24</v>
      </c>
      <c r="I93">
        <v>116725</v>
      </c>
      <c r="J93">
        <v>1.8444000000000002E-5</v>
      </c>
      <c r="K93">
        <v>1007</v>
      </c>
      <c r="L93">
        <v>4.1311486000000014E-3</v>
      </c>
      <c r="M93">
        <v>1.369</v>
      </c>
      <c r="N93">
        <v>11.25145261350595</v>
      </c>
      <c r="O93">
        <v>205.87119269102999</v>
      </c>
      <c r="P93">
        <v>206</v>
      </c>
      <c r="Q93">
        <v>0.6</v>
      </c>
      <c r="R93">
        <v>35.47</v>
      </c>
      <c r="S93">
        <v>0.6</v>
      </c>
      <c r="T93">
        <v>35.590000000000003</v>
      </c>
      <c r="U93">
        <v>21.282</v>
      </c>
      <c r="V93">
        <v>21.353999999999999</v>
      </c>
      <c r="W93">
        <v>42.636000000000003</v>
      </c>
      <c r="X93">
        <v>33.271693058161347</v>
      </c>
      <c r="Y93">
        <v>5921.666666666667</v>
      </c>
      <c r="Z93">
        <v>120.2395941485928</v>
      </c>
      <c r="AA93">
        <v>5801.4270725180741</v>
      </c>
      <c r="AB93">
        <v>4.1311486000000021E-4</v>
      </c>
      <c r="AC93">
        <v>24.505136960600399</v>
      </c>
      <c r="AD93">
        <v>297.65513696060037</v>
      </c>
      <c r="AE93">
        <v>297.61856</v>
      </c>
      <c r="AF93">
        <v>307.73334</v>
      </c>
      <c r="AG93">
        <v>305.54678000000001</v>
      </c>
      <c r="AH93">
        <v>307.61201999999997</v>
      </c>
      <c r="AI93">
        <v>307.62920000000003</v>
      </c>
      <c r="AJ93">
        <v>5956.1561000000002</v>
      </c>
      <c r="AK93">
        <v>2.6787965E-3</v>
      </c>
      <c r="AL93">
        <v>2.8383135000000002E-4</v>
      </c>
      <c r="AM93">
        <v>2.8382424999999999E-4</v>
      </c>
      <c r="AN93">
        <v>397.91699384209738</v>
      </c>
      <c r="AO93">
        <v>36.65153808895483</v>
      </c>
      <c r="AP93">
        <v>15433.024077548471</v>
      </c>
      <c r="AQ93">
        <v>209</v>
      </c>
      <c r="AR93">
        <v>15224.024077548471</v>
      </c>
      <c r="AS93">
        <v>2.591104702166632</v>
      </c>
      <c r="AT93">
        <v>6.558986978097999</v>
      </c>
      <c r="AU93">
        <v>3.4697041114138418</v>
      </c>
      <c r="AV93">
        <v>8053.5087370231386</v>
      </c>
      <c r="AW93">
        <v>308.06477255779282</v>
      </c>
      <c r="AZ93">
        <f t="shared" si="5"/>
        <v>37.000858898444015</v>
      </c>
      <c r="BA93">
        <f t="shared" si="6"/>
        <v>-9.5308635790773422E-3</v>
      </c>
      <c r="BB93">
        <f t="shared" si="7"/>
        <v>38.279508148663794</v>
      </c>
      <c r="BC93">
        <f t="shared" si="8"/>
        <v>-4.4417510003476858E-2</v>
      </c>
      <c r="BD93">
        <v>0.745</v>
      </c>
      <c r="BF93">
        <v>0.72</v>
      </c>
    </row>
    <row r="94" spans="1:58" x14ac:dyDescent="0.25">
      <c r="A94" t="s">
        <v>59</v>
      </c>
      <c r="B94">
        <v>6</v>
      </c>
      <c r="C94">
        <v>0.4</v>
      </c>
      <c r="D94">
        <v>2500</v>
      </c>
      <c r="E94">
        <v>2.3948210432323829</v>
      </c>
      <c r="F94">
        <v>4659.9198819312669</v>
      </c>
      <c r="G94">
        <v>13.41</v>
      </c>
      <c r="H94">
        <v>24</v>
      </c>
      <c r="I94">
        <v>123425</v>
      </c>
      <c r="J94">
        <v>1.8445E-5</v>
      </c>
      <c r="K94">
        <v>1007</v>
      </c>
      <c r="L94">
        <v>5.1642157291666669E-3</v>
      </c>
      <c r="M94">
        <v>1.4470000000000001</v>
      </c>
      <c r="N94">
        <v>13.306905462474671</v>
      </c>
      <c r="O94">
        <v>257.35294331395352</v>
      </c>
      <c r="P94">
        <v>257</v>
      </c>
      <c r="Q94">
        <v>0.6</v>
      </c>
      <c r="R94">
        <v>35.47</v>
      </c>
      <c r="S94">
        <v>0.6</v>
      </c>
      <c r="T94">
        <v>35.590000000000003</v>
      </c>
      <c r="U94">
        <v>21.282</v>
      </c>
      <c r="V94">
        <v>21.353999999999999</v>
      </c>
      <c r="W94">
        <v>42.636000000000003</v>
      </c>
      <c r="X94">
        <v>31.94772073767405</v>
      </c>
      <c r="Y94">
        <v>5921.666666666667</v>
      </c>
      <c r="Z94">
        <v>92.021772082046937</v>
      </c>
      <c r="AA94">
        <v>5829.6448945846196</v>
      </c>
      <c r="AB94">
        <v>5.1642157291666667E-4</v>
      </c>
      <c r="AC94">
        <v>24.474275498682729</v>
      </c>
      <c r="AD94">
        <v>297.62427549868272</v>
      </c>
      <c r="AE94">
        <v>297.55896000000001</v>
      </c>
      <c r="AF94">
        <v>305.63045</v>
      </c>
      <c r="AG94">
        <v>303.96006</v>
      </c>
      <c r="AH94">
        <v>306.00778000000003</v>
      </c>
      <c r="AI94">
        <v>305.9683</v>
      </c>
      <c r="AJ94">
        <v>9094.0755000000008</v>
      </c>
      <c r="AK94">
        <v>2.6787965E-3</v>
      </c>
      <c r="AL94">
        <v>2.8383135000000002E-4</v>
      </c>
      <c r="AM94">
        <v>2.8382424999999999E-4</v>
      </c>
      <c r="AN94">
        <v>475.33934088694002</v>
      </c>
      <c r="AO94">
        <v>43.782794470471352</v>
      </c>
      <c r="AP94">
        <v>22130.49617362941</v>
      </c>
      <c r="AQ94">
        <v>261</v>
      </c>
      <c r="AR94">
        <v>21869.49617362941</v>
      </c>
      <c r="AS94">
        <v>2.433506976451802</v>
      </c>
      <c r="AT94">
        <v>6.2131062164717719</v>
      </c>
      <c r="AU94">
        <v>3.2867331885135669</v>
      </c>
      <c r="AV94">
        <v>11568.96347584996</v>
      </c>
      <c r="AW94">
        <v>385.10184408401688</v>
      </c>
      <c r="AZ94">
        <f t="shared" si="5"/>
        <v>44.50260762849409</v>
      </c>
      <c r="BA94">
        <f t="shared" si="6"/>
        <v>-1.6440548547174288E-2</v>
      </c>
      <c r="BB94">
        <f t="shared" si="7"/>
        <v>46.054779526934091</v>
      </c>
      <c r="BC94">
        <f t="shared" si="8"/>
        <v>-5.1892189247880131E-2</v>
      </c>
      <c r="BD94">
        <v>0.745</v>
      </c>
      <c r="BF94">
        <v>0.72</v>
      </c>
    </row>
    <row r="95" spans="1:58" x14ac:dyDescent="0.25">
      <c r="A95" t="s">
        <v>59</v>
      </c>
      <c r="B95">
        <v>6</v>
      </c>
      <c r="C95">
        <v>0.4</v>
      </c>
      <c r="D95">
        <v>3000</v>
      </c>
      <c r="E95">
        <v>2.3948210432323829</v>
      </c>
      <c r="F95">
        <v>5603.9983370388454</v>
      </c>
      <c r="G95">
        <v>13.41</v>
      </c>
      <c r="H95">
        <v>23.9</v>
      </c>
      <c r="I95">
        <v>131325</v>
      </c>
      <c r="J95">
        <v>1.8440999999999998E-5</v>
      </c>
      <c r="K95">
        <v>1007</v>
      </c>
      <c r="L95">
        <v>6.1957149749999997E-3</v>
      </c>
      <c r="M95">
        <v>1.54</v>
      </c>
      <c r="N95">
        <v>15.000714176762839</v>
      </c>
      <c r="O95">
        <v>308.75656021594688</v>
      </c>
      <c r="P95">
        <v>309</v>
      </c>
      <c r="Q95">
        <v>0.7</v>
      </c>
      <c r="R95">
        <v>40.96</v>
      </c>
      <c r="S95">
        <v>0.7</v>
      </c>
      <c r="T95">
        <v>42</v>
      </c>
      <c r="U95">
        <v>28.672000000000001</v>
      </c>
      <c r="V95">
        <v>29.4</v>
      </c>
      <c r="W95">
        <v>58.072000000000003</v>
      </c>
      <c r="X95">
        <v>33.546002217294898</v>
      </c>
      <c r="Y95">
        <v>8065.5555555555557</v>
      </c>
      <c r="Z95">
        <v>126.08594525720621</v>
      </c>
      <c r="AA95">
        <v>7939.4696102983498</v>
      </c>
      <c r="AB95">
        <v>6.1957149749999993E-4</v>
      </c>
      <c r="AC95">
        <v>24.473563797621441</v>
      </c>
      <c r="AD95">
        <v>297.62356379762139</v>
      </c>
      <c r="AE95">
        <v>297.53836000000001</v>
      </c>
      <c r="AF95">
        <v>306.65463</v>
      </c>
      <c r="AG95">
        <v>304.87677000000002</v>
      </c>
      <c r="AH95">
        <v>307.60559999999998</v>
      </c>
      <c r="AI95">
        <v>307.55446000000001</v>
      </c>
      <c r="AJ95">
        <v>13390.714</v>
      </c>
      <c r="AK95">
        <v>2.6787965E-3</v>
      </c>
      <c r="AL95">
        <v>2.8383135000000002E-4</v>
      </c>
      <c r="AM95">
        <v>2.8382424999999999E-4</v>
      </c>
      <c r="AN95">
        <v>541.29925660995127</v>
      </c>
      <c r="AO95">
        <v>49.858263477521433</v>
      </c>
      <c r="AP95">
        <v>29788.59672109118</v>
      </c>
      <c r="AQ95">
        <v>314</v>
      </c>
      <c r="AR95">
        <v>29474.59672109118</v>
      </c>
      <c r="AS95">
        <v>2.2245712006911038</v>
      </c>
      <c r="AT95">
        <v>6.0226145366963983</v>
      </c>
      <c r="AU95">
        <v>3.185963089912395</v>
      </c>
      <c r="AV95">
        <v>15592.06166545723</v>
      </c>
      <c r="AW95">
        <v>462.02199664429531</v>
      </c>
      <c r="AZ95">
        <f t="shared" si="5"/>
        <v>51.747825388492174</v>
      </c>
      <c r="BA95">
        <f t="shared" si="6"/>
        <v>-3.7898670735346585E-2</v>
      </c>
      <c r="BB95">
        <f t="shared" si="7"/>
        <v>53.566271029228254</v>
      </c>
      <c r="BC95">
        <f t="shared" si="8"/>
        <v>-7.4370972694999177E-2</v>
      </c>
      <c r="BD95">
        <v>0.745</v>
      </c>
      <c r="BF95">
        <v>0.72</v>
      </c>
    </row>
    <row r="96" spans="1:58" x14ac:dyDescent="0.25">
      <c r="A96" t="s">
        <v>59</v>
      </c>
      <c r="B96">
        <v>6</v>
      </c>
      <c r="C96">
        <v>0.4</v>
      </c>
      <c r="D96">
        <v>3500</v>
      </c>
      <c r="E96">
        <v>2.3948210432323829</v>
      </c>
      <c r="F96">
        <v>6535.0172906329881</v>
      </c>
      <c r="G96">
        <v>13.41</v>
      </c>
      <c r="H96">
        <v>23.9</v>
      </c>
      <c r="I96">
        <v>139625</v>
      </c>
      <c r="J96">
        <v>1.8474999999999998E-5</v>
      </c>
      <c r="K96">
        <v>1007</v>
      </c>
      <c r="L96">
        <v>7.2416611458333341E-3</v>
      </c>
      <c r="M96">
        <v>1.548</v>
      </c>
      <c r="N96">
        <v>17.442489469063869</v>
      </c>
      <c r="O96">
        <v>360.88012354651158</v>
      </c>
      <c r="P96">
        <v>361</v>
      </c>
      <c r="Q96">
        <v>0.7</v>
      </c>
      <c r="R96">
        <v>40.96</v>
      </c>
      <c r="S96">
        <v>0.7</v>
      </c>
      <c r="T96">
        <v>42</v>
      </c>
      <c r="U96">
        <v>28.672000000000001</v>
      </c>
      <c r="V96">
        <v>29.4</v>
      </c>
      <c r="W96">
        <v>58.072000000000003</v>
      </c>
      <c r="X96">
        <v>32.542147023330642</v>
      </c>
      <c r="Y96">
        <v>8065.5555555555557</v>
      </c>
      <c r="Z96">
        <v>104.6907795082459</v>
      </c>
      <c r="AA96">
        <v>7960.8647760473104</v>
      </c>
      <c r="AB96">
        <v>7.2416611458333343E-4</v>
      </c>
      <c r="AC96">
        <v>24.434629927594489</v>
      </c>
      <c r="AD96">
        <v>297.58462992759439</v>
      </c>
      <c r="AE96">
        <v>297.47667999999999</v>
      </c>
      <c r="AF96">
        <v>305.33062999999999</v>
      </c>
      <c r="AG96">
        <v>303.67353000000003</v>
      </c>
      <c r="AH96">
        <v>306.26855999999998</v>
      </c>
      <c r="AI96">
        <v>306.30709999999999</v>
      </c>
      <c r="AJ96">
        <v>17725.572</v>
      </c>
      <c r="AK96">
        <v>2.6787965E-3</v>
      </c>
      <c r="AL96">
        <v>2.8383135000000002E-4</v>
      </c>
      <c r="AM96">
        <v>2.8382424999999999E-4</v>
      </c>
      <c r="AN96">
        <v>647.43954198951019</v>
      </c>
      <c r="AO96">
        <v>59.634686129892891</v>
      </c>
      <c r="AP96">
        <v>38513.50127379995</v>
      </c>
      <c r="AQ96">
        <v>366</v>
      </c>
      <c r="AR96">
        <v>38147.50127379995</v>
      </c>
      <c r="AS96">
        <v>2.1727649338368291</v>
      </c>
      <c r="AT96">
        <v>5.7224185870239141</v>
      </c>
      <c r="AU96">
        <v>3.027159432535651</v>
      </c>
      <c r="AV96">
        <v>20180.028173840179</v>
      </c>
      <c r="AW96">
        <v>540.01947396221726</v>
      </c>
      <c r="AZ96">
        <f t="shared" si="5"/>
        <v>58.786443006376231</v>
      </c>
      <c r="BA96">
        <f t="shared" si="6"/>
        <v>1.4223989066850542E-2</v>
      </c>
      <c r="BB96">
        <f t="shared" si="7"/>
        <v>60.865269520790392</v>
      </c>
      <c r="BC96">
        <f t="shared" si="8"/>
        <v>-2.063536291977983E-2</v>
      </c>
      <c r="BD96">
        <v>0.745</v>
      </c>
      <c r="BF96">
        <v>0.72</v>
      </c>
    </row>
    <row r="97" spans="1:58" x14ac:dyDescent="0.25">
      <c r="A97" t="s">
        <v>59</v>
      </c>
      <c r="B97">
        <v>6</v>
      </c>
      <c r="C97">
        <v>0.4</v>
      </c>
      <c r="D97">
        <v>4000</v>
      </c>
      <c r="E97">
        <v>2.3948210432323829</v>
      </c>
      <c r="F97">
        <v>7470.7824284922508</v>
      </c>
      <c r="G97">
        <v>13.41</v>
      </c>
      <c r="H97">
        <v>23.9</v>
      </c>
      <c r="I97">
        <v>148325</v>
      </c>
      <c r="J97">
        <v>1.8444000000000002E-5</v>
      </c>
      <c r="K97">
        <v>1007</v>
      </c>
      <c r="L97">
        <v>8.2622972000000027E-3</v>
      </c>
      <c r="M97">
        <v>1.74</v>
      </c>
      <c r="N97">
        <v>17.70487198608004</v>
      </c>
      <c r="O97">
        <v>411.74238538205992</v>
      </c>
      <c r="P97">
        <v>412</v>
      </c>
      <c r="Q97">
        <v>0.7</v>
      </c>
      <c r="R97">
        <v>40.96</v>
      </c>
      <c r="S97">
        <v>0.7</v>
      </c>
      <c r="T97">
        <v>42</v>
      </c>
      <c r="U97">
        <v>28.672000000000001</v>
      </c>
      <c r="V97">
        <v>29.4</v>
      </c>
      <c r="W97">
        <v>58.072000000000003</v>
      </c>
      <c r="X97">
        <v>31.76882380306261</v>
      </c>
      <c r="Y97">
        <v>8065.5555555555557</v>
      </c>
      <c r="Z97">
        <v>88.208941714673301</v>
      </c>
      <c r="AA97">
        <v>7977.3466138408821</v>
      </c>
      <c r="AB97">
        <v>8.2622972000000031E-4</v>
      </c>
      <c r="AC97">
        <v>24.403762357045888</v>
      </c>
      <c r="AD97">
        <v>297.55376235704591</v>
      </c>
      <c r="AE97">
        <v>297.42719</v>
      </c>
      <c r="AF97">
        <v>304.28163999999998</v>
      </c>
      <c r="AG97">
        <v>302.86248999999998</v>
      </c>
      <c r="AH97">
        <v>305.51357999999999</v>
      </c>
      <c r="AI97">
        <v>305.43275999999997</v>
      </c>
      <c r="AJ97">
        <v>23233.034</v>
      </c>
      <c r="AK97">
        <v>2.6787965E-3</v>
      </c>
      <c r="AL97">
        <v>2.8383135000000002E-4</v>
      </c>
      <c r="AM97">
        <v>2.8382424999999999E-4</v>
      </c>
      <c r="AN97">
        <v>717.8636815919856</v>
      </c>
      <c r="AO97">
        <v>66.121348109567634</v>
      </c>
      <c r="AP97">
        <v>47580.685533372103</v>
      </c>
      <c r="AQ97">
        <v>418</v>
      </c>
      <c r="AR97">
        <v>47162.685533372103</v>
      </c>
      <c r="AS97">
        <v>2.0479755478071482</v>
      </c>
      <c r="AT97">
        <v>5.8156763490252263</v>
      </c>
      <c r="AU97">
        <v>3.0764927886343449</v>
      </c>
      <c r="AV97">
        <v>24949.060647153841</v>
      </c>
      <c r="AW97">
        <v>616.12954511558553</v>
      </c>
      <c r="AZ97">
        <f t="shared" si="5"/>
        <v>65.652900978371747</v>
      </c>
      <c r="BA97">
        <f t="shared" si="6"/>
        <v>7.0846578992859932E-3</v>
      </c>
      <c r="BB97">
        <f t="shared" si="7"/>
        <v>67.987159385542455</v>
      </c>
      <c r="BC97">
        <f t="shared" si="8"/>
        <v>-2.8217986010857534E-2</v>
      </c>
      <c r="BD97">
        <v>0.745</v>
      </c>
      <c r="BF97">
        <v>0.72</v>
      </c>
    </row>
    <row r="98" spans="1:58" x14ac:dyDescent="0.25">
      <c r="A98" t="s">
        <v>59</v>
      </c>
      <c r="B98">
        <v>6</v>
      </c>
      <c r="C98">
        <v>0.4</v>
      </c>
      <c r="D98">
        <v>4500</v>
      </c>
      <c r="E98">
        <v>2.3948210432323829</v>
      </c>
      <c r="F98">
        <v>8395.1085810668337</v>
      </c>
      <c r="G98">
        <v>13.41</v>
      </c>
      <c r="H98">
        <v>23.9</v>
      </c>
      <c r="I98">
        <v>158325</v>
      </c>
      <c r="J98">
        <v>1.8445E-5</v>
      </c>
      <c r="K98">
        <v>1007</v>
      </c>
      <c r="L98">
        <v>9.295588312500002E-3</v>
      </c>
      <c r="M98">
        <v>1.857</v>
      </c>
      <c r="N98">
        <v>18.664063525881279</v>
      </c>
      <c r="O98">
        <v>463.23529796511639</v>
      </c>
      <c r="P98">
        <v>463</v>
      </c>
      <c r="Q98">
        <v>0.8</v>
      </c>
      <c r="R98">
        <v>46.83</v>
      </c>
      <c r="S98">
        <v>0.8</v>
      </c>
      <c r="T98">
        <v>48.08</v>
      </c>
      <c r="U98">
        <v>37.463999999999999</v>
      </c>
      <c r="V98">
        <v>38.463999999999999</v>
      </c>
      <c r="W98">
        <v>75.927999999999997</v>
      </c>
      <c r="X98">
        <v>33.410920685532098</v>
      </c>
      <c r="Y98">
        <v>10545.55555555556</v>
      </c>
      <c r="Z98">
        <v>123.2069525707456</v>
      </c>
      <c r="AA98">
        <v>10422.34860298481</v>
      </c>
      <c r="AB98">
        <v>9.2955883125000018E-4</v>
      </c>
      <c r="AC98">
        <v>24.362489039457952</v>
      </c>
      <c r="AD98">
        <v>297.51248903945788</v>
      </c>
      <c r="AE98">
        <v>297.36642000000001</v>
      </c>
      <c r="AF98">
        <v>305.16748000000001</v>
      </c>
      <c r="AG98">
        <v>303.71203000000003</v>
      </c>
      <c r="AH98">
        <v>307.07065</v>
      </c>
      <c r="AI98">
        <v>307.05076000000003</v>
      </c>
      <c r="AJ98">
        <v>28343.814999999999</v>
      </c>
      <c r="AK98">
        <v>2.6787965E-3</v>
      </c>
      <c r="AL98">
        <v>2.8383135000000002E-4</v>
      </c>
      <c r="AM98">
        <v>2.8382424999999999E-4</v>
      </c>
      <c r="AN98">
        <v>762.70936772302196</v>
      </c>
      <c r="AO98">
        <v>70.252017065136883</v>
      </c>
      <c r="AP98">
        <v>56869.083632257207</v>
      </c>
      <c r="AQ98">
        <v>470</v>
      </c>
      <c r="AR98">
        <v>56399.083632257207</v>
      </c>
      <c r="AS98">
        <v>2.006401877526268</v>
      </c>
      <c r="AT98">
        <v>5.7136689248464618</v>
      </c>
      <c r="AU98">
        <v>3.0225308612437778</v>
      </c>
      <c r="AV98">
        <v>29835.11524146406</v>
      </c>
      <c r="AW98">
        <v>693.18331935123058</v>
      </c>
      <c r="AZ98">
        <f t="shared" si="5"/>
        <v>72.372304648054794</v>
      </c>
      <c r="BA98">
        <f t="shared" si="6"/>
        <v>-3.0181163068271816E-2</v>
      </c>
      <c r="BB98">
        <f t="shared" si="7"/>
        <v>74.957739290516415</v>
      </c>
      <c r="BC98">
        <f t="shared" si="8"/>
        <v>-6.6983446482631784E-2</v>
      </c>
      <c r="BD98">
        <v>0.745</v>
      </c>
      <c r="BF98">
        <v>0.72</v>
      </c>
    </row>
    <row r="99" spans="1:58" x14ac:dyDescent="0.25">
      <c r="A99" t="s">
        <v>59</v>
      </c>
      <c r="B99">
        <v>6</v>
      </c>
      <c r="C99">
        <v>0.4</v>
      </c>
      <c r="D99">
        <v>5000</v>
      </c>
      <c r="E99">
        <v>2.3948210432323829</v>
      </c>
      <c r="F99">
        <v>9339.490775885959</v>
      </c>
      <c r="G99">
        <v>13.41</v>
      </c>
      <c r="H99">
        <v>23.8</v>
      </c>
      <c r="I99">
        <v>167425</v>
      </c>
      <c r="J99">
        <v>1.8442000000000001E-5</v>
      </c>
      <c r="K99">
        <v>1007</v>
      </c>
      <c r="L99">
        <v>1.032675158333333E-2</v>
      </c>
      <c r="M99">
        <v>1.9650000000000001</v>
      </c>
      <c r="N99">
        <v>19.59487068313938</v>
      </c>
      <c r="O99">
        <v>514.62217192691026</v>
      </c>
      <c r="P99">
        <v>515</v>
      </c>
      <c r="Q99">
        <v>0.8</v>
      </c>
      <c r="R99">
        <v>46.83</v>
      </c>
      <c r="S99">
        <v>0.8</v>
      </c>
      <c r="T99">
        <v>48.08</v>
      </c>
      <c r="U99">
        <v>37.463999999999999</v>
      </c>
      <c r="V99">
        <v>38.463999999999999</v>
      </c>
      <c r="W99">
        <v>75.927999999999997</v>
      </c>
      <c r="X99">
        <v>32.726316468660379</v>
      </c>
      <c r="Y99">
        <v>10545.55555555556</v>
      </c>
      <c r="Z99">
        <v>108.61598289655861</v>
      </c>
      <c r="AA99">
        <v>10436.939572658999</v>
      </c>
      <c r="AB99">
        <v>1.032675158333333E-3</v>
      </c>
      <c r="AC99">
        <v>24.305446538304</v>
      </c>
      <c r="AD99">
        <v>297.45544653830399</v>
      </c>
      <c r="AE99">
        <v>297.29410999999999</v>
      </c>
      <c r="AF99">
        <v>304.32119999999998</v>
      </c>
      <c r="AG99">
        <v>302.73586</v>
      </c>
      <c r="AH99">
        <v>305.98835000000003</v>
      </c>
      <c r="AI99">
        <v>306.012</v>
      </c>
      <c r="AJ99">
        <v>32644.864000000001</v>
      </c>
      <c r="AK99">
        <v>2.6787965E-3</v>
      </c>
      <c r="AL99">
        <v>2.8383135000000002E-4</v>
      </c>
      <c r="AM99">
        <v>2.8382424999999999E-4</v>
      </c>
      <c r="AN99">
        <v>926.26060769725018</v>
      </c>
      <c r="AO99">
        <v>85.316476724253462</v>
      </c>
      <c r="AP99">
        <v>66469.277277072237</v>
      </c>
      <c r="AQ99">
        <v>522</v>
      </c>
      <c r="AR99">
        <v>65947.277277072237</v>
      </c>
      <c r="AS99">
        <v>2.0361327673802601</v>
      </c>
      <c r="AT99">
        <v>5.6050998574087263</v>
      </c>
      <c r="AU99">
        <v>2.965097824569217</v>
      </c>
      <c r="AV99">
        <v>34886.109679571207</v>
      </c>
      <c r="AW99">
        <v>770.07841784737752</v>
      </c>
      <c r="AZ99">
        <f t="shared" si="5"/>
        <v>78.963715408123193</v>
      </c>
      <c r="BA99">
        <f t="shared" si="6"/>
        <v>7.4461130605084275E-2</v>
      </c>
      <c r="BB99">
        <f t="shared" si="7"/>
        <v>81.796600520662238</v>
      </c>
      <c r="BC99">
        <f t="shared" si="8"/>
        <v>4.1256699042643494E-2</v>
      </c>
      <c r="BD99">
        <v>0.745</v>
      </c>
      <c r="BF99">
        <v>0.72</v>
      </c>
    </row>
    <row r="100" spans="1:58" x14ac:dyDescent="0.25">
      <c r="A100" t="s">
        <v>60</v>
      </c>
    </row>
    <row r="101" spans="1:58" x14ac:dyDescent="0.25">
      <c r="A101" t="s">
        <v>61</v>
      </c>
      <c r="B101">
        <v>6</v>
      </c>
      <c r="C101">
        <v>0.5</v>
      </c>
      <c r="D101">
        <v>400</v>
      </c>
      <c r="E101">
        <v>2.2335228564930629</v>
      </c>
      <c r="F101">
        <v>725.39734181638528</v>
      </c>
      <c r="G101">
        <v>12.276</v>
      </c>
      <c r="H101">
        <v>24</v>
      </c>
      <c r="I101">
        <v>102425</v>
      </c>
      <c r="J101">
        <v>1.8442000000000001E-5</v>
      </c>
      <c r="K101">
        <v>1007</v>
      </c>
      <c r="L101">
        <v>8.1089474000000013E-4</v>
      </c>
      <c r="M101">
        <v>1.2010000000000001</v>
      </c>
      <c r="N101">
        <v>2.7500120731366211</v>
      </c>
      <c r="O101">
        <v>40.410036877076422</v>
      </c>
      <c r="P101">
        <v>40</v>
      </c>
      <c r="Q101">
        <v>0.5</v>
      </c>
      <c r="R101">
        <v>30.25</v>
      </c>
      <c r="S101">
        <v>0.5</v>
      </c>
      <c r="T101">
        <v>29.63</v>
      </c>
      <c r="U101">
        <v>15.125</v>
      </c>
      <c r="V101">
        <v>14.815</v>
      </c>
      <c r="W101">
        <v>29.94</v>
      </c>
      <c r="X101">
        <v>45.962527494108407</v>
      </c>
      <c r="Y101">
        <v>4158.3333333333339</v>
      </c>
      <c r="Z101">
        <v>390.71934848193263</v>
      </c>
      <c r="AA101">
        <v>3767.6139848514008</v>
      </c>
      <c r="AB101">
        <v>8.1089474000000013E-5</v>
      </c>
      <c r="AC101">
        <v>24.558874705420319</v>
      </c>
      <c r="AD101">
        <v>297.70887470542033</v>
      </c>
      <c r="AE101">
        <v>297.70821999999998</v>
      </c>
      <c r="AF101">
        <v>330.92444</v>
      </c>
      <c r="AG101">
        <v>323.40111000000002</v>
      </c>
      <c r="AH101">
        <v>323.39134999999999</v>
      </c>
      <c r="AI101">
        <v>322.07404000000002</v>
      </c>
      <c r="AJ101">
        <v>437.91842000000003</v>
      </c>
      <c r="AK101">
        <v>2.6295246E-3</v>
      </c>
      <c r="AL101">
        <v>2.6452247000000002E-4</v>
      </c>
      <c r="AM101">
        <v>2.6451829999999998E-4</v>
      </c>
      <c r="AN101">
        <v>95.71495774750538</v>
      </c>
      <c r="AO101">
        <v>8.2223671475892726</v>
      </c>
      <c r="AP101">
        <v>1099.005302435193</v>
      </c>
      <c r="AQ101">
        <v>42</v>
      </c>
      <c r="AR101">
        <v>1057.005302435193</v>
      </c>
      <c r="AS101">
        <v>2.5096119556587562</v>
      </c>
      <c r="AT101">
        <v>8.6318483055789308</v>
      </c>
      <c r="AU101">
        <v>4.1864464282057812</v>
      </c>
      <c r="AV101">
        <v>512.64757168106837</v>
      </c>
      <c r="AW101">
        <v>66.055289996741621</v>
      </c>
      <c r="AZ101">
        <f t="shared" si="5"/>
        <v>9.6185595622652045</v>
      </c>
      <c r="BA101">
        <f t="shared" si="6"/>
        <v>-0.16980419259012092</v>
      </c>
      <c r="BB101">
        <f t="shared" si="7"/>
        <v>9.8614241337967599</v>
      </c>
      <c r="BC101">
        <f t="shared" si="8"/>
        <v>-0.19934125499224936</v>
      </c>
      <c r="BD101">
        <v>0.68300000000000005</v>
      </c>
      <c r="BF101">
        <v>0.72</v>
      </c>
    </row>
    <row r="102" spans="1:58" x14ac:dyDescent="0.25">
      <c r="A102" t="s">
        <v>61</v>
      </c>
      <c r="B102">
        <v>6</v>
      </c>
      <c r="C102">
        <v>0.5</v>
      </c>
      <c r="D102">
        <v>600</v>
      </c>
      <c r="E102">
        <v>2.2335228564930629</v>
      </c>
      <c r="F102">
        <v>1105.6314280896979</v>
      </c>
      <c r="G102">
        <v>12.276</v>
      </c>
      <c r="H102">
        <v>24.2</v>
      </c>
      <c r="I102">
        <v>103625</v>
      </c>
      <c r="J102">
        <v>1.8451999999999999E-5</v>
      </c>
      <c r="K102">
        <v>1007</v>
      </c>
      <c r="L102">
        <v>1.2170016600000001E-3</v>
      </c>
      <c r="M102">
        <v>1.214</v>
      </c>
      <c r="N102">
        <v>4.0830585576227811</v>
      </c>
      <c r="O102">
        <v>60.647923255813957</v>
      </c>
      <c r="P102">
        <v>61</v>
      </c>
      <c r="Q102">
        <v>0.5</v>
      </c>
      <c r="R102">
        <v>30.25</v>
      </c>
      <c r="S102">
        <v>0.5</v>
      </c>
      <c r="T102">
        <v>29.63</v>
      </c>
      <c r="U102">
        <v>15.125</v>
      </c>
      <c r="V102">
        <v>14.815</v>
      </c>
      <c r="W102">
        <v>29.94</v>
      </c>
      <c r="X102">
        <v>39.866769477268157</v>
      </c>
      <c r="Y102">
        <v>4158.3333333333339</v>
      </c>
      <c r="Z102">
        <v>260.80045786901633</v>
      </c>
      <c r="AA102">
        <v>3897.5328754643178</v>
      </c>
      <c r="AB102">
        <v>1.21700166E-4</v>
      </c>
      <c r="AC102">
        <v>24.600544762667731</v>
      </c>
      <c r="AD102">
        <v>297.75054476266769</v>
      </c>
      <c r="AE102">
        <v>297.74603000000002</v>
      </c>
      <c r="AF102">
        <v>320.58951000000002</v>
      </c>
      <c r="AG102">
        <v>314.25727000000001</v>
      </c>
      <c r="AH102">
        <v>315.56506000000002</v>
      </c>
      <c r="AI102">
        <v>315.56553000000002</v>
      </c>
      <c r="AJ102">
        <v>962.89054999999996</v>
      </c>
      <c r="AK102">
        <v>2.6295246E-3</v>
      </c>
      <c r="AL102">
        <v>2.6452247000000002E-4</v>
      </c>
      <c r="AM102">
        <v>2.6451829999999998E-4</v>
      </c>
      <c r="AN102">
        <v>167.3607171451396</v>
      </c>
      <c r="AO102">
        <v>14.377076423951531</v>
      </c>
      <c r="AP102">
        <v>2363.3670471994119</v>
      </c>
      <c r="AQ102">
        <v>63</v>
      </c>
      <c r="AR102">
        <v>2300.3670471994119</v>
      </c>
      <c r="AS102">
        <v>2.4544503497302079</v>
      </c>
      <c r="AT102">
        <v>8.3853910591356993</v>
      </c>
      <c r="AU102">
        <v>4.066914663680814</v>
      </c>
      <c r="AV102">
        <v>1115.6780178917149</v>
      </c>
      <c r="AW102">
        <v>99.136661779081152</v>
      </c>
      <c r="AZ102">
        <f t="shared" si="5"/>
        <v>13.452107749256687</v>
      </c>
      <c r="BA102">
        <f t="shared" si="6"/>
        <v>6.4336353749493161E-2</v>
      </c>
      <c r="BB102">
        <f t="shared" si="7"/>
        <v>13.799542978285853</v>
      </c>
      <c r="BC102">
        <f t="shared" si="8"/>
        <v>4.0170437204015558E-2</v>
      </c>
      <c r="BD102">
        <v>0.68300000000000005</v>
      </c>
      <c r="BF102">
        <v>0.72</v>
      </c>
    </row>
    <row r="103" spans="1:58" x14ac:dyDescent="0.25">
      <c r="A103" t="s">
        <v>61</v>
      </c>
      <c r="B103">
        <v>6</v>
      </c>
      <c r="C103">
        <v>0.5</v>
      </c>
      <c r="D103">
        <v>800</v>
      </c>
      <c r="E103">
        <v>2.2335228564930629</v>
      </c>
      <c r="F103">
        <v>1468.133535660091</v>
      </c>
      <c r="G103">
        <v>12.276</v>
      </c>
      <c r="H103">
        <v>24.2</v>
      </c>
      <c r="I103">
        <v>105475</v>
      </c>
      <c r="J103">
        <v>1.8451999999999999E-5</v>
      </c>
      <c r="K103">
        <v>1007</v>
      </c>
      <c r="L103">
        <v>1.62266888E-3</v>
      </c>
      <c r="M103">
        <v>1.236</v>
      </c>
      <c r="N103">
        <v>5.3471770107379264</v>
      </c>
      <c r="O103">
        <v>80.86389767441861</v>
      </c>
      <c r="P103">
        <v>81</v>
      </c>
      <c r="Q103">
        <v>0.5</v>
      </c>
      <c r="R103">
        <v>30.25</v>
      </c>
      <c r="S103">
        <v>0.5</v>
      </c>
      <c r="T103">
        <v>29.63</v>
      </c>
      <c r="U103">
        <v>15.125</v>
      </c>
      <c r="V103">
        <v>14.815</v>
      </c>
      <c r="W103">
        <v>29.94</v>
      </c>
      <c r="X103">
        <v>36.797927369018353</v>
      </c>
      <c r="Y103">
        <v>4158.3333333333339</v>
      </c>
      <c r="Z103">
        <v>195.39422601588811</v>
      </c>
      <c r="AA103">
        <v>3962.9391073174461</v>
      </c>
      <c r="AB103">
        <v>1.62266888E-4</v>
      </c>
      <c r="AC103">
        <v>24.655256289010719</v>
      </c>
      <c r="AD103">
        <v>297.80525628901069</v>
      </c>
      <c r="AE103">
        <v>297.80306999999999</v>
      </c>
      <c r="AF103">
        <v>315.27873</v>
      </c>
      <c r="AG103">
        <v>310.59021999999999</v>
      </c>
      <c r="AH103">
        <v>311.87365</v>
      </c>
      <c r="AI103">
        <v>311.89879000000002</v>
      </c>
      <c r="AJ103">
        <v>1677.8961999999999</v>
      </c>
      <c r="AK103">
        <v>2.6295246E-3</v>
      </c>
      <c r="AL103">
        <v>2.6452247000000002E-4</v>
      </c>
      <c r="AM103">
        <v>2.6451829999999998E-4</v>
      </c>
      <c r="AN103">
        <v>211.73821510349231</v>
      </c>
      <c r="AO103">
        <v>18.189313193334421</v>
      </c>
      <c r="AP103">
        <v>3941.9982977113668</v>
      </c>
      <c r="AQ103">
        <v>84</v>
      </c>
      <c r="AR103">
        <v>3857.9982977113668</v>
      </c>
      <c r="AS103">
        <v>2.3493695841920181</v>
      </c>
      <c r="AT103">
        <v>7.9829572073399584</v>
      </c>
      <c r="AU103">
        <v>3.8717342455598791</v>
      </c>
      <c r="AV103">
        <v>1871.1291743900131</v>
      </c>
      <c r="AW103">
        <v>132.18221570544151</v>
      </c>
      <c r="AZ103">
        <f t="shared" si="5"/>
        <v>17.066802158004062</v>
      </c>
      <c r="BA103">
        <f t="shared" si="6"/>
        <v>6.1712667399762465E-2</v>
      </c>
      <c r="BB103">
        <f t="shared" si="7"/>
        <v>17.514598456936504</v>
      </c>
      <c r="BC103">
        <f t="shared" si="8"/>
        <v>3.7094019396244703E-2</v>
      </c>
      <c r="BD103">
        <v>0.68300000000000005</v>
      </c>
      <c r="BF103">
        <v>0.72</v>
      </c>
    </row>
    <row r="104" spans="1:58" x14ac:dyDescent="0.25">
      <c r="A104" t="s">
        <v>61</v>
      </c>
      <c r="B104">
        <v>6</v>
      </c>
      <c r="C104">
        <v>0.5</v>
      </c>
      <c r="D104">
        <v>1000</v>
      </c>
      <c r="E104">
        <v>2.2335228564930629</v>
      </c>
      <c r="F104">
        <v>1830.635643230484</v>
      </c>
      <c r="G104">
        <v>12.276</v>
      </c>
      <c r="H104">
        <v>24.2</v>
      </c>
      <c r="I104">
        <v>107125</v>
      </c>
      <c r="J104">
        <v>1.8451999999999999E-5</v>
      </c>
      <c r="K104">
        <v>1007</v>
      </c>
      <c r="L104">
        <v>2.0283361E-3</v>
      </c>
      <c r="M104">
        <v>1.2549999999999999</v>
      </c>
      <c r="N104">
        <v>6.5827796666056537</v>
      </c>
      <c r="O104">
        <v>101.0798720930233</v>
      </c>
      <c r="P104">
        <v>101</v>
      </c>
      <c r="Q104">
        <v>0.5</v>
      </c>
      <c r="R104">
        <v>30.25</v>
      </c>
      <c r="S104">
        <v>0.5</v>
      </c>
      <c r="T104">
        <v>29.63</v>
      </c>
      <c r="U104">
        <v>15.125</v>
      </c>
      <c r="V104">
        <v>14.815</v>
      </c>
      <c r="W104">
        <v>29.94</v>
      </c>
      <c r="X104">
        <v>34.864330464371477</v>
      </c>
      <c r="Y104">
        <v>4158.3333333333339</v>
      </c>
      <c r="Z104">
        <v>154.18347518714941</v>
      </c>
      <c r="AA104">
        <v>4004.1498581461851</v>
      </c>
      <c r="AB104">
        <v>2.0283361E-4</v>
      </c>
      <c r="AC104">
        <v>24.686824459567639</v>
      </c>
      <c r="AD104">
        <v>297.83682445956759</v>
      </c>
      <c r="AE104">
        <v>297.82932</v>
      </c>
      <c r="AF104">
        <v>311.90884999999997</v>
      </c>
      <c r="AG104">
        <v>308.06256000000002</v>
      </c>
      <c r="AH104">
        <v>309.31607000000002</v>
      </c>
      <c r="AI104">
        <v>309.35244</v>
      </c>
      <c r="AJ104">
        <v>2643.9555</v>
      </c>
      <c r="AK104">
        <v>2.6295246E-3</v>
      </c>
      <c r="AL104">
        <v>2.6452247000000002E-4</v>
      </c>
      <c r="AM104">
        <v>2.6451829999999998E-4</v>
      </c>
      <c r="AN104">
        <v>267.94618762925819</v>
      </c>
      <c r="AO104">
        <v>23.01784363000489</v>
      </c>
      <c r="AP104">
        <v>5844.6904190018686</v>
      </c>
      <c r="AQ104">
        <v>104</v>
      </c>
      <c r="AR104">
        <v>5740.6904190018686</v>
      </c>
      <c r="AS104">
        <v>2.2105857753664422</v>
      </c>
      <c r="AT104">
        <v>7.6618061112450881</v>
      </c>
      <c r="AU104">
        <v>3.7159759639538681</v>
      </c>
      <c r="AV104">
        <v>2784.2348532159058</v>
      </c>
      <c r="AW104">
        <v>165.22776963180189</v>
      </c>
      <c r="AZ104">
        <f t="shared" si="5"/>
        <v>20.527015386195007</v>
      </c>
      <c r="BA104">
        <f t="shared" si="6"/>
        <v>0.10821292749434469</v>
      </c>
      <c r="BB104">
        <f t="shared" si="7"/>
        <v>21.072135182728235</v>
      </c>
      <c r="BC104">
        <f t="shared" si="8"/>
        <v>8.4530439886224967E-2</v>
      </c>
      <c r="BD104">
        <v>0.68300000000000005</v>
      </c>
      <c r="BF104">
        <v>0.72</v>
      </c>
    </row>
    <row r="105" spans="1:58" x14ac:dyDescent="0.25">
      <c r="A105" t="s">
        <v>61</v>
      </c>
      <c r="B105">
        <v>6</v>
      </c>
      <c r="C105">
        <v>0.5</v>
      </c>
      <c r="D105">
        <v>1200</v>
      </c>
      <c r="E105">
        <v>2.2335228564930629</v>
      </c>
      <c r="F105">
        <v>2193.0189008712819</v>
      </c>
      <c r="G105">
        <v>12.276</v>
      </c>
      <c r="H105">
        <v>24.2</v>
      </c>
      <c r="I105">
        <v>109325</v>
      </c>
      <c r="J105">
        <v>1.8453000000000001E-5</v>
      </c>
      <c r="K105">
        <v>1007</v>
      </c>
      <c r="L105">
        <v>2.43413523E-3</v>
      </c>
      <c r="M105">
        <v>1.2809999999999999</v>
      </c>
      <c r="N105">
        <v>7.7394250161965674</v>
      </c>
      <c r="O105">
        <v>121.3024200996678</v>
      </c>
      <c r="P105">
        <v>121</v>
      </c>
      <c r="Q105">
        <v>0.5</v>
      </c>
      <c r="R105">
        <v>30.25</v>
      </c>
      <c r="S105">
        <v>0.5</v>
      </c>
      <c r="T105">
        <v>29.63</v>
      </c>
      <c r="U105">
        <v>15.125</v>
      </c>
      <c r="V105">
        <v>14.815</v>
      </c>
      <c r="W105">
        <v>29.94</v>
      </c>
      <c r="X105">
        <v>33.478400521460088</v>
      </c>
      <c r="Y105">
        <v>4158.3333333333339</v>
      </c>
      <c r="Z105">
        <v>124.6451503138788</v>
      </c>
      <c r="AA105">
        <v>4033.6881830194552</v>
      </c>
      <c r="AB105">
        <v>2.4341352299999999E-4</v>
      </c>
      <c r="AC105">
        <v>24.680227637384661</v>
      </c>
      <c r="AD105">
        <v>297.83022763738461</v>
      </c>
      <c r="AE105">
        <v>297.815</v>
      </c>
      <c r="AF105">
        <v>309.64945</v>
      </c>
      <c r="AG105">
        <v>306.43808000000001</v>
      </c>
      <c r="AH105">
        <v>307.68542000000002</v>
      </c>
      <c r="AI105">
        <v>307.69540000000001</v>
      </c>
      <c r="AJ105">
        <v>3743.2968000000001</v>
      </c>
      <c r="AK105">
        <v>2.6295246E-3</v>
      </c>
      <c r="AL105">
        <v>2.6452247000000002E-4</v>
      </c>
      <c r="AM105">
        <v>2.6451829999999998E-4</v>
      </c>
      <c r="AN105">
        <v>315.36617235283938</v>
      </c>
      <c r="AO105">
        <v>27.091444389030681</v>
      </c>
      <c r="AP105">
        <v>8059.2254980612388</v>
      </c>
      <c r="AQ105">
        <v>125</v>
      </c>
      <c r="AR105">
        <v>7934.2254980612388</v>
      </c>
      <c r="AS105">
        <v>2.1529752858659879</v>
      </c>
      <c r="AT105">
        <v>7.4310837025602066</v>
      </c>
      <c r="AU105">
        <v>3.6040755957416999</v>
      </c>
      <c r="AV105">
        <v>3848.0993665597011</v>
      </c>
      <c r="AW105">
        <v>198.28406891495609</v>
      </c>
      <c r="AZ105">
        <f t="shared" si="5"/>
        <v>23.868902622946301</v>
      </c>
      <c r="BA105">
        <f t="shared" si="6"/>
        <v>0.11895053360053354</v>
      </c>
      <c r="BB105">
        <f t="shared" si="7"/>
        <v>24.508980738957412</v>
      </c>
      <c r="BC105">
        <f t="shared" si="8"/>
        <v>9.5323955895054005E-2</v>
      </c>
      <c r="BD105">
        <v>0.68300000000000005</v>
      </c>
      <c r="BF105">
        <v>0.72</v>
      </c>
    </row>
    <row r="106" spans="1:58" x14ac:dyDescent="0.25">
      <c r="A106" t="s">
        <v>61</v>
      </c>
      <c r="B106">
        <v>6</v>
      </c>
      <c r="C106">
        <v>0.5</v>
      </c>
      <c r="D106">
        <v>1400</v>
      </c>
      <c r="E106">
        <v>2.2335228564930629</v>
      </c>
      <c r="F106">
        <v>2573.62548697291</v>
      </c>
      <c r="G106">
        <v>12.276</v>
      </c>
      <c r="H106">
        <v>24.2</v>
      </c>
      <c r="I106">
        <v>111825</v>
      </c>
      <c r="J106">
        <v>1.8453000000000001E-5</v>
      </c>
      <c r="K106">
        <v>1007</v>
      </c>
      <c r="L106">
        <v>2.8398244349999999E-3</v>
      </c>
      <c r="M106">
        <v>1.31</v>
      </c>
      <c r="N106">
        <v>8.829443272294478</v>
      </c>
      <c r="O106">
        <v>141.51949011627909</v>
      </c>
      <c r="P106">
        <v>142</v>
      </c>
      <c r="Q106">
        <v>0.6</v>
      </c>
      <c r="R106">
        <v>36.299999999999997</v>
      </c>
      <c r="S106">
        <v>0.6</v>
      </c>
      <c r="T106">
        <v>35.53</v>
      </c>
      <c r="U106">
        <v>21.78</v>
      </c>
      <c r="V106">
        <v>21.318000000000001</v>
      </c>
      <c r="W106">
        <v>43.097999999999999</v>
      </c>
      <c r="X106">
        <v>35.973574070351731</v>
      </c>
      <c r="Y106">
        <v>5985.833333333333</v>
      </c>
      <c r="Z106">
        <v>177.82478416140651</v>
      </c>
      <c r="AA106">
        <v>5808.0085491719256</v>
      </c>
      <c r="AB106">
        <v>2.8398244350000002E-4</v>
      </c>
      <c r="AC106">
        <v>24.705013065326611</v>
      </c>
      <c r="AD106">
        <v>297.8550130653266</v>
      </c>
      <c r="AE106">
        <v>297.84003000000001</v>
      </c>
      <c r="AF106">
        <v>312.42212999999998</v>
      </c>
      <c r="AG106">
        <v>308.53048000000001</v>
      </c>
      <c r="AH106">
        <v>310.28892000000002</v>
      </c>
      <c r="AI106">
        <v>310.27942999999999</v>
      </c>
      <c r="AJ106">
        <v>5016.6660000000002</v>
      </c>
      <c r="AK106">
        <v>2.6295246E-3</v>
      </c>
      <c r="AL106">
        <v>2.6452247000000002E-4</v>
      </c>
      <c r="AM106">
        <v>2.6451829999999998E-4</v>
      </c>
      <c r="AN106">
        <v>358.48821048989629</v>
      </c>
      <c r="AO106">
        <v>30.79583122740307</v>
      </c>
      <c r="AP106">
        <v>10755.26767169179</v>
      </c>
      <c r="AQ106">
        <v>146</v>
      </c>
      <c r="AR106">
        <v>10609.26767169179</v>
      </c>
      <c r="AS106">
        <v>2.1439074619860659</v>
      </c>
      <c r="AT106">
        <v>7.3858865139486554</v>
      </c>
      <c r="AU106">
        <v>3.5821549592650981</v>
      </c>
      <c r="AV106">
        <v>5145.4948207705193</v>
      </c>
      <c r="AW106">
        <v>231.33141373411539</v>
      </c>
      <c r="AZ106">
        <f t="shared" si="5"/>
        <v>27.115494673146515</v>
      </c>
      <c r="BA106">
        <f t="shared" si="6"/>
        <v>0.11950762189466996</v>
      </c>
      <c r="BB106">
        <f t="shared" si="7"/>
        <v>27.848601175589319</v>
      </c>
      <c r="BC106">
        <f t="shared" si="8"/>
        <v>9.5702240671822342E-2</v>
      </c>
      <c r="BD106">
        <v>0.68300000000000005</v>
      </c>
      <c r="BF106">
        <v>0.72</v>
      </c>
    </row>
    <row r="107" spans="1:58" x14ac:dyDescent="0.25">
      <c r="A107" t="s">
        <v>61</v>
      </c>
      <c r="B107">
        <v>6</v>
      </c>
      <c r="C107">
        <v>0.5</v>
      </c>
      <c r="D107">
        <v>1600</v>
      </c>
      <c r="E107">
        <v>2.2335228564930629</v>
      </c>
      <c r="F107">
        <v>2936.1079499268408</v>
      </c>
      <c r="G107">
        <v>12.276</v>
      </c>
      <c r="H107">
        <v>24.2</v>
      </c>
      <c r="I107">
        <v>114825</v>
      </c>
      <c r="J107">
        <v>1.8453000000000001E-5</v>
      </c>
      <c r="K107">
        <v>1007</v>
      </c>
      <c r="L107">
        <v>3.2455136399999998E-3</v>
      </c>
      <c r="M107">
        <v>1.345</v>
      </c>
      <c r="N107">
        <v>9.8282066376682042</v>
      </c>
      <c r="O107">
        <v>161.73656013289039</v>
      </c>
      <c r="P107">
        <v>162</v>
      </c>
      <c r="Q107">
        <v>0.6</v>
      </c>
      <c r="R107">
        <v>36.299999999999997</v>
      </c>
      <c r="S107">
        <v>0.6</v>
      </c>
      <c r="T107">
        <v>35.53</v>
      </c>
      <c r="U107">
        <v>21.78</v>
      </c>
      <c r="V107">
        <v>21.318000000000001</v>
      </c>
      <c r="W107">
        <v>43.097999999999999</v>
      </c>
      <c r="X107">
        <v>34.878361111111118</v>
      </c>
      <c r="Y107">
        <v>5985.833333333333</v>
      </c>
      <c r="Z107">
        <v>154.48251036111131</v>
      </c>
      <c r="AA107">
        <v>5831.350822972222</v>
      </c>
      <c r="AB107">
        <v>3.2455136400000003E-4</v>
      </c>
      <c r="AC107">
        <v>24.687932098765401</v>
      </c>
      <c r="AD107">
        <v>297.83793209876541</v>
      </c>
      <c r="AE107">
        <v>297.81454000000002</v>
      </c>
      <c r="AF107">
        <v>310.67158999999998</v>
      </c>
      <c r="AG107">
        <v>307.24518999999998</v>
      </c>
      <c r="AH107">
        <v>309.02154000000002</v>
      </c>
      <c r="AI107">
        <v>308.97359</v>
      </c>
      <c r="AJ107">
        <v>6449.3401000000003</v>
      </c>
      <c r="AK107">
        <v>2.6295246E-3</v>
      </c>
      <c r="AL107">
        <v>2.6452247000000002E-4</v>
      </c>
      <c r="AM107">
        <v>2.6451829999999998E-4</v>
      </c>
      <c r="AN107">
        <v>403.34101033597381</v>
      </c>
      <c r="AO107">
        <v>34.648898674861627</v>
      </c>
      <c r="AP107">
        <v>13461.782256112319</v>
      </c>
      <c r="AQ107">
        <v>167</v>
      </c>
      <c r="AR107">
        <v>13294.782256112319</v>
      </c>
      <c r="AS107">
        <v>2.087311577212732</v>
      </c>
      <c r="AT107">
        <v>7.1853465695242038</v>
      </c>
      <c r="AU107">
        <v>3.4848930862192389</v>
      </c>
      <c r="AV107">
        <v>6447.9693942144768</v>
      </c>
      <c r="AW107">
        <v>264.37875855327468</v>
      </c>
      <c r="AZ107">
        <f t="shared" si="5"/>
        <v>30.282677360876651</v>
      </c>
      <c r="BA107">
        <f t="shared" si="6"/>
        <v>0.12601327837160795</v>
      </c>
      <c r="BB107">
        <f t="shared" si="7"/>
        <v>31.107186441398493</v>
      </c>
      <c r="BC107">
        <f t="shared" si="8"/>
        <v>0.10221716617021097</v>
      </c>
      <c r="BD107">
        <v>0.68300000000000005</v>
      </c>
      <c r="BF107">
        <v>0.72</v>
      </c>
    </row>
    <row r="108" spans="1:58" x14ac:dyDescent="0.25">
      <c r="A108" t="s">
        <v>61</v>
      </c>
      <c r="B108">
        <v>6</v>
      </c>
      <c r="C108">
        <v>0.5</v>
      </c>
      <c r="D108">
        <v>1800</v>
      </c>
      <c r="E108">
        <v>2.2335228564930629</v>
      </c>
      <c r="F108">
        <v>3298.4116662451979</v>
      </c>
      <c r="G108">
        <v>12.276</v>
      </c>
      <c r="H108">
        <v>24.2</v>
      </c>
      <c r="I108">
        <v>117725</v>
      </c>
      <c r="J108">
        <v>1.8454E-5</v>
      </c>
      <c r="K108">
        <v>1007</v>
      </c>
      <c r="L108">
        <v>3.6514007100000002E-3</v>
      </c>
      <c r="M108">
        <v>1.379</v>
      </c>
      <c r="N108">
        <v>10.784707085120541</v>
      </c>
      <c r="O108">
        <v>181.96349053156149</v>
      </c>
      <c r="P108">
        <v>182</v>
      </c>
      <c r="Q108">
        <v>0.6</v>
      </c>
      <c r="R108">
        <v>36.299999999999997</v>
      </c>
      <c r="S108">
        <v>0.6</v>
      </c>
      <c r="T108">
        <v>35.53</v>
      </c>
      <c r="U108">
        <v>21.78</v>
      </c>
      <c r="V108">
        <v>21.318000000000001</v>
      </c>
      <c r="W108">
        <v>43.097999999999999</v>
      </c>
      <c r="X108">
        <v>34.025036883629198</v>
      </c>
      <c r="Y108">
        <v>5985.833333333333</v>
      </c>
      <c r="Z108">
        <v>136.2956111007891</v>
      </c>
      <c r="AA108">
        <v>5849.5377222325442</v>
      </c>
      <c r="AB108">
        <v>3.65140071E-4</v>
      </c>
      <c r="AC108">
        <v>24.677944773175511</v>
      </c>
      <c r="AD108">
        <v>297.82794477317549</v>
      </c>
      <c r="AE108">
        <v>297.79880000000003</v>
      </c>
      <c r="AF108">
        <v>309.26125000000002</v>
      </c>
      <c r="AG108">
        <v>306.24853000000002</v>
      </c>
      <c r="AH108">
        <v>308.01121999999998</v>
      </c>
      <c r="AI108">
        <v>307.97098999999997</v>
      </c>
      <c r="AJ108">
        <v>8053.1940999999997</v>
      </c>
      <c r="AK108">
        <v>2.6295246E-3</v>
      </c>
      <c r="AL108">
        <v>2.6452247000000002E-4</v>
      </c>
      <c r="AM108">
        <v>2.6451829999999998E-4</v>
      </c>
      <c r="AN108">
        <v>442.93851467773419</v>
      </c>
      <c r="AO108">
        <v>38.050511405915678</v>
      </c>
      <c r="AP108">
        <v>16348.434582511511</v>
      </c>
      <c r="AQ108">
        <v>188</v>
      </c>
      <c r="AR108">
        <v>16160.434582511511</v>
      </c>
      <c r="AS108">
        <v>2.0300559479264888</v>
      </c>
      <c r="AT108">
        <v>6.9927664317735418</v>
      </c>
      <c r="AU108">
        <v>3.3914917194101681</v>
      </c>
      <c r="AV108">
        <v>7837.8107725180807</v>
      </c>
      <c r="AW108">
        <v>297.44222140762469</v>
      </c>
      <c r="AZ108">
        <f t="shared" si="5"/>
        <v>33.382030631702229</v>
      </c>
      <c r="BA108">
        <f t="shared" si="6"/>
        <v>0.12269166961807627</v>
      </c>
      <c r="BB108">
        <f t="shared" si="7"/>
        <v>34.296540588099347</v>
      </c>
      <c r="BC108">
        <f t="shared" si="8"/>
        <v>9.8657565407457432E-2</v>
      </c>
      <c r="BD108">
        <v>0.68300000000000005</v>
      </c>
      <c r="BF108">
        <v>0.72</v>
      </c>
    </row>
    <row r="109" spans="1:58" x14ac:dyDescent="0.25">
      <c r="A109" t="s">
        <v>61</v>
      </c>
      <c r="B109">
        <v>6</v>
      </c>
      <c r="C109">
        <v>0.5</v>
      </c>
      <c r="D109">
        <v>2000</v>
      </c>
      <c r="E109">
        <v>2.2335228564930629</v>
      </c>
      <c r="F109">
        <v>3660.874486711703</v>
      </c>
      <c r="G109">
        <v>12.276</v>
      </c>
      <c r="H109">
        <v>24.2</v>
      </c>
      <c r="I109">
        <v>120725</v>
      </c>
      <c r="J109">
        <v>1.8454E-5</v>
      </c>
      <c r="K109">
        <v>1007</v>
      </c>
      <c r="L109">
        <v>4.0571119000000003E-3</v>
      </c>
      <c r="M109">
        <v>1.415</v>
      </c>
      <c r="N109">
        <v>11.678139827547099</v>
      </c>
      <c r="O109">
        <v>202.18165614617939</v>
      </c>
      <c r="P109">
        <v>202</v>
      </c>
      <c r="Q109">
        <v>0.6</v>
      </c>
      <c r="R109">
        <v>36.299999999999997</v>
      </c>
      <c r="S109">
        <v>0.6</v>
      </c>
      <c r="T109">
        <v>35.53</v>
      </c>
      <c r="U109">
        <v>21.78</v>
      </c>
      <c r="V109">
        <v>21.318000000000001</v>
      </c>
      <c r="W109">
        <v>43.097999999999999</v>
      </c>
      <c r="X109">
        <v>33.331043503148237</v>
      </c>
      <c r="Y109">
        <v>5985.833333333333</v>
      </c>
      <c r="Z109">
        <v>121.5045301825985</v>
      </c>
      <c r="AA109">
        <v>5864.3288031507354</v>
      </c>
      <c r="AB109">
        <v>4.0571119000000001E-4</v>
      </c>
      <c r="AC109">
        <v>24.6824842587292</v>
      </c>
      <c r="AD109">
        <v>297.83248425872921</v>
      </c>
      <c r="AE109">
        <v>297.79250999999999</v>
      </c>
      <c r="AF109">
        <v>308.05070000000001</v>
      </c>
      <c r="AG109">
        <v>305.38832000000002</v>
      </c>
      <c r="AH109">
        <v>307.05700999999999</v>
      </c>
      <c r="AI109">
        <v>307.11405000000002</v>
      </c>
      <c r="AJ109">
        <v>9655.7716999999993</v>
      </c>
      <c r="AK109">
        <v>2.6295246E-3</v>
      </c>
      <c r="AL109">
        <v>2.6452247000000002E-4</v>
      </c>
      <c r="AM109">
        <v>2.6451829999999998E-4</v>
      </c>
      <c r="AN109">
        <v>485.92845110024223</v>
      </c>
      <c r="AO109">
        <v>41.743550082794727</v>
      </c>
      <c r="AP109">
        <v>19401.544552566309</v>
      </c>
      <c r="AQ109">
        <v>209</v>
      </c>
      <c r="AR109">
        <v>19192.544552566309</v>
      </c>
      <c r="AS109">
        <v>2.009320969401784</v>
      </c>
      <c r="AT109">
        <v>6.821070177606865</v>
      </c>
      <c r="AU109">
        <v>3.30821903613933</v>
      </c>
      <c r="AV109">
        <v>9308.3841079946578</v>
      </c>
      <c r="AW109">
        <v>330.49135711958297</v>
      </c>
      <c r="AZ109">
        <f t="shared" si="5"/>
        <v>36.422346633365528</v>
      </c>
      <c r="BA109">
        <f t="shared" si="6"/>
        <v>0.12747366812058511</v>
      </c>
      <c r="BB109">
        <f t="shared" si="7"/>
        <v>37.425627510625404</v>
      </c>
      <c r="BC109">
        <f t="shared" si="8"/>
        <v>0.10343927537559926</v>
      </c>
      <c r="BD109">
        <v>0.68300000000000005</v>
      </c>
      <c r="BF109">
        <v>0.72</v>
      </c>
    </row>
    <row r="110" spans="1:58" x14ac:dyDescent="0.25">
      <c r="A110" t="s">
        <v>61</v>
      </c>
      <c r="B110">
        <v>6</v>
      </c>
      <c r="C110">
        <v>0.5</v>
      </c>
      <c r="D110">
        <v>2500</v>
      </c>
      <c r="E110">
        <v>2.2335228564930629</v>
      </c>
      <c r="F110">
        <v>4584.6578047488329</v>
      </c>
      <c r="G110">
        <v>12.276</v>
      </c>
      <c r="H110">
        <v>24.2</v>
      </c>
      <c r="I110">
        <v>129025</v>
      </c>
      <c r="J110">
        <v>1.8456000000000001E-5</v>
      </c>
      <c r="K110">
        <v>1007</v>
      </c>
      <c r="L110">
        <v>5.0719394999999999E-3</v>
      </c>
      <c r="M110">
        <v>1.512</v>
      </c>
      <c r="N110">
        <v>13.662664309505709</v>
      </c>
      <c r="O110">
        <v>252.75446013289039</v>
      </c>
      <c r="P110">
        <v>253</v>
      </c>
      <c r="Q110">
        <v>0.6</v>
      </c>
      <c r="R110">
        <v>36.299999999999997</v>
      </c>
      <c r="S110">
        <v>0.6</v>
      </c>
      <c r="T110">
        <v>35.53</v>
      </c>
      <c r="U110">
        <v>21.78</v>
      </c>
      <c r="V110">
        <v>21.318000000000001</v>
      </c>
      <c r="W110">
        <v>43.097999999999999</v>
      </c>
      <c r="X110">
        <v>31.98548465524113</v>
      </c>
      <c r="Y110">
        <v>5985.833333333333</v>
      </c>
      <c r="Z110">
        <v>92.826634457154228</v>
      </c>
      <c r="AA110">
        <v>5893.0066988761791</v>
      </c>
      <c r="AB110">
        <v>5.0719394999999997E-4</v>
      </c>
      <c r="AC110">
        <v>24.65663810282976</v>
      </c>
      <c r="AD110">
        <v>297.80663810282982</v>
      </c>
      <c r="AE110">
        <v>297.75650000000002</v>
      </c>
      <c r="AF110">
        <v>306.05119000000002</v>
      </c>
      <c r="AG110">
        <v>303.84316000000001</v>
      </c>
      <c r="AH110">
        <v>305.52717000000001</v>
      </c>
      <c r="AI110">
        <v>305.52226000000002</v>
      </c>
      <c r="AJ110">
        <v>14638.547</v>
      </c>
      <c r="AK110">
        <v>2.6295246E-3</v>
      </c>
      <c r="AL110">
        <v>2.6452247000000002E-4</v>
      </c>
      <c r="AM110">
        <v>2.6451829999999998E-4</v>
      </c>
      <c r="AN110">
        <v>604.8361930529436</v>
      </c>
      <c r="AO110">
        <v>51.958286985307723</v>
      </c>
      <c r="AP110">
        <v>27808.876046233559</v>
      </c>
      <c r="AQ110">
        <v>261</v>
      </c>
      <c r="AR110">
        <v>27547.876046233559</v>
      </c>
      <c r="AS110">
        <v>1.899701933957896</v>
      </c>
      <c r="AT110">
        <v>6.4976988640094637</v>
      </c>
      <c r="AU110">
        <v>3.1513839490445901</v>
      </c>
      <c r="AV110">
        <v>13360.71988242328</v>
      </c>
      <c r="AW110">
        <v>413.15896871945262</v>
      </c>
      <c r="AZ110">
        <f t="shared" si="5"/>
        <v>43.806804744249632</v>
      </c>
      <c r="BA110">
        <f t="shared" si="6"/>
        <v>0.15688512293261497</v>
      </c>
      <c r="BB110">
        <f t="shared" si="7"/>
        <v>45.027460043766986</v>
      </c>
      <c r="BC110">
        <f t="shared" si="8"/>
        <v>0.13339213710991996</v>
      </c>
      <c r="BD110">
        <v>0.68300000000000005</v>
      </c>
      <c r="BF110">
        <v>0.72</v>
      </c>
    </row>
    <row r="111" spans="1:58" x14ac:dyDescent="0.25">
      <c r="A111" t="s">
        <v>61</v>
      </c>
      <c r="B111">
        <v>6</v>
      </c>
      <c r="C111">
        <v>0.5</v>
      </c>
      <c r="D111">
        <v>3000</v>
      </c>
      <c r="E111">
        <v>2.2335228564930629</v>
      </c>
      <c r="F111">
        <v>5491.9069296914513</v>
      </c>
      <c r="G111">
        <v>12.276</v>
      </c>
      <c r="H111">
        <v>24.1</v>
      </c>
      <c r="I111">
        <v>138325</v>
      </c>
      <c r="J111">
        <v>1.8451999999999999E-5</v>
      </c>
      <c r="K111">
        <v>1007</v>
      </c>
      <c r="L111">
        <v>6.0850082999999999E-3</v>
      </c>
      <c r="M111">
        <v>1.621</v>
      </c>
      <c r="N111">
        <v>15.289429638969951</v>
      </c>
      <c r="O111">
        <v>303.23961627906982</v>
      </c>
      <c r="P111">
        <v>303</v>
      </c>
      <c r="Q111">
        <v>0.7</v>
      </c>
      <c r="R111">
        <v>42.32</v>
      </c>
      <c r="S111">
        <v>0.7</v>
      </c>
      <c r="T111">
        <v>41.54</v>
      </c>
      <c r="U111">
        <v>29.623999999999999</v>
      </c>
      <c r="V111">
        <v>29.077999999999999</v>
      </c>
      <c r="W111">
        <v>58.701999999999998</v>
      </c>
      <c r="X111">
        <v>33.458798197859963</v>
      </c>
      <c r="Y111">
        <v>8153.0555555555557</v>
      </c>
      <c r="Z111">
        <v>124.2273659909894</v>
      </c>
      <c r="AA111">
        <v>8028.8281895645659</v>
      </c>
      <c r="AB111">
        <v>6.0850083000000004E-4</v>
      </c>
      <c r="AC111">
        <v>24.625825042237619</v>
      </c>
      <c r="AD111">
        <v>297.77582504223761</v>
      </c>
      <c r="AE111">
        <v>297.70938000000001</v>
      </c>
      <c r="AF111">
        <v>307.01938999999999</v>
      </c>
      <c r="AG111">
        <v>304.67590999999999</v>
      </c>
      <c r="AH111">
        <v>306.94553000000002</v>
      </c>
      <c r="AI111">
        <v>306.89877000000001</v>
      </c>
      <c r="AJ111">
        <v>19899.878000000001</v>
      </c>
      <c r="AK111">
        <v>2.6295246E-3</v>
      </c>
      <c r="AL111">
        <v>2.6452247000000002E-4</v>
      </c>
      <c r="AM111">
        <v>2.6451829999999998E-4</v>
      </c>
      <c r="AN111">
        <v>680.93369805513555</v>
      </c>
      <c r="AO111">
        <v>58.495422244711222</v>
      </c>
      <c r="AP111">
        <v>37109.643326450161</v>
      </c>
      <c r="AQ111">
        <v>314</v>
      </c>
      <c r="AR111">
        <v>36795.643326450161</v>
      </c>
      <c r="AS111">
        <v>1.8648176298593471</v>
      </c>
      <c r="AT111">
        <v>6.2727312983993686</v>
      </c>
      <c r="AU111">
        <v>3.0422746797236941</v>
      </c>
      <c r="AV111">
        <v>17845.887013328331</v>
      </c>
      <c r="AW111">
        <v>495.68330889540567</v>
      </c>
      <c r="AZ111">
        <f t="shared" si="5"/>
        <v>50.938742773395326</v>
      </c>
      <c r="BA111">
        <f t="shared" si="6"/>
        <v>0.12918411700155086</v>
      </c>
      <c r="BB111">
        <f t="shared" si="7"/>
        <v>52.371396698394626</v>
      </c>
      <c r="BC111">
        <f t="shared" si="8"/>
        <v>0.10469238978560053</v>
      </c>
      <c r="BD111">
        <v>0.68300000000000005</v>
      </c>
      <c r="BF111">
        <v>0.72</v>
      </c>
    </row>
    <row r="112" spans="1:58" x14ac:dyDescent="0.25">
      <c r="A112" t="s">
        <v>61</v>
      </c>
      <c r="B112">
        <v>6</v>
      </c>
      <c r="C112">
        <v>0.5</v>
      </c>
      <c r="D112">
        <v>3500</v>
      </c>
      <c r="E112">
        <v>2.2335228564930629</v>
      </c>
      <c r="F112">
        <v>6415.5919222571447</v>
      </c>
      <c r="G112">
        <v>12.276</v>
      </c>
      <c r="H112">
        <v>24.1</v>
      </c>
      <c r="I112">
        <v>148625</v>
      </c>
      <c r="J112">
        <v>1.8454E-5</v>
      </c>
      <c r="K112">
        <v>1007</v>
      </c>
      <c r="L112">
        <v>7.0999458249999987E-3</v>
      </c>
      <c r="M112">
        <v>1.742</v>
      </c>
      <c r="N112">
        <v>16.600455653251149</v>
      </c>
      <c r="O112">
        <v>353.81789825581387</v>
      </c>
      <c r="P112">
        <v>354</v>
      </c>
      <c r="Q112">
        <v>0.7</v>
      </c>
      <c r="R112">
        <v>42.32</v>
      </c>
      <c r="S112">
        <v>0.7</v>
      </c>
      <c r="T112">
        <v>41.54</v>
      </c>
      <c r="U112">
        <v>29.623999999999999</v>
      </c>
      <c r="V112">
        <v>29.077999999999999</v>
      </c>
      <c r="W112">
        <v>58.701999999999998</v>
      </c>
      <c r="X112">
        <v>32.509387921022082</v>
      </c>
      <c r="Y112">
        <v>8153.0555555555557</v>
      </c>
      <c r="Z112">
        <v>103.9925847607436</v>
      </c>
      <c r="AA112">
        <v>8049.0629707948119</v>
      </c>
      <c r="AB112">
        <v>7.0999458249999987E-4</v>
      </c>
      <c r="AC112">
        <v>24.60581204026326</v>
      </c>
      <c r="AD112">
        <v>297.75581204026321</v>
      </c>
      <c r="AE112">
        <v>297.67300999999998</v>
      </c>
      <c r="AF112">
        <v>305.72460000000001</v>
      </c>
      <c r="AG112">
        <v>303.59501999999998</v>
      </c>
      <c r="AH112">
        <v>305.79865000000001</v>
      </c>
      <c r="AI112">
        <v>305.79273999999998</v>
      </c>
      <c r="AJ112">
        <v>25987.435000000001</v>
      </c>
      <c r="AK112">
        <v>2.6295246E-3</v>
      </c>
      <c r="AL112">
        <v>2.6452247000000002E-4</v>
      </c>
      <c r="AM112">
        <v>2.6451829999999998E-4</v>
      </c>
      <c r="AN112">
        <v>810.13098460832362</v>
      </c>
      <c r="AO112">
        <v>69.59407964907389</v>
      </c>
      <c r="AP112">
        <v>47290.417150600078</v>
      </c>
      <c r="AQ112">
        <v>366</v>
      </c>
      <c r="AR112">
        <v>46924.417150600078</v>
      </c>
      <c r="AS112">
        <v>1.8197416232344621</v>
      </c>
      <c r="AT112">
        <v>6.1286077806460542</v>
      </c>
      <c r="AU112">
        <v>2.9723747736133359</v>
      </c>
      <c r="AV112">
        <v>22758.342318041039</v>
      </c>
      <c r="AW112">
        <v>578.35987495927009</v>
      </c>
      <c r="AZ112">
        <f t="shared" si="5"/>
        <v>57.867310875068959</v>
      </c>
      <c r="BA112">
        <f t="shared" si="6"/>
        <v>0.16850239033459197</v>
      </c>
      <c r="BB112">
        <f t="shared" si="7"/>
        <v>59.507580310914648</v>
      </c>
      <c r="BC112">
        <f t="shared" si="8"/>
        <v>0.14493329589269835</v>
      </c>
      <c r="BD112">
        <v>0.68300000000000005</v>
      </c>
      <c r="BF112">
        <v>0.72</v>
      </c>
    </row>
    <row r="113" spans="1:58" x14ac:dyDescent="0.25">
      <c r="A113" t="s">
        <v>61</v>
      </c>
      <c r="B113">
        <v>6</v>
      </c>
      <c r="C113">
        <v>0.5</v>
      </c>
      <c r="D113">
        <v>4000</v>
      </c>
      <c r="E113">
        <v>2.2335228564930629</v>
      </c>
      <c r="F113">
        <v>7321.3522381769462</v>
      </c>
      <c r="G113">
        <v>12.276</v>
      </c>
      <c r="H113">
        <v>24.1</v>
      </c>
      <c r="I113">
        <v>159525</v>
      </c>
      <c r="J113">
        <v>1.8454999999999999E-5</v>
      </c>
      <c r="K113">
        <v>1007</v>
      </c>
      <c r="L113">
        <v>8.1146634999999991E-3</v>
      </c>
      <c r="M113">
        <v>1.87</v>
      </c>
      <c r="N113">
        <v>17.674292302009221</v>
      </c>
      <c r="O113">
        <v>404.3852242524917</v>
      </c>
      <c r="P113">
        <v>404</v>
      </c>
      <c r="Q113">
        <v>0.7</v>
      </c>
      <c r="R113">
        <v>42.32</v>
      </c>
      <c r="S113">
        <v>0.7</v>
      </c>
      <c r="T113">
        <v>41.54</v>
      </c>
      <c r="U113">
        <v>29.623999999999999</v>
      </c>
      <c r="V113">
        <v>29.077999999999999</v>
      </c>
      <c r="W113">
        <v>58.701999999999998</v>
      </c>
      <c r="X113">
        <v>31.764753081430591</v>
      </c>
      <c r="Y113">
        <v>8153.0555555555557</v>
      </c>
      <c r="Z113">
        <v>88.122182424530138</v>
      </c>
      <c r="AA113">
        <v>8064.9333731310253</v>
      </c>
      <c r="AB113">
        <v>8.1146634999999996E-4</v>
      </c>
      <c r="AC113">
        <v>24.56103051121443</v>
      </c>
      <c r="AD113">
        <v>297.7110305112144</v>
      </c>
      <c r="AE113">
        <v>297.60750999999999</v>
      </c>
      <c r="AF113">
        <v>304.62630999999999</v>
      </c>
      <c r="AG113">
        <v>302.69936000000001</v>
      </c>
      <c r="AH113">
        <v>304.86747000000003</v>
      </c>
      <c r="AI113">
        <v>304.90366</v>
      </c>
      <c r="AJ113">
        <v>32635.558000000001</v>
      </c>
      <c r="AK113">
        <v>2.6295246E-3</v>
      </c>
      <c r="AL113">
        <v>2.6452247000000002E-4</v>
      </c>
      <c r="AM113">
        <v>2.6451829999999998E-4</v>
      </c>
      <c r="AN113">
        <v>943.44127125115483</v>
      </c>
      <c r="AO113">
        <v>81.046063196089477</v>
      </c>
      <c r="AP113">
        <v>58187.567858826696</v>
      </c>
      <c r="AQ113">
        <v>418</v>
      </c>
      <c r="AR113">
        <v>57769.567858826696</v>
      </c>
      <c r="AS113">
        <v>1.7829499915039511</v>
      </c>
      <c r="AT113">
        <v>6.0280407081446841</v>
      </c>
      <c r="AU113">
        <v>2.923599743450171</v>
      </c>
      <c r="AV113">
        <v>28018.240411530951</v>
      </c>
      <c r="AW113">
        <v>661.01853209514502</v>
      </c>
      <c r="AZ113">
        <f t="shared" si="5"/>
        <v>64.626411064766828</v>
      </c>
      <c r="BA113">
        <f t="shared" si="6"/>
        <v>0.2025965418159251</v>
      </c>
      <c r="BB113">
        <f t="shared" si="7"/>
        <v>66.470605964607984</v>
      </c>
      <c r="BC113">
        <f t="shared" si="8"/>
        <v>0.17984164383427778</v>
      </c>
      <c r="BD113">
        <v>0.68300000000000005</v>
      </c>
      <c r="BF113">
        <v>0.72</v>
      </c>
    </row>
    <row r="114" spans="1:58" x14ac:dyDescent="0.25">
      <c r="A114" t="s">
        <v>61</v>
      </c>
      <c r="B114">
        <v>6</v>
      </c>
      <c r="C114">
        <v>0.5</v>
      </c>
      <c r="D114">
        <v>4500</v>
      </c>
      <c r="E114">
        <v>2.2335228564930629</v>
      </c>
      <c r="F114">
        <v>8246.9229472264378</v>
      </c>
      <c r="G114">
        <v>12.276</v>
      </c>
      <c r="H114">
        <v>24</v>
      </c>
      <c r="I114">
        <v>170125</v>
      </c>
      <c r="J114">
        <v>1.8451999999999999E-5</v>
      </c>
      <c r="K114">
        <v>1007</v>
      </c>
      <c r="L114">
        <v>9.1275124499999999E-3</v>
      </c>
      <c r="M114">
        <v>1.9950000000000001</v>
      </c>
      <c r="N114">
        <v>18.63471086072953</v>
      </c>
      <c r="O114">
        <v>454.85942441860459</v>
      </c>
      <c r="P114">
        <v>455</v>
      </c>
      <c r="Q114">
        <v>0.8</v>
      </c>
      <c r="R114">
        <v>48.41</v>
      </c>
      <c r="S114">
        <v>0.8</v>
      </c>
      <c r="T114">
        <v>47.46</v>
      </c>
      <c r="U114">
        <v>38.728000000000002</v>
      </c>
      <c r="V114">
        <v>37.968000000000004</v>
      </c>
      <c r="W114">
        <v>76.695999999999998</v>
      </c>
      <c r="X114">
        <v>33.29479432764775</v>
      </c>
      <c r="Y114">
        <v>10652.222222222221</v>
      </c>
      <c r="Z114">
        <v>120.7319515051564</v>
      </c>
      <c r="AA114">
        <v>10531.49027071707</v>
      </c>
      <c r="AB114">
        <v>9.1275124499999995E-4</v>
      </c>
      <c r="AC114">
        <v>24.496500396668019</v>
      </c>
      <c r="AD114">
        <v>297.64650039666799</v>
      </c>
      <c r="AE114">
        <v>297.53384999999997</v>
      </c>
      <c r="AF114">
        <v>305.68648000000002</v>
      </c>
      <c r="AG114">
        <v>303.48534000000001</v>
      </c>
      <c r="AH114">
        <v>306.30238000000003</v>
      </c>
      <c r="AI114">
        <v>306.27562999999998</v>
      </c>
      <c r="AJ114">
        <v>40296.400000000001</v>
      </c>
      <c r="AK114">
        <v>2.6295246E-3</v>
      </c>
      <c r="AL114">
        <v>2.6452247000000002E-4</v>
      </c>
      <c r="AM114">
        <v>2.6451829999999998E-4</v>
      </c>
      <c r="AN114">
        <v>1023.8393554586</v>
      </c>
      <c r="AO114">
        <v>87.952638530534998</v>
      </c>
      <c r="AP114">
        <v>69321.184715060153</v>
      </c>
      <c r="AQ114">
        <v>470</v>
      </c>
      <c r="AR114">
        <v>68851.184715060153</v>
      </c>
      <c r="AS114">
        <v>1.7202823258420139</v>
      </c>
      <c r="AT114">
        <v>5.9101909775513404</v>
      </c>
      <c r="AU114">
        <v>2.8664426241124001</v>
      </c>
      <c r="AV114">
        <v>33392.82458680417</v>
      </c>
      <c r="AW114">
        <v>743.52496334310854</v>
      </c>
      <c r="AZ114">
        <f t="shared" si="5"/>
        <v>71.240756161415277</v>
      </c>
      <c r="BA114">
        <f t="shared" si="6"/>
        <v>0.19001001730400352</v>
      </c>
      <c r="BB114">
        <f t="shared" si="7"/>
        <v>73.285696849356256</v>
      </c>
      <c r="BC114">
        <f t="shared" si="8"/>
        <v>0.16675954156948616</v>
      </c>
      <c r="BD114">
        <v>0.68300000000000005</v>
      </c>
      <c r="BF114">
        <v>0.72</v>
      </c>
    </row>
    <row r="115" spans="1:58" x14ac:dyDescent="0.25">
      <c r="A115" t="s">
        <v>61</v>
      </c>
      <c r="B115">
        <v>6</v>
      </c>
      <c r="C115">
        <v>0.5</v>
      </c>
      <c r="D115">
        <v>5000</v>
      </c>
      <c r="E115">
        <v>2.2335228564930629</v>
      </c>
      <c r="F115">
        <v>9152.1862167792588</v>
      </c>
      <c r="G115">
        <v>12.276</v>
      </c>
      <c r="H115">
        <v>24</v>
      </c>
      <c r="I115">
        <v>181125</v>
      </c>
      <c r="J115">
        <v>1.8454E-5</v>
      </c>
      <c r="K115">
        <v>1007</v>
      </c>
      <c r="L115">
        <v>1.0142779750000001E-2</v>
      </c>
      <c r="M115">
        <v>2.1240000000000001</v>
      </c>
      <c r="N115">
        <v>19.44982092276264</v>
      </c>
      <c r="O115">
        <v>505.45414036544861</v>
      </c>
      <c r="P115">
        <v>505</v>
      </c>
      <c r="Q115">
        <v>0.8</v>
      </c>
      <c r="R115">
        <v>46.83</v>
      </c>
      <c r="S115">
        <v>0.8</v>
      </c>
      <c r="T115">
        <v>48.08</v>
      </c>
      <c r="U115">
        <v>37.463999999999999</v>
      </c>
      <c r="V115">
        <v>38.463999999999999</v>
      </c>
      <c r="W115">
        <v>75.927999999999997</v>
      </c>
      <c r="X115">
        <v>32.660660019361089</v>
      </c>
      <c r="Y115">
        <v>10545.55555555556</v>
      </c>
      <c r="Z115">
        <v>107.21664699264279</v>
      </c>
      <c r="AA115">
        <v>10438.33890856291</v>
      </c>
      <c r="AB115">
        <v>1.0142779750000001E-3</v>
      </c>
      <c r="AC115">
        <v>24.475613746369799</v>
      </c>
      <c r="AD115">
        <v>297.62561374636982</v>
      </c>
      <c r="AE115">
        <v>297.49997000000002</v>
      </c>
      <c r="AF115">
        <v>304.71399000000002</v>
      </c>
      <c r="AG115">
        <v>302.52616</v>
      </c>
      <c r="AH115">
        <v>305.28647999999998</v>
      </c>
      <c r="AI115">
        <v>305.24041</v>
      </c>
      <c r="AJ115">
        <v>47300.970999999998</v>
      </c>
      <c r="AK115">
        <v>2.6295246E-3</v>
      </c>
      <c r="AL115">
        <v>2.6452247000000002E-4</v>
      </c>
      <c r="AM115">
        <v>2.6451829999999998E-4</v>
      </c>
      <c r="AN115">
        <v>1267.2354940081329</v>
      </c>
      <c r="AO115">
        <v>108.86151693947861</v>
      </c>
      <c r="AP115">
        <v>80396.619554695077</v>
      </c>
      <c r="AQ115">
        <v>522</v>
      </c>
      <c r="AR115">
        <v>79874.619554695077</v>
      </c>
      <c r="AS115">
        <v>1.699682223324656</v>
      </c>
      <c r="AT115">
        <v>5.7772643007032869</v>
      </c>
      <c r="AU115">
        <v>2.8019731858410939</v>
      </c>
      <c r="AV115">
        <v>38739.190484027109</v>
      </c>
      <c r="AW115">
        <v>826.22839279895732</v>
      </c>
      <c r="AZ115">
        <f t="shared" si="5"/>
        <v>77.729109530861038</v>
      </c>
      <c r="BA115">
        <f t="shared" si="6"/>
        <v>0.28598175263280212</v>
      </c>
      <c r="BB115">
        <f t="shared" si="7"/>
        <v>79.972007237731233</v>
      </c>
      <c r="BC115">
        <f t="shared" si="8"/>
        <v>0.26537853333247646</v>
      </c>
      <c r="BD115">
        <v>0.68300000000000005</v>
      </c>
      <c r="BF115">
        <v>0.72</v>
      </c>
    </row>
    <row r="116" spans="1:58" x14ac:dyDescent="0.25">
      <c r="A116" t="s">
        <v>62</v>
      </c>
    </row>
    <row r="117" spans="1:58" x14ac:dyDescent="0.25">
      <c r="A117" t="s">
        <v>63</v>
      </c>
      <c r="B117">
        <v>5</v>
      </c>
      <c r="C117">
        <v>0.3</v>
      </c>
      <c r="D117">
        <v>600</v>
      </c>
      <c r="E117">
        <v>2.0502715944190011</v>
      </c>
      <c r="F117">
        <v>1108.115424178442</v>
      </c>
      <c r="G117">
        <v>9.625</v>
      </c>
      <c r="H117">
        <v>24.6</v>
      </c>
      <c r="I117">
        <v>103825</v>
      </c>
      <c r="J117">
        <v>1.8471E-5</v>
      </c>
      <c r="K117">
        <v>1007</v>
      </c>
      <c r="L117">
        <v>1.040545314E-3</v>
      </c>
      <c r="M117">
        <v>1.2150000000000001</v>
      </c>
      <c r="N117">
        <v>4.4895599689347199</v>
      </c>
      <c r="O117">
        <v>51.854417641196022</v>
      </c>
      <c r="P117">
        <v>51</v>
      </c>
      <c r="Q117">
        <v>0.35</v>
      </c>
      <c r="R117">
        <v>32.130000000000003</v>
      </c>
      <c r="S117">
        <v>0.35</v>
      </c>
      <c r="T117">
        <v>32</v>
      </c>
      <c r="U117">
        <v>11.2455</v>
      </c>
      <c r="V117">
        <v>11.2</v>
      </c>
      <c r="W117">
        <v>22.445499999999999</v>
      </c>
      <c r="X117">
        <v>39.831904010397317</v>
      </c>
      <c r="Y117">
        <v>4489.0999999999995</v>
      </c>
      <c r="Z117">
        <v>260.05737017359809</v>
      </c>
      <c r="AA117">
        <v>4229.042629826401</v>
      </c>
      <c r="AB117">
        <v>1.040545314E-4</v>
      </c>
      <c r="AC117">
        <v>25.490763089491271</v>
      </c>
      <c r="AD117">
        <v>298.64076308949132</v>
      </c>
      <c r="AE117">
        <v>298.85293999999999</v>
      </c>
      <c r="AF117">
        <v>319.03973000000002</v>
      </c>
      <c r="AG117">
        <v>314.04145</v>
      </c>
      <c r="AH117">
        <v>315.64526999999998</v>
      </c>
      <c r="AI117">
        <v>315.68209000000002</v>
      </c>
      <c r="AJ117">
        <v>765.72757000000001</v>
      </c>
      <c r="AK117">
        <v>1.8690514E-3</v>
      </c>
      <c r="AL117">
        <v>2.0241321E-4</v>
      </c>
      <c r="AM117">
        <v>2.0241277E-4</v>
      </c>
      <c r="AN117">
        <v>172.72131760564031</v>
      </c>
      <c r="AO117">
        <v>13.620215816825651</v>
      </c>
      <c r="AP117">
        <v>2470.3515286545398</v>
      </c>
      <c r="AQ117">
        <v>42</v>
      </c>
      <c r="AR117">
        <v>2428.3515286545398</v>
      </c>
      <c r="AS117">
        <v>3.226149384505693</v>
      </c>
      <c r="AT117">
        <v>8.2029206111000779</v>
      </c>
      <c r="AU117">
        <v>4.4869975742717427</v>
      </c>
      <c r="AV117">
        <v>1328.3082861740329</v>
      </c>
      <c r="AW117">
        <v>108.10860405194801</v>
      </c>
      <c r="AZ117">
        <f t="shared" si="5"/>
        <v>13.749371403514797</v>
      </c>
      <c r="BA117">
        <f t="shared" si="6"/>
        <v>-9.4826387794527088E-3</v>
      </c>
      <c r="BB117">
        <f t="shared" si="7"/>
        <v>14.100517683014175</v>
      </c>
      <c r="BC117">
        <f t="shared" si="8"/>
        <v>-3.5263895421920287E-2</v>
      </c>
      <c r="BD117">
        <v>0.77</v>
      </c>
      <c r="BF117">
        <v>0.72</v>
      </c>
    </row>
    <row r="118" spans="1:58" x14ac:dyDescent="0.25">
      <c r="A118" t="s">
        <v>63</v>
      </c>
      <c r="B118">
        <v>5</v>
      </c>
      <c r="C118">
        <v>0.3</v>
      </c>
      <c r="D118">
        <v>800</v>
      </c>
      <c r="E118">
        <v>2.0502715944190011</v>
      </c>
      <c r="F118">
        <v>1499.214985653186</v>
      </c>
      <c r="G118">
        <v>9.625</v>
      </c>
      <c r="H118">
        <v>24.6</v>
      </c>
      <c r="I118">
        <v>105775</v>
      </c>
      <c r="J118">
        <v>1.8471E-5</v>
      </c>
      <c r="K118">
        <v>1007</v>
      </c>
      <c r="L118">
        <v>1.387393752E-3</v>
      </c>
      <c r="M118">
        <v>1.238</v>
      </c>
      <c r="N118">
        <v>5.9860799585796256</v>
      </c>
      <c r="O118">
        <v>69.139223521594687</v>
      </c>
      <c r="P118">
        <v>69</v>
      </c>
      <c r="Q118">
        <v>0.35</v>
      </c>
      <c r="R118">
        <v>32.130000000000003</v>
      </c>
      <c r="S118">
        <v>0.35</v>
      </c>
      <c r="T118">
        <v>32</v>
      </c>
      <c r="U118">
        <v>11.2455</v>
      </c>
      <c r="V118">
        <v>11.2</v>
      </c>
      <c r="W118">
        <v>22.445499999999999</v>
      </c>
      <c r="X118">
        <v>36.527131796454889</v>
      </c>
      <c r="Y118">
        <v>4489.0999999999995</v>
      </c>
      <c r="Z118">
        <v>189.622759977843</v>
      </c>
      <c r="AA118">
        <v>4299.4772400221564</v>
      </c>
      <c r="AB118">
        <v>1.387393752E-4</v>
      </c>
      <c r="AC118">
        <v>25.524871539533979</v>
      </c>
      <c r="AD118">
        <v>298.67487153953402</v>
      </c>
      <c r="AE118">
        <v>298.65929999999997</v>
      </c>
      <c r="AF118">
        <v>314.01522999999997</v>
      </c>
      <c r="AG118">
        <v>310.36971999999997</v>
      </c>
      <c r="AH118">
        <v>311.96663999999998</v>
      </c>
      <c r="AI118">
        <v>311.96564999999998</v>
      </c>
      <c r="AJ118">
        <v>1327.6590000000001</v>
      </c>
      <c r="AK118">
        <v>1.8690514E-3</v>
      </c>
      <c r="AL118">
        <v>2.0241321E-4</v>
      </c>
      <c r="AM118">
        <v>2.0241277E-4</v>
      </c>
      <c r="AN118">
        <v>219.01284150796479</v>
      </c>
      <c r="AO118">
        <v>17.27060799064504</v>
      </c>
      <c r="AP118">
        <v>4333.6622850693748</v>
      </c>
      <c r="AQ118">
        <v>56</v>
      </c>
      <c r="AR118">
        <v>4277.6622850693748</v>
      </c>
      <c r="AS118">
        <v>3.2641380693908411</v>
      </c>
      <c r="AT118">
        <v>8.2057098737128253</v>
      </c>
      <c r="AU118">
        <v>4.4885233009209156</v>
      </c>
      <c r="AV118">
        <v>2339.8812699329478</v>
      </c>
      <c r="AW118">
        <v>144.1448054025974</v>
      </c>
      <c r="AZ118">
        <f t="shared" si="5"/>
        <v>17.443943054475756</v>
      </c>
      <c r="BA118">
        <f t="shared" si="6"/>
        <v>-1.0036419327252799E-2</v>
      </c>
      <c r="BB118">
        <f t="shared" si="7"/>
        <v>17.89660031796237</v>
      </c>
      <c r="BC118">
        <f t="shared" si="8"/>
        <v>-3.6246108281562037E-2</v>
      </c>
      <c r="BD118">
        <v>0.77</v>
      </c>
      <c r="BF118">
        <v>0.72</v>
      </c>
    </row>
    <row r="119" spans="1:58" x14ac:dyDescent="0.25">
      <c r="A119" t="s">
        <v>63</v>
      </c>
      <c r="B119">
        <v>5</v>
      </c>
      <c r="C119">
        <v>0.3</v>
      </c>
      <c r="D119">
        <v>1000</v>
      </c>
      <c r="E119">
        <v>2.0502715944190011</v>
      </c>
      <c r="F119">
        <v>1867.980011185077</v>
      </c>
      <c r="G119">
        <v>9.625</v>
      </c>
      <c r="H119">
        <v>24.7</v>
      </c>
      <c r="I119">
        <v>107975</v>
      </c>
      <c r="J119">
        <v>1.8476999999999999E-5</v>
      </c>
      <c r="K119">
        <v>1007</v>
      </c>
      <c r="L119">
        <v>1.7348055299999999E-3</v>
      </c>
      <c r="M119">
        <v>1.2629999999999999</v>
      </c>
      <c r="N119">
        <v>7.4850305475255654</v>
      </c>
      <c r="O119">
        <v>86.452102823920271</v>
      </c>
      <c r="P119">
        <v>86</v>
      </c>
      <c r="Q119">
        <v>0.35</v>
      </c>
      <c r="R119">
        <v>32.130000000000003</v>
      </c>
      <c r="S119">
        <v>0.35</v>
      </c>
      <c r="T119">
        <v>32</v>
      </c>
      <c r="U119">
        <v>11.2455</v>
      </c>
      <c r="V119">
        <v>11.2</v>
      </c>
      <c r="W119">
        <v>22.445499999999999</v>
      </c>
      <c r="X119">
        <v>34.718175459632278</v>
      </c>
      <c r="Y119">
        <v>4489.0999999999995</v>
      </c>
      <c r="Z119">
        <v>151.0684735711427</v>
      </c>
      <c r="AA119">
        <v>4338.0315264288574</v>
      </c>
      <c r="AB119">
        <v>1.7348055300000001E-4</v>
      </c>
      <c r="AC119">
        <v>25.522894684252631</v>
      </c>
      <c r="AD119">
        <v>298.67289468425258</v>
      </c>
      <c r="AE119">
        <v>298.65366</v>
      </c>
      <c r="AF119">
        <v>311.11025000000001</v>
      </c>
      <c r="AG119">
        <v>308.31776000000002</v>
      </c>
      <c r="AH119">
        <v>309.88553999999999</v>
      </c>
      <c r="AI119">
        <v>309.88522999999998</v>
      </c>
      <c r="AJ119">
        <v>1993.8966</v>
      </c>
      <c r="AK119">
        <v>1.8690514E-3</v>
      </c>
      <c r="AL119">
        <v>2.0241321E-4</v>
      </c>
      <c r="AM119">
        <v>2.0241277E-4</v>
      </c>
      <c r="AN119">
        <v>256.77289690083461</v>
      </c>
      <c r="AO119">
        <v>20.248237566633069</v>
      </c>
      <c r="AP119">
        <v>6484.4957367439383</v>
      </c>
      <c r="AQ119">
        <v>70</v>
      </c>
      <c r="AR119">
        <v>6414.4957367439383</v>
      </c>
      <c r="AS119">
        <v>3.2521725232612049</v>
      </c>
      <c r="AT119">
        <v>7.9508814799881886</v>
      </c>
      <c r="AU119">
        <v>4.3491321695535392</v>
      </c>
      <c r="AV119">
        <v>3508.7291679989339</v>
      </c>
      <c r="AW119">
        <v>180.23953558441559</v>
      </c>
      <c r="AZ119">
        <f t="shared" si="5"/>
        <v>20.9806198114978</v>
      </c>
      <c r="BA119">
        <f t="shared" si="6"/>
        <v>-3.6170172463386059E-2</v>
      </c>
      <c r="BB119">
        <f t="shared" si="7"/>
        <v>21.531728639888133</v>
      </c>
      <c r="BC119">
        <f t="shared" si="8"/>
        <v>-6.338779209950203E-2</v>
      </c>
      <c r="BD119">
        <v>0.77</v>
      </c>
      <c r="BF119">
        <v>0.72</v>
      </c>
    </row>
    <row r="120" spans="1:58" x14ac:dyDescent="0.25">
      <c r="A120" t="s">
        <v>63</v>
      </c>
      <c r="B120">
        <v>5</v>
      </c>
      <c r="C120">
        <v>0.3</v>
      </c>
      <c r="D120">
        <v>1200</v>
      </c>
      <c r="E120">
        <v>2.0502715944190011</v>
      </c>
      <c r="F120">
        <v>2258.3414493380951</v>
      </c>
      <c r="G120">
        <v>9.625</v>
      </c>
      <c r="H120">
        <v>24.8</v>
      </c>
      <c r="I120">
        <v>110325</v>
      </c>
      <c r="J120">
        <v>1.8482E-5</v>
      </c>
      <c r="K120">
        <v>1007</v>
      </c>
      <c r="L120">
        <v>2.082329976E-3</v>
      </c>
      <c r="M120">
        <v>1.29</v>
      </c>
      <c r="N120">
        <v>8.9844672563317065</v>
      </c>
      <c r="O120">
        <v>103.7705968106312</v>
      </c>
      <c r="P120">
        <v>104</v>
      </c>
      <c r="Q120">
        <v>0.35</v>
      </c>
      <c r="R120">
        <v>32.130000000000003</v>
      </c>
      <c r="S120">
        <v>0.35</v>
      </c>
      <c r="T120">
        <v>32</v>
      </c>
      <c r="U120">
        <v>11.2455</v>
      </c>
      <c r="V120">
        <v>11.2</v>
      </c>
      <c r="W120">
        <v>22.445499999999999</v>
      </c>
      <c r="X120">
        <v>33.455409692845343</v>
      </c>
      <c r="Y120">
        <v>4489.0999999999995</v>
      </c>
      <c r="Z120">
        <v>124.15514678361259</v>
      </c>
      <c r="AA120">
        <v>4364.9448532163869</v>
      </c>
      <c r="AB120">
        <v>2.0823299760000001E-4</v>
      </c>
      <c r="AC120">
        <v>25.52863343755752</v>
      </c>
      <c r="AD120">
        <v>298.67863343755749</v>
      </c>
      <c r="AE120">
        <v>298.65674000000001</v>
      </c>
      <c r="AF120">
        <v>309.07510000000002</v>
      </c>
      <c r="AG120">
        <v>306.77391</v>
      </c>
      <c r="AH120">
        <v>308.3014</v>
      </c>
      <c r="AI120">
        <v>308.31896999999998</v>
      </c>
      <c r="AJ120">
        <v>2918.6695</v>
      </c>
      <c r="AK120">
        <v>1.8690514E-3</v>
      </c>
      <c r="AL120">
        <v>2.0241321E-4</v>
      </c>
      <c r="AM120">
        <v>2.0241277E-4</v>
      </c>
      <c r="AN120">
        <v>301.68245049230052</v>
      </c>
      <c r="AO120">
        <v>23.78965226073386</v>
      </c>
      <c r="AP120">
        <v>9082.2015817546435</v>
      </c>
      <c r="AQ120">
        <v>84</v>
      </c>
      <c r="AR120">
        <v>8998.2015817546435</v>
      </c>
      <c r="AS120">
        <v>3.1117608834280981</v>
      </c>
      <c r="AT120">
        <v>7.8263857805951984</v>
      </c>
      <c r="AU120">
        <v>4.2810330219855732</v>
      </c>
      <c r="AV120">
        <v>4922.0162652197914</v>
      </c>
      <c r="AW120">
        <v>216.3459715324675</v>
      </c>
      <c r="AZ120">
        <f t="shared" si="5"/>
        <v>24.396355818317868</v>
      </c>
      <c r="BA120">
        <f t="shared" si="6"/>
        <v>-2.5502834212730658E-2</v>
      </c>
      <c r="BB120">
        <f t="shared" si="7"/>
        <v>25.043533459486436</v>
      </c>
      <c r="BC120">
        <f t="shared" si="8"/>
        <v>-5.2706999875831613E-2</v>
      </c>
      <c r="BD120">
        <v>0.77</v>
      </c>
      <c r="BF120">
        <v>0.72</v>
      </c>
    </row>
    <row r="121" spans="1:58" x14ac:dyDescent="0.25">
      <c r="A121" t="s">
        <v>63</v>
      </c>
      <c r="B121">
        <v>5</v>
      </c>
      <c r="C121">
        <v>0.3</v>
      </c>
      <c r="D121">
        <v>1400</v>
      </c>
      <c r="E121">
        <v>2.0502715944190011</v>
      </c>
      <c r="F121">
        <v>2626.0725358713671</v>
      </c>
      <c r="G121">
        <v>9.625</v>
      </c>
      <c r="H121">
        <v>25</v>
      </c>
      <c r="I121">
        <v>113025</v>
      </c>
      <c r="J121">
        <v>1.8491999999999998E-5</v>
      </c>
      <c r="K121">
        <v>1007</v>
      </c>
      <c r="L121">
        <v>2.4306994320000001E-3</v>
      </c>
      <c r="M121">
        <v>1.321</v>
      </c>
      <c r="N121">
        <v>10.4875498640894</v>
      </c>
      <c r="O121">
        <v>121.13120093023259</v>
      </c>
      <c r="P121">
        <v>121</v>
      </c>
      <c r="Q121">
        <v>0.4</v>
      </c>
      <c r="R121">
        <v>36.72</v>
      </c>
      <c r="S121">
        <v>0.4</v>
      </c>
      <c r="T121">
        <v>36.79</v>
      </c>
      <c r="U121">
        <v>14.688000000000001</v>
      </c>
      <c r="V121">
        <v>14.715999999999999</v>
      </c>
      <c r="W121">
        <v>29.404</v>
      </c>
      <c r="X121">
        <v>34.910826585365847</v>
      </c>
      <c r="Y121">
        <v>5880.8</v>
      </c>
      <c r="Z121">
        <v>155.1744470139023</v>
      </c>
      <c r="AA121">
        <v>5725.6255529860982</v>
      </c>
      <c r="AB121">
        <v>2.4306994320000001E-4</v>
      </c>
      <c r="AC121">
        <v>25.59234926829269</v>
      </c>
      <c r="AD121">
        <v>298.74234926829268</v>
      </c>
      <c r="AE121">
        <v>298.70895000000002</v>
      </c>
      <c r="AF121">
        <v>310.44058000000001</v>
      </c>
      <c r="AG121">
        <v>307.90179999999998</v>
      </c>
      <c r="AH121">
        <v>309.88722999999999</v>
      </c>
      <c r="AI121">
        <v>309.87630000000001</v>
      </c>
      <c r="AJ121">
        <v>4112.3860999999997</v>
      </c>
      <c r="AK121">
        <v>1.8690514E-3</v>
      </c>
      <c r="AL121">
        <v>2.0241321E-4</v>
      </c>
      <c r="AM121">
        <v>2.0241277E-4</v>
      </c>
      <c r="AN121">
        <v>342.1629590688172</v>
      </c>
      <c r="AO121">
        <v>26.981807524659509</v>
      </c>
      <c r="AP121">
        <v>11836.12617886179</v>
      </c>
      <c r="AQ121">
        <v>98</v>
      </c>
      <c r="AR121">
        <v>11738.12617886179</v>
      </c>
      <c r="AS121">
        <v>2.8781651068370722</v>
      </c>
      <c r="AT121">
        <v>7.5863277481460409</v>
      </c>
      <c r="AU121">
        <v>4.1497212782358854</v>
      </c>
      <c r="AV121">
        <v>6420.7550198374001</v>
      </c>
      <c r="AW121">
        <v>252.54020072727269</v>
      </c>
      <c r="AZ121">
        <f t="shared" si="5"/>
        <v>27.714690812799891</v>
      </c>
      <c r="BA121">
        <f t="shared" si="6"/>
        <v>-2.7162127202581859E-2</v>
      </c>
      <c r="BB121">
        <f t="shared" si="7"/>
        <v>28.455992632618649</v>
      </c>
      <c r="BC121">
        <f t="shared" si="8"/>
        <v>-5.4636262104080208E-2</v>
      </c>
      <c r="BD121">
        <v>0.77</v>
      </c>
      <c r="BF121">
        <v>0.72</v>
      </c>
    </row>
    <row r="122" spans="1:58" x14ac:dyDescent="0.25">
      <c r="A122" t="s">
        <v>63</v>
      </c>
      <c r="B122">
        <v>5</v>
      </c>
      <c r="C122">
        <v>0.3</v>
      </c>
      <c r="D122">
        <v>1600</v>
      </c>
      <c r="E122">
        <v>2.0502715944190011</v>
      </c>
      <c r="F122">
        <v>2995.0248756218912</v>
      </c>
      <c r="G122">
        <v>9.625</v>
      </c>
      <c r="H122">
        <v>25</v>
      </c>
      <c r="I122">
        <v>116025</v>
      </c>
      <c r="J122">
        <v>1.8491999999999998E-5</v>
      </c>
      <c r="K122">
        <v>1007</v>
      </c>
      <c r="L122">
        <v>2.7779422079999999E-3</v>
      </c>
      <c r="M122">
        <v>1.3560000000000001</v>
      </c>
      <c r="N122">
        <v>11.98577127324503</v>
      </c>
      <c r="O122">
        <v>138.4356582059801</v>
      </c>
      <c r="P122">
        <v>138</v>
      </c>
      <c r="Q122">
        <v>0.4</v>
      </c>
      <c r="R122">
        <v>36.76</v>
      </c>
      <c r="S122">
        <v>0.4</v>
      </c>
      <c r="T122">
        <v>37.17</v>
      </c>
      <c r="U122">
        <v>14.704000000000001</v>
      </c>
      <c r="V122">
        <v>14.868</v>
      </c>
      <c r="W122">
        <v>29.571999999999999</v>
      </c>
      <c r="X122">
        <v>34.031384454200747</v>
      </c>
      <c r="Y122">
        <v>5914.4000000000005</v>
      </c>
      <c r="Z122">
        <v>136.43089687238071</v>
      </c>
      <c r="AA122">
        <v>5777.9691031276197</v>
      </c>
      <c r="AB122">
        <v>2.7779422080000002E-4</v>
      </c>
      <c r="AC122">
        <v>25.55288664937143</v>
      </c>
      <c r="AD122">
        <v>298.70288664937141</v>
      </c>
      <c r="AE122">
        <v>298.66037</v>
      </c>
      <c r="AF122">
        <v>308.96314999999998</v>
      </c>
      <c r="AG122">
        <v>306.78901000000002</v>
      </c>
      <c r="AH122">
        <v>308.75900000000001</v>
      </c>
      <c r="AI122">
        <v>308.75128999999998</v>
      </c>
      <c r="AJ122">
        <v>5378.2570999999998</v>
      </c>
      <c r="AK122">
        <v>1.8690514E-3</v>
      </c>
      <c r="AL122">
        <v>2.0241321E-4</v>
      </c>
      <c r="AM122">
        <v>2.0241277E-4</v>
      </c>
      <c r="AN122">
        <v>381.84564300201509</v>
      </c>
      <c r="AO122">
        <v>30.111049049988079</v>
      </c>
      <c r="AP122">
        <v>14793.49730592696</v>
      </c>
      <c r="AQ122">
        <v>112</v>
      </c>
      <c r="AR122">
        <v>14681.49730592696</v>
      </c>
      <c r="AS122">
        <v>2.7506117745704199</v>
      </c>
      <c r="AT122">
        <v>7.3659067851223679</v>
      </c>
      <c r="AU122">
        <v>4.0291510114619351</v>
      </c>
      <c r="AV122">
        <v>8030.7790263420466</v>
      </c>
      <c r="AW122">
        <v>288.61737225974031</v>
      </c>
      <c r="AZ122">
        <f t="shared" si="5"/>
        <v>30.95186166275759</v>
      </c>
      <c r="BA122">
        <f t="shared" si="6"/>
        <v>-2.7923723659499806E-2</v>
      </c>
      <c r="BB122">
        <f t="shared" si="7"/>
        <v>31.785649218670258</v>
      </c>
      <c r="BC122">
        <f t="shared" si="8"/>
        <v>-5.5614142366881177E-2</v>
      </c>
      <c r="BD122">
        <v>0.77</v>
      </c>
      <c r="BF122">
        <v>0.72</v>
      </c>
    </row>
    <row r="123" spans="1:58" x14ac:dyDescent="0.25">
      <c r="A123" t="s">
        <v>63</v>
      </c>
      <c r="B123">
        <v>5</v>
      </c>
      <c r="C123">
        <v>0.3</v>
      </c>
      <c r="D123">
        <v>1800</v>
      </c>
      <c r="E123">
        <v>2.0502715944190011</v>
      </c>
      <c r="F123">
        <v>3385.4972151624929</v>
      </c>
      <c r="G123">
        <v>9.625</v>
      </c>
      <c r="H123">
        <v>25</v>
      </c>
      <c r="I123">
        <v>119325</v>
      </c>
      <c r="J123">
        <v>1.8493000000000001E-5</v>
      </c>
      <c r="K123">
        <v>1007</v>
      </c>
      <c r="L123">
        <v>3.1253539859999999E-3</v>
      </c>
      <c r="M123">
        <v>1.3939999999999999</v>
      </c>
      <c r="N123">
        <v>13.484721862190961</v>
      </c>
      <c r="O123">
        <v>155.74853750830559</v>
      </c>
      <c r="P123">
        <v>156</v>
      </c>
      <c r="Q123">
        <v>0.4</v>
      </c>
      <c r="R123">
        <v>36.64</v>
      </c>
      <c r="S123">
        <v>0.4</v>
      </c>
      <c r="T123">
        <v>36.83</v>
      </c>
      <c r="U123">
        <v>14.656000000000001</v>
      </c>
      <c r="V123">
        <v>14.731999999999999</v>
      </c>
      <c r="W123">
        <v>29.388000000000002</v>
      </c>
      <c r="X123">
        <v>33.299465677458031</v>
      </c>
      <c r="Y123">
        <v>5877.5999999999995</v>
      </c>
      <c r="Z123">
        <v>120.83151198366291</v>
      </c>
      <c r="AA123">
        <v>5756.7684880163361</v>
      </c>
      <c r="AB123">
        <v>3.1253539859999997E-4</v>
      </c>
      <c r="AC123">
        <v>25.554882094324562</v>
      </c>
      <c r="AD123">
        <v>298.70488209432449</v>
      </c>
      <c r="AE123">
        <v>298.65105999999997</v>
      </c>
      <c r="AF123">
        <v>307.79226</v>
      </c>
      <c r="AG123">
        <v>305.87475999999998</v>
      </c>
      <c r="AH123">
        <v>307.76116999999999</v>
      </c>
      <c r="AI123">
        <v>307.81706000000003</v>
      </c>
      <c r="AJ123">
        <v>6762.9612999999999</v>
      </c>
      <c r="AK123">
        <v>1.8690514E-3</v>
      </c>
      <c r="AL123">
        <v>2.0241321E-4</v>
      </c>
      <c r="AM123">
        <v>2.0241277E-4</v>
      </c>
      <c r="AN123">
        <v>422.80652418211821</v>
      </c>
      <c r="AO123">
        <v>33.341084864062587</v>
      </c>
      <c r="AP123">
        <v>18149.572009059419</v>
      </c>
      <c r="AQ123">
        <v>126</v>
      </c>
      <c r="AR123">
        <v>18023.572009059419</v>
      </c>
      <c r="AS123">
        <v>2.6836723151231729</v>
      </c>
      <c r="AT123">
        <v>7.2505978352428748</v>
      </c>
      <c r="AU123">
        <v>3.9660770158778531</v>
      </c>
      <c r="AV123">
        <v>9858.8938889555047</v>
      </c>
      <c r="AW123">
        <v>324.71210244155839</v>
      </c>
      <c r="AZ123">
        <f t="shared" si="5"/>
        <v>34.119704206513155</v>
      </c>
      <c r="BA123">
        <f t="shared" si="6"/>
        <v>-2.335314959381601E-2</v>
      </c>
      <c r="BB123">
        <f t="shared" si="7"/>
        <v>35.044564721431065</v>
      </c>
      <c r="BC123">
        <f t="shared" si="8"/>
        <v>-5.1092514365200244E-2</v>
      </c>
      <c r="BD123">
        <v>0.77</v>
      </c>
      <c r="BF123">
        <v>0.72</v>
      </c>
    </row>
    <row r="124" spans="1:58" x14ac:dyDescent="0.25">
      <c r="A124" t="s">
        <v>63</v>
      </c>
      <c r="B124">
        <v>5</v>
      </c>
      <c r="C124">
        <v>0.3</v>
      </c>
      <c r="D124">
        <v>2000</v>
      </c>
      <c r="E124">
        <v>2.0502715944190011</v>
      </c>
      <c r="F124">
        <v>3754.4296039943029</v>
      </c>
      <c r="G124">
        <v>9.625</v>
      </c>
      <c r="H124">
        <v>25</v>
      </c>
      <c r="I124">
        <v>123025</v>
      </c>
      <c r="J124">
        <v>1.8493000000000001E-5</v>
      </c>
      <c r="K124">
        <v>1007</v>
      </c>
      <c r="L124">
        <v>3.4726155400000001E-3</v>
      </c>
      <c r="M124">
        <v>1.4379999999999999</v>
      </c>
      <c r="N124">
        <v>14.983024291323289</v>
      </c>
      <c r="O124">
        <v>173.05393056478411</v>
      </c>
      <c r="P124">
        <v>173</v>
      </c>
      <c r="Q124">
        <v>0.4</v>
      </c>
      <c r="R124">
        <v>36.64</v>
      </c>
      <c r="S124">
        <v>0.4</v>
      </c>
      <c r="T124">
        <v>36.83</v>
      </c>
      <c r="U124">
        <v>14.656000000000001</v>
      </c>
      <c r="V124">
        <v>14.731999999999999</v>
      </c>
      <c r="W124">
        <v>29.388000000000002</v>
      </c>
      <c r="X124">
        <v>32.749544409239569</v>
      </c>
      <c r="Y124">
        <v>5877.5999999999995</v>
      </c>
      <c r="Z124">
        <v>109.11103999412281</v>
      </c>
      <c r="AA124">
        <v>5768.4889600058759</v>
      </c>
      <c r="AB124">
        <v>3.4726155399999998E-4</v>
      </c>
      <c r="AC124">
        <v>25.55977923139822</v>
      </c>
      <c r="AD124">
        <v>298.70977923139822</v>
      </c>
      <c r="AE124">
        <v>298.65143</v>
      </c>
      <c r="AF124">
        <v>306.84438999999998</v>
      </c>
      <c r="AG124">
        <v>305.18482</v>
      </c>
      <c r="AH124">
        <v>307.07279999999997</v>
      </c>
      <c r="AI124">
        <v>307.06358999999998</v>
      </c>
      <c r="AJ124">
        <v>8245.7890000000007</v>
      </c>
      <c r="AK124">
        <v>1.8690514E-3</v>
      </c>
      <c r="AL124">
        <v>2.0241321E-4</v>
      </c>
      <c r="AM124">
        <v>2.0241277E-4</v>
      </c>
      <c r="AN124">
        <v>457.54977754105738</v>
      </c>
      <c r="AO124">
        <v>36.08081968942934</v>
      </c>
      <c r="AP124">
        <v>21556.094985009539</v>
      </c>
      <c r="AQ124">
        <v>140</v>
      </c>
      <c r="AR124">
        <v>21416.094985009539</v>
      </c>
      <c r="AS124">
        <v>2.614194346351761</v>
      </c>
      <c r="AT124">
        <v>7.0971744797010166</v>
      </c>
      <c r="AU124">
        <v>3.882154440396457</v>
      </c>
      <c r="AV124">
        <v>11714.60395680022</v>
      </c>
      <c r="AW124">
        <v>360.79122493506492</v>
      </c>
      <c r="AZ124">
        <f t="shared" si="5"/>
        <v>37.227204880021191</v>
      </c>
      <c r="BA124">
        <f t="shared" si="6"/>
        <v>-3.1772703626456379E-2</v>
      </c>
      <c r="BB124">
        <f t="shared" si="7"/>
        <v>38.241898542717365</v>
      </c>
      <c r="BC124">
        <f t="shared" si="8"/>
        <v>-5.9895503258789874E-2</v>
      </c>
      <c r="BD124">
        <v>0.77</v>
      </c>
      <c r="BF124">
        <v>0.72</v>
      </c>
    </row>
    <row r="125" spans="1:58" x14ac:dyDescent="0.25">
      <c r="A125" t="s">
        <v>63</v>
      </c>
      <c r="B125">
        <v>5</v>
      </c>
      <c r="C125">
        <v>0.3</v>
      </c>
      <c r="D125">
        <v>2500</v>
      </c>
      <c r="E125">
        <v>2.0502715944190011</v>
      </c>
      <c r="F125">
        <v>4685.8378378378366</v>
      </c>
      <c r="G125">
        <v>9.625</v>
      </c>
      <c r="H125">
        <v>25.1</v>
      </c>
      <c r="I125">
        <v>132125</v>
      </c>
      <c r="J125">
        <v>1.8499999999999999E-5</v>
      </c>
      <c r="K125">
        <v>1007</v>
      </c>
      <c r="L125">
        <v>4.3424125000000001E-3</v>
      </c>
      <c r="M125">
        <v>1.544</v>
      </c>
      <c r="N125">
        <v>18.735869612115462</v>
      </c>
      <c r="O125">
        <v>216.39929401993359</v>
      </c>
      <c r="P125">
        <v>216</v>
      </c>
      <c r="Q125">
        <v>0.45</v>
      </c>
      <c r="R125">
        <v>41.27</v>
      </c>
      <c r="S125">
        <v>0.45</v>
      </c>
      <c r="T125">
        <v>41.35</v>
      </c>
      <c r="U125">
        <v>18.5715</v>
      </c>
      <c r="V125">
        <v>18.607500000000002</v>
      </c>
      <c r="W125">
        <v>37.179000000000002</v>
      </c>
      <c r="X125">
        <v>33.408811431014833</v>
      </c>
      <c r="Y125">
        <v>7435.8</v>
      </c>
      <c r="Z125">
        <v>123.16199802921911</v>
      </c>
      <c r="AA125">
        <v>7312.6380019707813</v>
      </c>
      <c r="AB125">
        <v>4.3424125000000001E-4</v>
      </c>
      <c r="AC125">
        <v>25.57083409350054</v>
      </c>
      <c r="AD125">
        <v>298.72083409350051</v>
      </c>
      <c r="AE125">
        <v>298.63582000000002</v>
      </c>
      <c r="AF125">
        <v>306.88972000000001</v>
      </c>
      <c r="AG125">
        <v>305.30074000000002</v>
      </c>
      <c r="AH125">
        <v>307.60903999999999</v>
      </c>
      <c r="AI125">
        <v>307.66838999999999</v>
      </c>
      <c r="AJ125">
        <v>12961.789000000001</v>
      </c>
      <c r="AK125">
        <v>1.8690514E-3</v>
      </c>
      <c r="AL125">
        <v>2.0241321E-4</v>
      </c>
      <c r="AM125">
        <v>2.0241277E-4</v>
      </c>
      <c r="AN125">
        <v>544.29712882890851</v>
      </c>
      <c r="AO125">
        <v>42.921420852374247</v>
      </c>
      <c r="AP125">
        <v>30809.893196503232</v>
      </c>
      <c r="AQ125">
        <v>175</v>
      </c>
      <c r="AR125">
        <v>30634.893196503232</v>
      </c>
      <c r="AS125">
        <v>2.376978455404823</v>
      </c>
      <c r="AT125">
        <v>6.7541883828650926</v>
      </c>
      <c r="AU125">
        <v>3.6945410454272061</v>
      </c>
      <c r="AV125">
        <v>16757.28657848727</v>
      </c>
      <c r="AW125">
        <v>451.15974025974032</v>
      </c>
      <c r="AZ125">
        <f t="shared" si="5"/>
        <v>44.774844184787625</v>
      </c>
      <c r="BA125">
        <f t="shared" si="6"/>
        <v>-4.3181779531207054E-2</v>
      </c>
      <c r="BB125">
        <f t="shared" si="7"/>
        <v>46.00953071905414</v>
      </c>
      <c r="BC125">
        <f t="shared" si="8"/>
        <v>-7.1947987866041743E-2</v>
      </c>
      <c r="BD125">
        <v>0.77</v>
      </c>
      <c r="BF125">
        <v>0.72</v>
      </c>
    </row>
    <row r="126" spans="1:58" x14ac:dyDescent="0.25">
      <c r="A126" t="s">
        <v>63</v>
      </c>
      <c r="B126">
        <v>5</v>
      </c>
      <c r="C126">
        <v>0.3</v>
      </c>
      <c r="D126">
        <v>3000</v>
      </c>
      <c r="E126">
        <v>2.0502715944190011</v>
      </c>
      <c r="F126">
        <v>5511.3898500576706</v>
      </c>
      <c r="G126">
        <v>9.625</v>
      </c>
      <c r="H126">
        <v>25</v>
      </c>
      <c r="I126">
        <v>142125</v>
      </c>
      <c r="J126">
        <v>1.8496E-5</v>
      </c>
      <c r="K126">
        <v>1007</v>
      </c>
      <c r="L126">
        <v>5.2097683199999996E-3</v>
      </c>
      <c r="M126">
        <v>1.661</v>
      </c>
      <c r="N126">
        <v>22.478182335936491</v>
      </c>
      <c r="O126">
        <v>259.62300598006652</v>
      </c>
      <c r="P126">
        <v>254</v>
      </c>
      <c r="Q126">
        <v>0.45</v>
      </c>
      <c r="R126">
        <v>41.27</v>
      </c>
      <c r="S126">
        <v>0.45</v>
      </c>
      <c r="T126">
        <v>41.35</v>
      </c>
      <c r="U126">
        <v>18.5715</v>
      </c>
      <c r="V126">
        <v>18.607500000000002</v>
      </c>
      <c r="W126">
        <v>37.179000000000002</v>
      </c>
      <c r="X126">
        <v>32.458199392712551</v>
      </c>
      <c r="Y126">
        <v>7435.8</v>
      </c>
      <c r="Z126">
        <v>102.9016036568826</v>
      </c>
      <c r="AA126">
        <v>7332.8983963431174</v>
      </c>
      <c r="AB126">
        <v>5.2097683200000007E-4</v>
      </c>
      <c r="AC126">
        <v>25.526787449392732</v>
      </c>
      <c r="AD126">
        <v>298.67678744939269</v>
      </c>
      <c r="AE126">
        <v>298.57098000000002</v>
      </c>
      <c r="AF126">
        <v>305.51566000000003</v>
      </c>
      <c r="AG126">
        <v>303.97768000000002</v>
      </c>
      <c r="AH126">
        <v>306.22190000000001</v>
      </c>
      <c r="AI126">
        <v>306.30173000000002</v>
      </c>
      <c r="AJ126">
        <v>19211.261999999999</v>
      </c>
      <c r="AK126">
        <v>1.8690514E-3</v>
      </c>
      <c r="AL126">
        <v>2.0241321E-4</v>
      </c>
      <c r="AM126">
        <v>2.0241277E-4</v>
      </c>
      <c r="AN126">
        <v>688.77116743057445</v>
      </c>
      <c r="AO126">
        <v>54.314152293758497</v>
      </c>
      <c r="AP126">
        <v>40986.892712550609</v>
      </c>
      <c r="AQ126">
        <v>210</v>
      </c>
      <c r="AR126">
        <v>40776.892712550609</v>
      </c>
      <c r="AS126">
        <v>2.133482574572696</v>
      </c>
      <c r="AT126">
        <v>6.5130128837885932</v>
      </c>
      <c r="AU126">
        <v>3.5626180474323612</v>
      </c>
      <c r="AV126">
        <v>22304.960313765179</v>
      </c>
      <c r="AW126">
        <v>541.27463064935068</v>
      </c>
      <c r="AZ126">
        <f t="shared" si="5"/>
        <v>52.06438323824888</v>
      </c>
      <c r="BA126">
        <f t="shared" si="6"/>
        <v>4.1421415238918291E-2</v>
      </c>
      <c r="BB126">
        <f t="shared" si="7"/>
        <v>53.513642183068441</v>
      </c>
      <c r="BC126">
        <f t="shared" si="8"/>
        <v>1.4738517989942851E-2</v>
      </c>
      <c r="BD126">
        <v>0.77</v>
      </c>
      <c r="BF126">
        <v>0.72</v>
      </c>
    </row>
    <row r="127" spans="1:58" x14ac:dyDescent="0.25">
      <c r="A127" t="s">
        <v>63</v>
      </c>
      <c r="B127">
        <v>5</v>
      </c>
      <c r="C127">
        <v>0.3</v>
      </c>
      <c r="D127">
        <v>3500</v>
      </c>
      <c r="E127">
        <v>2.0502715944190011</v>
      </c>
      <c r="F127">
        <v>6573.8998810682206</v>
      </c>
      <c r="G127">
        <v>9.625</v>
      </c>
      <c r="H127">
        <v>25</v>
      </c>
      <c r="I127">
        <v>153025</v>
      </c>
      <c r="J127">
        <v>1.8498000000000001E-5</v>
      </c>
      <c r="K127">
        <v>1007</v>
      </c>
      <c r="L127">
        <v>6.0787202699999999E-3</v>
      </c>
      <c r="M127">
        <v>1.788</v>
      </c>
      <c r="N127">
        <v>26.22738175777711</v>
      </c>
      <c r="O127">
        <v>302.92625930232572</v>
      </c>
      <c r="P127">
        <v>303</v>
      </c>
      <c r="Q127">
        <v>0.45</v>
      </c>
      <c r="R127">
        <v>41.27</v>
      </c>
      <c r="S127">
        <v>0.45</v>
      </c>
      <c r="T127">
        <v>41.35</v>
      </c>
      <c r="U127">
        <v>18.5715</v>
      </c>
      <c r="V127">
        <v>18.607500000000002</v>
      </c>
      <c r="W127">
        <v>37.179000000000002</v>
      </c>
      <c r="X127">
        <v>31.789435185185191</v>
      </c>
      <c r="Y127">
        <v>7435.8</v>
      </c>
      <c r="Z127">
        <v>88.648232101851818</v>
      </c>
      <c r="AA127">
        <v>7347.1517678981481</v>
      </c>
      <c r="AB127">
        <v>6.0787202699999997E-4</v>
      </c>
      <c r="AC127">
        <v>25.52336354775829</v>
      </c>
      <c r="AD127">
        <v>298.67336354775819</v>
      </c>
      <c r="AE127">
        <v>298.53620000000001</v>
      </c>
      <c r="AF127">
        <v>304.44351</v>
      </c>
      <c r="AG127">
        <v>303.06297000000001</v>
      </c>
      <c r="AH127">
        <v>305.23674</v>
      </c>
      <c r="AI127">
        <v>305.39269999999999</v>
      </c>
      <c r="AJ127">
        <v>25622.526000000002</v>
      </c>
      <c r="AK127">
        <v>1.8690514E-3</v>
      </c>
      <c r="AL127">
        <v>2.0241321E-4</v>
      </c>
      <c r="AM127">
        <v>2.0241277E-4</v>
      </c>
      <c r="AN127">
        <v>818.41670209920119</v>
      </c>
      <c r="AO127">
        <v>64.537558335079609</v>
      </c>
      <c r="AP127">
        <v>51771.439571150091</v>
      </c>
      <c r="AQ127">
        <v>245</v>
      </c>
      <c r="AR127">
        <v>51526.439571150091</v>
      </c>
      <c r="AS127">
        <v>2.0205439374381</v>
      </c>
      <c r="AT127">
        <v>6.3142960370247039</v>
      </c>
      <c r="AU127">
        <v>3.4539199322525129</v>
      </c>
      <c r="AV127">
        <v>28184.9624454191</v>
      </c>
      <c r="AW127">
        <v>631.55535272727275</v>
      </c>
      <c r="AZ127">
        <f t="shared" si="5"/>
        <v>59.146058311043348</v>
      </c>
      <c r="BA127">
        <f t="shared" si="6"/>
        <v>8.3540502044461354E-2</v>
      </c>
      <c r="BB127">
        <f t="shared" si="7"/>
        <v>60.805469410673766</v>
      </c>
      <c r="BC127">
        <f t="shared" si="8"/>
        <v>5.7828170458956669E-2</v>
      </c>
      <c r="BD127">
        <v>0.77</v>
      </c>
      <c r="BF127">
        <v>0.72</v>
      </c>
    </row>
    <row r="128" spans="1:58" x14ac:dyDescent="0.25">
      <c r="A128" t="s">
        <v>63</v>
      </c>
      <c r="B128">
        <v>5</v>
      </c>
      <c r="C128">
        <v>0.3</v>
      </c>
      <c r="D128">
        <v>4000</v>
      </c>
      <c r="E128">
        <v>2.0502715944190011</v>
      </c>
      <c r="F128">
        <v>7354.1621621621643</v>
      </c>
      <c r="G128">
        <v>9.625</v>
      </c>
      <c r="H128">
        <v>25</v>
      </c>
      <c r="I128">
        <v>164725</v>
      </c>
      <c r="J128">
        <v>1.8499999999999999E-5</v>
      </c>
      <c r="K128">
        <v>1007</v>
      </c>
      <c r="L128">
        <v>6.9478599999999984E-3</v>
      </c>
      <c r="M128">
        <v>1.925</v>
      </c>
      <c r="N128">
        <v>29.977391379384731</v>
      </c>
      <c r="O128">
        <v>346.23887043189359</v>
      </c>
      <c r="P128">
        <v>339</v>
      </c>
      <c r="Q128">
        <v>0.5</v>
      </c>
      <c r="R128">
        <v>45.83</v>
      </c>
      <c r="S128">
        <v>0.5</v>
      </c>
      <c r="T128">
        <v>45.88</v>
      </c>
      <c r="U128">
        <v>22.914999999999999</v>
      </c>
      <c r="V128">
        <v>22.94</v>
      </c>
      <c r="W128">
        <v>45.854999999999997</v>
      </c>
      <c r="X128">
        <v>32.591886259007211</v>
      </c>
      <c r="Y128">
        <v>9171</v>
      </c>
      <c r="Z128">
        <v>105.7508718382206</v>
      </c>
      <c r="AA128">
        <v>9065.2491281617786</v>
      </c>
      <c r="AB128">
        <v>6.9478599999999986E-4</v>
      </c>
      <c r="AC128">
        <v>25.481375100080061</v>
      </c>
      <c r="AD128">
        <v>298.63137510007999</v>
      </c>
      <c r="AE128">
        <v>298.47064999999998</v>
      </c>
      <c r="AF128">
        <v>304.82923</v>
      </c>
      <c r="AG128">
        <v>303.36284000000001</v>
      </c>
      <c r="AH128">
        <v>306.06365</v>
      </c>
      <c r="AI128">
        <v>306.09636999999998</v>
      </c>
      <c r="AJ128">
        <v>31619.963</v>
      </c>
      <c r="AK128">
        <v>1.8690514E-3</v>
      </c>
      <c r="AL128">
        <v>2.0241321E-4</v>
      </c>
      <c r="AM128">
        <v>2.0241277E-4</v>
      </c>
      <c r="AN128">
        <v>907.44950130164807</v>
      </c>
      <c r="AO128">
        <v>71.558382149556053</v>
      </c>
      <c r="AP128">
        <v>63368.821056845482</v>
      </c>
      <c r="AQ128">
        <v>280</v>
      </c>
      <c r="AR128">
        <v>63088.821056845482</v>
      </c>
      <c r="AS128">
        <v>2.0040763822793051</v>
      </c>
      <c r="AT128">
        <v>6.1899901029808184</v>
      </c>
      <c r="AU128">
        <v>3.3859245863305079</v>
      </c>
      <c r="AV128">
        <v>34509.585118094481</v>
      </c>
      <c r="AW128">
        <v>721.85558441558419</v>
      </c>
      <c r="AZ128">
        <f t="shared" si="5"/>
        <v>66.054520582828104</v>
      </c>
      <c r="BA128">
        <f t="shared" si="6"/>
        <v>7.6914281757026762E-2</v>
      </c>
      <c r="BB128">
        <f t="shared" si="7"/>
        <v>67.920362020644831</v>
      </c>
      <c r="BC128">
        <f t="shared" si="8"/>
        <v>5.0839887929660134E-2</v>
      </c>
      <c r="BD128">
        <v>0.77</v>
      </c>
      <c r="BF128">
        <v>0.72</v>
      </c>
    </row>
    <row r="129" spans="1:58" x14ac:dyDescent="0.25">
      <c r="A129" t="s">
        <v>63</v>
      </c>
      <c r="B129">
        <v>5</v>
      </c>
      <c r="C129">
        <v>0.3</v>
      </c>
      <c r="D129">
        <v>4500</v>
      </c>
      <c r="E129">
        <v>2.0502715944190011</v>
      </c>
      <c r="F129">
        <v>7355.3549224198532</v>
      </c>
      <c r="G129">
        <v>9.625</v>
      </c>
      <c r="H129">
        <v>24.9</v>
      </c>
      <c r="I129">
        <v>177325</v>
      </c>
      <c r="J129">
        <v>1.8496999999999999E-5</v>
      </c>
      <c r="K129">
        <v>1007</v>
      </c>
      <c r="L129">
        <v>7.8150749849999999E-3</v>
      </c>
      <c r="M129">
        <v>2.073</v>
      </c>
      <c r="N129">
        <v>33.719096453380509</v>
      </c>
      <c r="O129">
        <v>389.45556403654479</v>
      </c>
      <c r="P129">
        <v>339</v>
      </c>
      <c r="Q129">
        <v>0.5</v>
      </c>
      <c r="R129">
        <v>45.83</v>
      </c>
      <c r="S129">
        <v>0.5</v>
      </c>
      <c r="T129">
        <v>45.88</v>
      </c>
      <c r="U129">
        <v>22.914999999999999</v>
      </c>
      <c r="V129">
        <v>22.94</v>
      </c>
      <c r="W129">
        <v>45.854999999999997</v>
      </c>
      <c r="X129">
        <v>32.047932252288113</v>
      </c>
      <c r="Y129">
        <v>9171</v>
      </c>
      <c r="Z129">
        <v>94.15758009301635</v>
      </c>
      <c r="AA129">
        <v>9076.8424199069832</v>
      </c>
      <c r="AB129">
        <v>7.8150749850000004E-4</v>
      </c>
      <c r="AC129">
        <v>25.468226223637071</v>
      </c>
      <c r="AD129">
        <v>298.61822622363712</v>
      </c>
      <c r="AE129">
        <v>298.43797000000001</v>
      </c>
      <c r="AF129">
        <v>304.00664999999998</v>
      </c>
      <c r="AG129">
        <v>302.58625999999998</v>
      </c>
      <c r="AH129">
        <v>305.24763000000002</v>
      </c>
      <c r="AI129">
        <v>305.31709999999998</v>
      </c>
      <c r="AJ129">
        <v>38624.402000000002</v>
      </c>
      <c r="AK129">
        <v>1.8690514E-3</v>
      </c>
      <c r="AL129">
        <v>2.0241321E-4</v>
      </c>
      <c r="AM129">
        <v>2.0241277E-4</v>
      </c>
      <c r="AN129">
        <v>1082.4040957187649</v>
      </c>
      <c r="AO129">
        <v>85.354706582114247</v>
      </c>
      <c r="AP129">
        <v>75982.848852632975</v>
      </c>
      <c r="AQ129">
        <v>315</v>
      </c>
      <c r="AR129">
        <v>75667.848852632975</v>
      </c>
      <c r="AS129">
        <v>1.9672239547587811</v>
      </c>
      <c r="AT129">
        <v>6.1465459497230128</v>
      </c>
      <c r="AU129">
        <v>3.3621606344984878</v>
      </c>
      <c r="AV129">
        <v>41390.313322390241</v>
      </c>
      <c r="AW129">
        <v>811.95584259740258</v>
      </c>
      <c r="AZ129">
        <f t="shared" si="5"/>
        <v>72.815028974523216</v>
      </c>
      <c r="BA129">
        <f t="shared" si="6"/>
        <v>0.14691255010674095</v>
      </c>
      <c r="BB129">
        <f t="shared" si="7"/>
        <v>74.88409333283056</v>
      </c>
      <c r="BC129">
        <f t="shared" si="8"/>
        <v>0.12267177369077577</v>
      </c>
      <c r="BD129">
        <v>0.77</v>
      </c>
      <c r="BF129">
        <v>0.72</v>
      </c>
    </row>
    <row r="130" spans="1:58" x14ac:dyDescent="0.25">
      <c r="A130" t="s">
        <v>64</v>
      </c>
    </row>
    <row r="131" spans="1:58" x14ac:dyDescent="0.25">
      <c r="A131" t="s">
        <v>65</v>
      </c>
      <c r="B131">
        <v>5</v>
      </c>
      <c r="C131">
        <v>0.4</v>
      </c>
      <c r="D131">
        <v>600</v>
      </c>
      <c r="E131">
        <v>1.887561108093428</v>
      </c>
      <c r="F131">
        <v>1110.1589195639201</v>
      </c>
      <c r="G131">
        <v>8.6875</v>
      </c>
      <c r="H131">
        <v>23.9</v>
      </c>
      <c r="I131">
        <v>104425</v>
      </c>
      <c r="J131">
        <v>1.8437E-5</v>
      </c>
      <c r="K131">
        <v>1007</v>
      </c>
      <c r="L131">
        <v>1.01827551E-3</v>
      </c>
      <c r="M131">
        <v>1.2250000000000001</v>
      </c>
      <c r="N131">
        <v>4.8675900953655677</v>
      </c>
      <c r="O131">
        <v>50.744626744186043</v>
      </c>
      <c r="P131">
        <v>51</v>
      </c>
      <c r="Q131">
        <v>0.35</v>
      </c>
      <c r="R131">
        <v>32.21</v>
      </c>
      <c r="S131">
        <v>0.35</v>
      </c>
      <c r="T131">
        <v>32.51</v>
      </c>
      <c r="U131">
        <v>11.2735</v>
      </c>
      <c r="V131">
        <v>11.378500000000001</v>
      </c>
      <c r="W131">
        <v>22.652000000000001</v>
      </c>
      <c r="X131">
        <v>38.455312500000012</v>
      </c>
      <c r="Y131">
        <v>4530.3999999999996</v>
      </c>
      <c r="Z131">
        <v>230.71807531250019</v>
      </c>
      <c r="AA131">
        <v>4299.6819246874993</v>
      </c>
      <c r="AB131">
        <v>1.0182755100000001E-4</v>
      </c>
      <c r="AC131">
        <v>24.45204117647058</v>
      </c>
      <c r="AD131">
        <v>297.60204117647049</v>
      </c>
      <c r="AE131">
        <v>297.59424000000001</v>
      </c>
      <c r="AF131">
        <v>318.52443</v>
      </c>
      <c r="AG131">
        <v>313.42845</v>
      </c>
      <c r="AH131">
        <v>314.67406999999997</v>
      </c>
      <c r="AI131">
        <v>314.72372000000001</v>
      </c>
      <c r="AJ131">
        <v>997.17228999999998</v>
      </c>
      <c r="AK131">
        <v>1.831741E-3</v>
      </c>
      <c r="AL131">
        <v>1.8639281999999999E-4</v>
      </c>
      <c r="AM131">
        <v>1.8638654000000001E-4</v>
      </c>
      <c r="AN131">
        <v>174.64298411721839</v>
      </c>
      <c r="AO131">
        <v>12.67881940850153</v>
      </c>
      <c r="AP131">
        <v>3224.741830065359</v>
      </c>
      <c r="AQ131">
        <v>42</v>
      </c>
      <c r="AR131">
        <v>3182.741830065359</v>
      </c>
      <c r="AS131">
        <v>3.2338863227590879</v>
      </c>
      <c r="AT131">
        <v>8.4552822037951554</v>
      </c>
      <c r="AU131">
        <v>4.1769094086748071</v>
      </c>
      <c r="AV131">
        <v>1572.2744640522881</v>
      </c>
      <c r="AW131">
        <v>117.2115694964029</v>
      </c>
      <c r="AZ131">
        <f t="shared" si="5"/>
        <v>13.494820085067031</v>
      </c>
      <c r="BA131">
        <f t="shared" si="6"/>
        <v>-6.4359357939773806E-2</v>
      </c>
      <c r="BB131">
        <f t="shared" si="7"/>
        <v>13.887228115492896</v>
      </c>
      <c r="BC131">
        <f t="shared" si="8"/>
        <v>-9.5309245132168291E-2</v>
      </c>
      <c r="BD131">
        <v>0.69499999999999995</v>
      </c>
      <c r="BF131">
        <v>0.72</v>
      </c>
    </row>
    <row r="132" spans="1:58" x14ac:dyDescent="0.25">
      <c r="A132" t="s">
        <v>65</v>
      </c>
      <c r="B132">
        <v>5</v>
      </c>
      <c r="C132">
        <v>0.4</v>
      </c>
      <c r="D132">
        <v>800</v>
      </c>
      <c r="E132">
        <v>1.887561108093428</v>
      </c>
      <c r="F132">
        <v>1479.730340327857</v>
      </c>
      <c r="G132">
        <v>8.6875</v>
      </c>
      <c r="H132">
        <v>24</v>
      </c>
      <c r="I132">
        <v>106825</v>
      </c>
      <c r="J132">
        <v>1.8442999999999999E-5</v>
      </c>
      <c r="K132">
        <v>1007</v>
      </c>
      <c r="L132">
        <v>1.35814252E-3</v>
      </c>
      <c r="M132">
        <v>1.2529999999999999</v>
      </c>
      <c r="N132">
        <v>6.492232223523505</v>
      </c>
      <c r="O132">
        <v>67.681520930232537</v>
      </c>
      <c r="P132">
        <v>68</v>
      </c>
      <c r="Q132">
        <v>0.35</v>
      </c>
      <c r="R132">
        <v>32.21</v>
      </c>
      <c r="S132">
        <v>0.35</v>
      </c>
      <c r="T132">
        <v>32.51</v>
      </c>
      <c r="U132">
        <v>11.2735</v>
      </c>
      <c r="V132">
        <v>11.378500000000001</v>
      </c>
      <c r="W132">
        <v>22.652000000000001</v>
      </c>
      <c r="X132">
        <v>35.540663828140133</v>
      </c>
      <c r="Y132">
        <v>4530.3999999999996</v>
      </c>
      <c r="Z132">
        <v>168.5981681691504</v>
      </c>
      <c r="AA132">
        <v>4361.8018318308496</v>
      </c>
      <c r="AB132">
        <v>1.3581425199999999E-4</v>
      </c>
      <c r="AC132">
        <v>24.534397135668701</v>
      </c>
      <c r="AD132">
        <v>297.68439713566869</v>
      </c>
      <c r="AE132">
        <v>297.66989000000001</v>
      </c>
      <c r="AF132">
        <v>313.59611999999998</v>
      </c>
      <c r="AG132">
        <v>309.77190000000002</v>
      </c>
      <c r="AH132">
        <v>311.02476000000001</v>
      </c>
      <c r="AI132">
        <v>311.03147000000001</v>
      </c>
      <c r="AJ132">
        <v>1740.3035</v>
      </c>
      <c r="AK132">
        <v>1.831741E-3</v>
      </c>
      <c r="AL132">
        <v>1.8639281999999999E-4</v>
      </c>
      <c r="AM132">
        <v>1.8638654000000001E-4</v>
      </c>
      <c r="AN132">
        <v>227.35315723573461</v>
      </c>
      <c r="AO132">
        <v>16.505499130785481</v>
      </c>
      <c r="AP132">
        <v>5588.7123411392813</v>
      </c>
      <c r="AQ132">
        <v>56</v>
      </c>
      <c r="AR132">
        <v>5532.7123411392813</v>
      </c>
      <c r="AS132">
        <v>3.211343504819292</v>
      </c>
      <c r="AT132">
        <v>8.3580873321208298</v>
      </c>
      <c r="AU132">
        <v>4.12889514206769</v>
      </c>
      <c r="AV132">
        <v>2733.159896522805</v>
      </c>
      <c r="AW132">
        <v>156.33295194244599</v>
      </c>
      <c r="AZ132">
        <f t="shared" si="5"/>
        <v>17.120991657417019</v>
      </c>
      <c r="BA132">
        <f t="shared" ref="BA132:BA179" si="9">(AO132-AZ132)/AO132</f>
        <v>-3.7290149286278954E-2</v>
      </c>
      <c r="BB132">
        <f t="shared" ref="BB132:BB179" si="10">0.4226*D132^0.82869*(C132/B132)^0.4638*BD132^1.45073*BF132^(1/3)</f>
        <v>17.625889821530198</v>
      </c>
      <c r="BC132">
        <f t="shared" ref="BC132:BC179" si="11">(AO132-BB132)/AO132</f>
        <v>-6.7879843067272252E-2</v>
      </c>
      <c r="BD132">
        <v>0.69499999999999995</v>
      </c>
      <c r="BF132">
        <v>0.72</v>
      </c>
    </row>
    <row r="133" spans="1:58" x14ac:dyDescent="0.25">
      <c r="A133" t="s">
        <v>65</v>
      </c>
      <c r="B133">
        <v>5</v>
      </c>
      <c r="C133">
        <v>0.4</v>
      </c>
      <c r="D133">
        <v>1000</v>
      </c>
      <c r="E133">
        <v>1.887561108093428</v>
      </c>
      <c r="F133">
        <v>1849.6629254098209</v>
      </c>
      <c r="G133">
        <v>8.6875</v>
      </c>
      <c r="H133">
        <v>24</v>
      </c>
      <c r="I133">
        <v>109625</v>
      </c>
      <c r="J133">
        <v>1.8442999999999999E-5</v>
      </c>
      <c r="K133">
        <v>1007</v>
      </c>
      <c r="L133">
        <v>1.69767815E-3</v>
      </c>
      <c r="M133">
        <v>1.2849999999999999</v>
      </c>
      <c r="N133">
        <v>8.1152902794043822</v>
      </c>
      <c r="O133">
        <v>84.601901162790696</v>
      </c>
      <c r="P133">
        <v>85</v>
      </c>
      <c r="Q133">
        <v>0.35</v>
      </c>
      <c r="R133">
        <v>32.21</v>
      </c>
      <c r="S133">
        <v>0.35</v>
      </c>
      <c r="T133">
        <v>32.51</v>
      </c>
      <c r="U133">
        <v>11.2735</v>
      </c>
      <c r="V133">
        <v>11.378500000000001</v>
      </c>
      <c r="W133">
        <v>22.652000000000001</v>
      </c>
      <c r="X133">
        <v>33.736745824109477</v>
      </c>
      <c r="Y133">
        <v>4530.3999999999996</v>
      </c>
      <c r="Z133">
        <v>130.1512637492452</v>
      </c>
      <c r="AA133">
        <v>4400.2487362507554</v>
      </c>
      <c r="AB133">
        <v>1.69767815E-4</v>
      </c>
      <c r="AC133">
        <v>24.61271281948077</v>
      </c>
      <c r="AD133">
        <v>297.76271281948073</v>
      </c>
      <c r="AE133">
        <v>297.74450999999999</v>
      </c>
      <c r="AF133">
        <v>310.55680999999998</v>
      </c>
      <c r="AG133">
        <v>307.60379999999998</v>
      </c>
      <c r="AH133">
        <v>308.83699999999999</v>
      </c>
      <c r="AI133">
        <v>308.85377999999997</v>
      </c>
      <c r="AJ133">
        <v>2704.3008</v>
      </c>
      <c r="AK133">
        <v>1.831741E-3</v>
      </c>
      <c r="AL133">
        <v>1.8639281999999999E-4</v>
      </c>
      <c r="AM133">
        <v>1.8638654000000001E-4</v>
      </c>
      <c r="AN133">
        <v>272.4491935088385</v>
      </c>
      <c r="AO133">
        <v>19.779403907642461</v>
      </c>
      <c r="AP133">
        <v>8347.7269068222977</v>
      </c>
      <c r="AQ133">
        <v>70</v>
      </c>
      <c r="AR133">
        <v>8277.7269068222977</v>
      </c>
      <c r="AS133">
        <v>3.0868337230911211</v>
      </c>
      <c r="AT133">
        <v>8.1078746424791124</v>
      </c>
      <c r="AU133">
        <v>4.0052900733846819</v>
      </c>
      <c r="AV133">
        <v>4089.1970919702148</v>
      </c>
      <c r="AW133">
        <v>195.41618992805749</v>
      </c>
      <c r="AZ133">
        <f t="shared" ref="AZ133:AZ179" si="12">0.0944*D133^0.8273*(E133/B133)^0.226*BF133^(1/3)</f>
        <v>20.592191549715384</v>
      </c>
      <c r="BA133">
        <f t="shared" si="9"/>
        <v>-4.1092625736758134E-2</v>
      </c>
      <c r="BB133">
        <f t="shared" si="10"/>
        <v>21.206031868122118</v>
      </c>
      <c r="BC133">
        <f t="shared" si="11"/>
        <v>-7.2126944125370185E-2</v>
      </c>
      <c r="BD133">
        <v>0.69499999999999995</v>
      </c>
      <c r="BF133">
        <v>0.72</v>
      </c>
    </row>
    <row r="134" spans="1:58" x14ac:dyDescent="0.25">
      <c r="A134" t="s">
        <v>65</v>
      </c>
      <c r="B134">
        <v>5</v>
      </c>
      <c r="C134">
        <v>0.4</v>
      </c>
      <c r="D134">
        <v>1200</v>
      </c>
      <c r="E134">
        <v>1.887561108093428</v>
      </c>
      <c r="F134">
        <v>2218.9939288811788</v>
      </c>
      <c r="G134">
        <v>8.6875</v>
      </c>
      <c r="H134">
        <v>24.1</v>
      </c>
      <c r="I134">
        <v>112625</v>
      </c>
      <c r="J134">
        <v>1.8448E-5</v>
      </c>
      <c r="K134">
        <v>1007</v>
      </c>
      <c r="L134">
        <v>2.03776608E-3</v>
      </c>
      <c r="M134">
        <v>1.32</v>
      </c>
      <c r="N134">
        <v>9.740988455747031</v>
      </c>
      <c r="O134">
        <v>101.5498046511628</v>
      </c>
      <c r="P134">
        <v>102</v>
      </c>
      <c r="Q134">
        <v>0.35</v>
      </c>
      <c r="R134">
        <v>32.21</v>
      </c>
      <c r="S134">
        <v>0.35</v>
      </c>
      <c r="T134">
        <v>32.51</v>
      </c>
      <c r="U134">
        <v>11.2735</v>
      </c>
      <c r="V134">
        <v>11.378500000000001</v>
      </c>
      <c r="W134">
        <v>22.652000000000001</v>
      </c>
      <c r="X134">
        <v>32.53452932386999</v>
      </c>
      <c r="Y134">
        <v>4530.3999999999996</v>
      </c>
      <c r="Z134">
        <v>104.52842347964111</v>
      </c>
      <c r="AA134">
        <v>4425.8715765203588</v>
      </c>
      <c r="AB134">
        <v>2.0377660800000001E-4</v>
      </c>
      <c r="AC134">
        <v>24.682556032872601</v>
      </c>
      <c r="AD134">
        <v>297.83255603287262</v>
      </c>
      <c r="AE134">
        <v>297.80811</v>
      </c>
      <c r="AF134">
        <v>308.56155000000001</v>
      </c>
      <c r="AG134">
        <v>306.13360999999998</v>
      </c>
      <c r="AH134">
        <v>307.36777999999998</v>
      </c>
      <c r="AI134">
        <v>307.32243999999997</v>
      </c>
      <c r="AJ134">
        <v>3782.1961000000001</v>
      </c>
      <c r="AK134">
        <v>1.831741E-3</v>
      </c>
      <c r="AL134">
        <v>1.8639281999999999E-4</v>
      </c>
      <c r="AM134">
        <v>1.8638654000000001E-4</v>
      </c>
      <c r="AN134">
        <v>318.30415989859563</v>
      </c>
      <c r="AO134">
        <v>23.10840587572849</v>
      </c>
      <c r="AP134">
        <v>11478.14313286017</v>
      </c>
      <c r="AQ134">
        <v>84</v>
      </c>
      <c r="AR134">
        <v>11394.14313286017</v>
      </c>
      <c r="AS134">
        <v>3.0347826578479542</v>
      </c>
      <c r="AT134">
        <v>7.8554901925365428</v>
      </c>
      <c r="AU134">
        <v>3.8806121551130519</v>
      </c>
      <c r="AV134">
        <v>5628.7067076329222</v>
      </c>
      <c r="AW134">
        <v>234.5630020143885</v>
      </c>
      <c r="AZ134">
        <f t="shared" si="12"/>
        <v>23.944689748894056</v>
      </c>
      <c r="BA134">
        <f t="shared" si="9"/>
        <v>-3.6189596013801305E-2</v>
      </c>
      <c r="BB134">
        <f t="shared" si="10"/>
        <v>24.664715848611547</v>
      </c>
      <c r="BC134">
        <f t="shared" si="11"/>
        <v>-6.7348218706756377E-2</v>
      </c>
      <c r="BD134">
        <v>0.69499999999999995</v>
      </c>
      <c r="BF134">
        <v>0.72</v>
      </c>
    </row>
    <row r="135" spans="1:58" x14ac:dyDescent="0.25">
      <c r="A135" t="s">
        <v>65</v>
      </c>
      <c r="B135">
        <v>5</v>
      </c>
      <c r="C135">
        <v>0.4</v>
      </c>
      <c r="D135">
        <v>1400</v>
      </c>
      <c r="E135">
        <v>1.887561108093428</v>
      </c>
      <c r="F135">
        <v>2587.9845381308478</v>
      </c>
      <c r="G135">
        <v>8.6875</v>
      </c>
      <c r="H135">
        <v>24.2</v>
      </c>
      <c r="I135">
        <v>116025</v>
      </c>
      <c r="J135">
        <v>1.8454E-5</v>
      </c>
      <c r="K135">
        <v>1007</v>
      </c>
      <c r="L135">
        <v>2.3781669800000001E-3</v>
      </c>
      <c r="M135">
        <v>1.36</v>
      </c>
      <c r="N135">
        <v>11.368182700351349</v>
      </c>
      <c r="O135">
        <v>118.5133046511628</v>
      </c>
      <c r="P135">
        <v>119</v>
      </c>
      <c r="Q135">
        <v>0.35</v>
      </c>
      <c r="R135">
        <v>32.21</v>
      </c>
      <c r="S135">
        <v>0.35</v>
      </c>
      <c r="T135">
        <v>32.51</v>
      </c>
      <c r="U135">
        <v>11.2735</v>
      </c>
      <c r="V135">
        <v>11.378500000000001</v>
      </c>
      <c r="W135">
        <v>22.652000000000001</v>
      </c>
      <c r="X135">
        <v>31.725297333219022</v>
      </c>
      <c r="Y135">
        <v>4530.3999999999996</v>
      </c>
      <c r="Z135">
        <v>87.281262062896985</v>
      </c>
      <c r="AA135">
        <v>4443.1187379371022</v>
      </c>
      <c r="AB135">
        <v>2.3781669799999999E-4</v>
      </c>
      <c r="AC135">
        <v>24.717364945978382</v>
      </c>
      <c r="AD135">
        <v>297.86736494597841</v>
      </c>
      <c r="AE135">
        <v>297.84102999999999</v>
      </c>
      <c r="AF135">
        <v>307.10277000000002</v>
      </c>
      <c r="AG135">
        <v>305.04581999999999</v>
      </c>
      <c r="AH135">
        <v>306.25608999999997</v>
      </c>
      <c r="AI135">
        <v>306.25062000000003</v>
      </c>
      <c r="AJ135">
        <v>5233.3612000000003</v>
      </c>
      <c r="AK135">
        <v>1.831741E-3</v>
      </c>
      <c r="AL135">
        <v>1.8639281999999999E-4</v>
      </c>
      <c r="AM135">
        <v>1.8638654000000001E-4</v>
      </c>
      <c r="AN135">
        <v>362.73891532906561</v>
      </c>
      <c r="AO135">
        <v>26.33430265258227</v>
      </c>
      <c r="AP135">
        <v>14728.367061110161</v>
      </c>
      <c r="AQ135">
        <v>98</v>
      </c>
      <c r="AR135">
        <v>14630.367061110161</v>
      </c>
      <c r="AS135">
        <v>2.8143226691691292</v>
      </c>
      <c r="AT135">
        <v>7.5237064995652716</v>
      </c>
      <c r="AU135">
        <v>3.7167110107852439</v>
      </c>
      <c r="AV135">
        <v>7227.4013281884172</v>
      </c>
      <c r="AW135">
        <v>273.74583942446043</v>
      </c>
      <c r="AZ135">
        <f t="shared" si="12"/>
        <v>27.20159018588927</v>
      </c>
      <c r="BA135">
        <f t="shared" si="9"/>
        <v>-3.2933757341091233E-2</v>
      </c>
      <c r="BB135">
        <f t="shared" si="10"/>
        <v>28.025556921076561</v>
      </c>
      <c r="BC135">
        <f t="shared" si="11"/>
        <v>-6.4222481635694689E-2</v>
      </c>
      <c r="BD135">
        <v>0.69499999999999995</v>
      </c>
      <c r="BF135">
        <v>0.72</v>
      </c>
    </row>
    <row r="136" spans="1:58" x14ac:dyDescent="0.25">
      <c r="A136" t="s">
        <v>65</v>
      </c>
      <c r="B136">
        <v>5</v>
      </c>
      <c r="C136">
        <v>0.4</v>
      </c>
      <c r="D136">
        <v>1600</v>
      </c>
      <c r="E136">
        <v>1.887561108093428</v>
      </c>
      <c r="F136">
        <v>2935.1535836177468</v>
      </c>
      <c r="G136">
        <v>8.6875</v>
      </c>
      <c r="H136">
        <v>24.3</v>
      </c>
      <c r="I136">
        <v>119625</v>
      </c>
      <c r="J136">
        <v>1.8459000000000001E-5</v>
      </c>
      <c r="K136">
        <v>1007</v>
      </c>
      <c r="L136">
        <v>2.71864152E-3</v>
      </c>
      <c r="M136">
        <v>1.401</v>
      </c>
      <c r="N136">
        <v>12.99572896101723</v>
      </c>
      <c r="O136">
        <v>135.4804744186047</v>
      </c>
      <c r="P136">
        <v>135</v>
      </c>
      <c r="Q136">
        <v>0.4</v>
      </c>
      <c r="R136">
        <v>36.76</v>
      </c>
      <c r="S136">
        <v>0.4</v>
      </c>
      <c r="T136">
        <v>37.17</v>
      </c>
      <c r="U136">
        <v>14.704000000000001</v>
      </c>
      <c r="V136">
        <v>14.868</v>
      </c>
      <c r="W136">
        <v>29.571999999999999</v>
      </c>
      <c r="X136">
        <v>33.149724227837957</v>
      </c>
      <c r="Y136">
        <v>5914.4000000000005</v>
      </c>
      <c r="Z136">
        <v>117.6400724679104</v>
      </c>
      <c r="AA136">
        <v>5796.7599275320899</v>
      </c>
      <c r="AB136">
        <v>2.7186415200000001E-4</v>
      </c>
      <c r="AC136">
        <v>24.759516646610511</v>
      </c>
      <c r="AD136">
        <v>297.90951664661048</v>
      </c>
      <c r="AE136">
        <v>297.87335000000002</v>
      </c>
      <c r="AF136">
        <v>308.41564</v>
      </c>
      <c r="AG136">
        <v>306.08739000000003</v>
      </c>
      <c r="AH136">
        <v>307.64328</v>
      </c>
      <c r="AI136">
        <v>307.64001000000002</v>
      </c>
      <c r="AJ136">
        <v>6949.1957000000002</v>
      </c>
      <c r="AK136">
        <v>1.831741E-3</v>
      </c>
      <c r="AL136">
        <v>1.8639281999999999E-4</v>
      </c>
      <c r="AM136">
        <v>1.8638654000000001E-4</v>
      </c>
      <c r="AN136">
        <v>410.12492406906</v>
      </c>
      <c r="AO136">
        <v>29.774456005097221</v>
      </c>
      <c r="AP136">
        <v>18503.433948388822</v>
      </c>
      <c r="AQ136">
        <v>112</v>
      </c>
      <c r="AR136">
        <v>18391.433948388822</v>
      </c>
      <c r="AS136">
        <v>2.6626727390032809</v>
      </c>
      <c r="AT136">
        <v>7.3535129321466508</v>
      </c>
      <c r="AU136">
        <v>3.6326353884804461</v>
      </c>
      <c r="AV136">
        <v>9085.3683705040785</v>
      </c>
      <c r="AW136">
        <v>312.93715338129499</v>
      </c>
      <c r="AZ136">
        <f t="shared" si="12"/>
        <v>30.378829124509789</v>
      </c>
      <c r="BA136">
        <f t="shared" si="9"/>
        <v>-2.0298376544951899E-2</v>
      </c>
      <c r="BB136">
        <f t="shared" si="10"/>
        <v>31.304847908559484</v>
      </c>
      <c r="BC136">
        <f t="shared" si="11"/>
        <v>-5.1399491671662058E-2</v>
      </c>
      <c r="BD136">
        <v>0.69499999999999995</v>
      </c>
      <c r="BF136">
        <v>0.72</v>
      </c>
    </row>
    <row r="137" spans="1:58" x14ac:dyDescent="0.25">
      <c r="A137" t="s">
        <v>65</v>
      </c>
      <c r="B137">
        <v>5</v>
      </c>
      <c r="C137">
        <v>0.4</v>
      </c>
      <c r="D137">
        <v>1800</v>
      </c>
      <c r="E137">
        <v>1.887561108093428</v>
      </c>
      <c r="F137">
        <v>3304.5864933188868</v>
      </c>
      <c r="G137">
        <v>8.6875</v>
      </c>
      <c r="H137">
        <v>24.3</v>
      </c>
      <c r="I137">
        <v>123725</v>
      </c>
      <c r="J137">
        <v>1.8459999999999999E-5</v>
      </c>
      <c r="K137">
        <v>1007</v>
      </c>
      <c r="L137">
        <v>3.0586374E-3</v>
      </c>
      <c r="M137">
        <v>1.4490000000000001</v>
      </c>
      <c r="N137">
        <v>14.620987117282921</v>
      </c>
      <c r="O137">
        <v>152.42379069767441</v>
      </c>
      <c r="P137">
        <v>152</v>
      </c>
      <c r="Q137">
        <v>0.4</v>
      </c>
      <c r="R137">
        <v>36.64</v>
      </c>
      <c r="S137">
        <v>0.4</v>
      </c>
      <c r="T137">
        <v>36.83</v>
      </c>
      <c r="U137">
        <v>14.656000000000001</v>
      </c>
      <c r="V137">
        <v>14.731999999999999</v>
      </c>
      <c r="W137">
        <v>29.388000000000002</v>
      </c>
      <c r="X137">
        <v>32.409514053254448</v>
      </c>
      <c r="Y137">
        <v>5877.5999999999995</v>
      </c>
      <c r="Z137">
        <v>101.8639730170122</v>
      </c>
      <c r="AA137">
        <v>5775.736026982986</v>
      </c>
      <c r="AB137">
        <v>3.0586373999999988E-4</v>
      </c>
      <c r="AC137">
        <v>24.790101577909311</v>
      </c>
      <c r="AD137">
        <v>297.94010157790927</v>
      </c>
      <c r="AE137">
        <v>297.89503999999999</v>
      </c>
      <c r="AF137">
        <v>307.19459000000001</v>
      </c>
      <c r="AG137">
        <v>305.20654999999999</v>
      </c>
      <c r="AH137">
        <v>306.73352</v>
      </c>
      <c r="AI137">
        <v>306.73115999999999</v>
      </c>
      <c r="AJ137">
        <v>8655.0244000000002</v>
      </c>
      <c r="AK137">
        <v>1.831741E-3</v>
      </c>
      <c r="AL137">
        <v>1.8639281999999999E-4</v>
      </c>
      <c r="AM137">
        <v>1.8638654000000001E-4</v>
      </c>
      <c r="AN137">
        <v>448.66134977735942</v>
      </c>
      <c r="AO137">
        <v>32.572142867094072</v>
      </c>
      <c r="AP137">
        <v>22485.55062458909</v>
      </c>
      <c r="AQ137">
        <v>126</v>
      </c>
      <c r="AR137">
        <v>22359.55062458909</v>
      </c>
      <c r="AS137">
        <v>2.597976572381365</v>
      </c>
      <c r="AT137">
        <v>7.193762995660518</v>
      </c>
      <c r="AU137">
        <v>3.553718919856296</v>
      </c>
      <c r="AV137">
        <v>11045.61800854701</v>
      </c>
      <c r="AW137">
        <v>352.07336978417271</v>
      </c>
      <c r="AZ137">
        <f t="shared" si="12"/>
        <v>33.488023278278462</v>
      </c>
      <c r="BA137">
        <f t="shared" si="9"/>
        <v>-2.8118518788324953E-2</v>
      </c>
      <c r="BB137">
        <f t="shared" si="10"/>
        <v>34.514467868149595</v>
      </c>
      <c r="BC137">
        <f t="shared" si="11"/>
        <v>-5.9631477394069494E-2</v>
      </c>
      <c r="BD137">
        <v>0.69499999999999995</v>
      </c>
      <c r="BF137">
        <v>0.72</v>
      </c>
    </row>
    <row r="138" spans="1:58" x14ac:dyDescent="0.25">
      <c r="A138" t="s">
        <v>65</v>
      </c>
      <c r="B138">
        <v>5</v>
      </c>
      <c r="C138">
        <v>0.4</v>
      </c>
      <c r="D138">
        <v>2000</v>
      </c>
      <c r="E138">
        <v>1.887561108093428</v>
      </c>
      <c r="F138">
        <v>3673.1835003159131</v>
      </c>
      <c r="G138">
        <v>8.6875</v>
      </c>
      <c r="H138">
        <v>24.4</v>
      </c>
      <c r="I138">
        <v>127825</v>
      </c>
      <c r="J138">
        <v>1.8465E-5</v>
      </c>
      <c r="K138">
        <v>1007</v>
      </c>
      <c r="L138">
        <v>3.3994064999999991E-3</v>
      </c>
      <c r="M138">
        <v>1.4970000000000001</v>
      </c>
      <c r="N138">
        <v>16.24994144219508</v>
      </c>
      <c r="O138">
        <v>169.4056395348837</v>
      </c>
      <c r="P138">
        <v>169</v>
      </c>
      <c r="Q138">
        <v>0.4</v>
      </c>
      <c r="R138">
        <v>36.64</v>
      </c>
      <c r="S138">
        <v>0.4</v>
      </c>
      <c r="T138">
        <v>36.83</v>
      </c>
      <c r="U138">
        <v>14.656000000000001</v>
      </c>
      <c r="V138">
        <v>14.731999999999999</v>
      </c>
      <c r="W138">
        <v>29.388000000000002</v>
      </c>
      <c r="X138">
        <v>31.86488568439929</v>
      </c>
      <c r="Y138">
        <v>5877.5999999999995</v>
      </c>
      <c r="Z138">
        <v>90.256308591601965</v>
      </c>
      <c r="AA138">
        <v>5787.3436914083968</v>
      </c>
      <c r="AB138">
        <v>3.399406499999999E-4</v>
      </c>
      <c r="AC138">
        <v>24.793218768679051</v>
      </c>
      <c r="AD138">
        <v>297.943218768679</v>
      </c>
      <c r="AE138">
        <v>297.88641000000001</v>
      </c>
      <c r="AF138">
        <v>306.28424999999999</v>
      </c>
      <c r="AG138">
        <v>304.48548</v>
      </c>
      <c r="AH138">
        <v>305.99639000000002</v>
      </c>
      <c r="AI138">
        <v>305.98847999999998</v>
      </c>
      <c r="AJ138">
        <v>10615.201999999999</v>
      </c>
      <c r="AK138">
        <v>1.831741E-3</v>
      </c>
      <c r="AL138">
        <v>1.8639281999999999E-4</v>
      </c>
      <c r="AM138">
        <v>1.8638654000000001E-4</v>
      </c>
      <c r="AN138">
        <v>494.39618537831223</v>
      </c>
      <c r="AO138">
        <v>35.892423519609643</v>
      </c>
      <c r="AP138">
        <v>26728.171614531449</v>
      </c>
      <c r="AQ138">
        <v>140</v>
      </c>
      <c r="AR138">
        <v>26588.171614531449</v>
      </c>
      <c r="AS138">
        <v>2.517914554478704</v>
      </c>
      <c r="AT138">
        <v>7.051048746670209</v>
      </c>
      <c r="AU138">
        <v>3.483218080855083</v>
      </c>
      <c r="AV138">
        <v>13134.556777578529</v>
      </c>
      <c r="AW138">
        <v>391.29858992805748</v>
      </c>
      <c r="AZ138">
        <f t="shared" si="12"/>
        <v>36.537992711244364</v>
      </c>
      <c r="BA138">
        <f t="shared" si="9"/>
        <v>-1.7986224621528192E-2</v>
      </c>
      <c r="BB138">
        <f t="shared" si="10"/>
        <v>37.66343765321438</v>
      </c>
      <c r="BC138">
        <f t="shared" si="11"/>
        <v>-4.9342283410791485E-2</v>
      </c>
      <c r="BD138">
        <v>0.69499999999999995</v>
      </c>
      <c r="BF138">
        <v>0.72</v>
      </c>
    </row>
    <row r="139" spans="1:58" x14ac:dyDescent="0.25">
      <c r="A139" t="s">
        <v>65</v>
      </c>
      <c r="B139">
        <v>5</v>
      </c>
      <c r="C139">
        <v>0.4</v>
      </c>
      <c r="D139">
        <v>2500</v>
      </c>
      <c r="E139">
        <v>1.887561108093428</v>
      </c>
      <c r="F139">
        <v>3803.180448006352</v>
      </c>
      <c r="G139">
        <v>8.6875</v>
      </c>
      <c r="H139">
        <v>24.4</v>
      </c>
      <c r="I139">
        <v>139325</v>
      </c>
      <c r="J139">
        <v>1.8467000000000001E-5</v>
      </c>
      <c r="K139">
        <v>1007</v>
      </c>
      <c r="L139">
        <v>4.2497183749999976E-3</v>
      </c>
      <c r="M139">
        <v>1.6319999999999999</v>
      </c>
      <c r="N139">
        <v>20.314626903128659</v>
      </c>
      <c r="O139">
        <v>211.7799854651162</v>
      </c>
      <c r="P139">
        <v>175</v>
      </c>
      <c r="Q139">
        <v>0.4</v>
      </c>
      <c r="R139">
        <v>36.64</v>
      </c>
      <c r="S139">
        <v>0.4</v>
      </c>
      <c r="T139">
        <v>36.83</v>
      </c>
      <c r="U139">
        <v>14.656000000000001</v>
      </c>
      <c r="V139">
        <v>14.731999999999999</v>
      </c>
      <c r="W139">
        <v>29.388000000000002</v>
      </c>
      <c r="X139">
        <v>30.84769330565647</v>
      </c>
      <c r="Y139">
        <v>5877.5999999999995</v>
      </c>
      <c r="Z139">
        <v>68.576887423456355</v>
      </c>
      <c r="AA139">
        <v>5809.0231125765422</v>
      </c>
      <c r="AB139">
        <v>4.2497183749999991E-4</v>
      </c>
      <c r="AC139">
        <v>24.805602836879501</v>
      </c>
      <c r="AD139">
        <v>297.95560283687951</v>
      </c>
      <c r="AE139">
        <v>297.88411000000002</v>
      </c>
      <c r="AF139">
        <v>304.65501999999998</v>
      </c>
      <c r="AG139">
        <v>303.11061999999998</v>
      </c>
      <c r="AH139">
        <v>304.59861999999998</v>
      </c>
      <c r="AI139">
        <v>304.59527000000003</v>
      </c>
      <c r="AJ139">
        <v>16258.601000000001</v>
      </c>
      <c r="AK139">
        <v>1.831741E-3</v>
      </c>
      <c r="AL139">
        <v>1.8639281999999999E-4</v>
      </c>
      <c r="AM139">
        <v>1.8638654000000001E-4</v>
      </c>
      <c r="AN139">
        <v>629.67511669780595</v>
      </c>
      <c r="AO139">
        <v>45.713471577421878</v>
      </c>
      <c r="AP139">
        <v>38042.197140056502</v>
      </c>
      <c r="AQ139">
        <v>175</v>
      </c>
      <c r="AR139">
        <v>37867.197140056502</v>
      </c>
      <c r="AS139">
        <v>2.3398198369008809</v>
      </c>
      <c r="AT139">
        <v>6.7482038643709119</v>
      </c>
      <c r="AU139">
        <v>3.33361270899923</v>
      </c>
      <c r="AV139">
        <v>18706.395387187909</v>
      </c>
      <c r="AW139">
        <v>489.17621582733801</v>
      </c>
      <c r="AZ139">
        <f t="shared" si="12"/>
        <v>43.945897516169929</v>
      </c>
      <c r="BA139">
        <f t="shared" si="9"/>
        <v>3.8666371208721829E-2</v>
      </c>
      <c r="BB139">
        <f t="shared" si="10"/>
        <v>45.313573795377103</v>
      </c>
      <c r="BC139">
        <f t="shared" si="11"/>
        <v>8.7479197760663291E-3</v>
      </c>
      <c r="BD139">
        <v>0.69499999999999995</v>
      </c>
      <c r="BF139">
        <v>0.72</v>
      </c>
    </row>
    <row r="140" spans="1:58" x14ac:dyDescent="0.25">
      <c r="A140" t="s">
        <v>65</v>
      </c>
      <c r="B140">
        <v>5</v>
      </c>
      <c r="C140">
        <v>0.4</v>
      </c>
      <c r="D140">
        <v>3000</v>
      </c>
      <c r="E140">
        <v>1.887561108093428</v>
      </c>
      <c r="F140">
        <v>5519.4470012814272</v>
      </c>
      <c r="G140">
        <v>8.6875</v>
      </c>
      <c r="H140">
        <v>24.4</v>
      </c>
      <c r="I140">
        <v>151325</v>
      </c>
      <c r="J140">
        <v>1.8468999999999999E-5</v>
      </c>
      <c r="K140">
        <v>1007</v>
      </c>
      <c r="L140">
        <v>5.1002143499999982E-3</v>
      </c>
      <c r="M140">
        <v>1.772</v>
      </c>
      <c r="N140">
        <v>24.38019240421616</v>
      </c>
      <c r="O140">
        <v>254.16350581395341</v>
      </c>
      <c r="P140">
        <v>254</v>
      </c>
      <c r="Q140">
        <v>0.45</v>
      </c>
      <c r="R140">
        <v>41.43</v>
      </c>
      <c r="S140">
        <v>0.45</v>
      </c>
      <c r="T140">
        <v>41.74</v>
      </c>
      <c r="U140">
        <v>18.6435</v>
      </c>
      <c r="V140">
        <v>18.783000000000001</v>
      </c>
      <c r="W140">
        <v>37.426499999999997</v>
      </c>
      <c r="X140">
        <v>31.611911723163828</v>
      </c>
      <c r="Y140">
        <v>7485.3</v>
      </c>
      <c r="Z140">
        <v>84.864674555790657</v>
      </c>
      <c r="AA140">
        <v>7400.4353254442094</v>
      </c>
      <c r="AB140">
        <v>5.1002143499999982E-4</v>
      </c>
      <c r="AC140">
        <v>24.822096045197782</v>
      </c>
      <c r="AD140">
        <v>297.97209604519782</v>
      </c>
      <c r="AE140">
        <v>297.87191999999999</v>
      </c>
      <c r="AF140">
        <v>305.01684</v>
      </c>
      <c r="AG140">
        <v>303.40575000000001</v>
      </c>
      <c r="AH140">
        <v>305.27947</v>
      </c>
      <c r="AI140">
        <v>305.24004000000002</v>
      </c>
      <c r="AJ140">
        <v>22782.792000000001</v>
      </c>
      <c r="AK140">
        <v>1.831741E-3</v>
      </c>
      <c r="AL140">
        <v>1.8639281999999999E-4</v>
      </c>
      <c r="AM140">
        <v>1.8638654000000001E-4</v>
      </c>
      <c r="AN140">
        <v>737.82783266468937</v>
      </c>
      <c r="AO140">
        <v>53.565196977182048</v>
      </c>
      <c r="AP140">
        <v>50231.785624607663</v>
      </c>
      <c r="AQ140">
        <v>210</v>
      </c>
      <c r="AR140">
        <v>50021.785624607663</v>
      </c>
      <c r="AS140">
        <v>2.2048125455654271</v>
      </c>
      <c r="AT140">
        <v>6.4959275851218106</v>
      </c>
      <c r="AU140">
        <v>3.2089882270501748</v>
      </c>
      <c r="AV140">
        <v>24710.762098556181</v>
      </c>
      <c r="AW140">
        <v>587.07503309352501</v>
      </c>
      <c r="AZ140">
        <f t="shared" si="12"/>
        <v>51.100480452549299</v>
      </c>
      <c r="BA140">
        <f t="shared" si="9"/>
        <v>4.6013394213460658E-2</v>
      </c>
      <c r="BB140">
        <f t="shared" si="10"/>
        <v>52.70417533551683</v>
      </c>
      <c r="BC140">
        <f t="shared" si="11"/>
        <v>1.6074273786988964E-2</v>
      </c>
      <c r="BD140">
        <v>0.69499999999999995</v>
      </c>
      <c r="BF140">
        <v>0.72</v>
      </c>
    </row>
    <row r="141" spans="1:58" x14ac:dyDescent="0.25">
      <c r="A141" t="s">
        <v>65</v>
      </c>
      <c r="B141">
        <v>5</v>
      </c>
      <c r="C141">
        <v>0.4</v>
      </c>
      <c r="D141">
        <v>3500</v>
      </c>
      <c r="E141">
        <v>1.887561108093428</v>
      </c>
      <c r="F141">
        <v>6453.14276433328</v>
      </c>
      <c r="G141">
        <v>8.6875</v>
      </c>
      <c r="H141">
        <v>24.4</v>
      </c>
      <c r="I141">
        <v>164725</v>
      </c>
      <c r="J141">
        <v>1.8471E-5</v>
      </c>
      <c r="K141">
        <v>1007</v>
      </c>
      <c r="L141">
        <v>5.9508944249999996E-3</v>
      </c>
      <c r="M141">
        <v>1.929</v>
      </c>
      <c r="N141">
        <v>28.446637945457589</v>
      </c>
      <c r="O141">
        <v>296.55620058139539</v>
      </c>
      <c r="P141">
        <v>297</v>
      </c>
      <c r="Q141">
        <v>0.45</v>
      </c>
      <c r="R141">
        <v>41.43</v>
      </c>
      <c r="S141">
        <v>0.45</v>
      </c>
      <c r="T141">
        <v>41.74</v>
      </c>
      <c r="U141">
        <v>18.6435</v>
      </c>
      <c r="V141">
        <v>18.783000000000001</v>
      </c>
      <c r="W141">
        <v>37.426499999999997</v>
      </c>
      <c r="X141">
        <v>30.912953060843581</v>
      </c>
      <c r="Y141">
        <v>7485.3</v>
      </c>
      <c r="Z141">
        <v>69.967768585759245</v>
      </c>
      <c r="AA141">
        <v>7415.3322314142406</v>
      </c>
      <c r="AB141">
        <v>5.950894425E-4</v>
      </c>
      <c r="AC141">
        <v>24.81958193355733</v>
      </c>
      <c r="AD141">
        <v>297.96958193355732</v>
      </c>
      <c r="AE141">
        <v>297.85070999999999</v>
      </c>
      <c r="AF141">
        <v>303.95920999999998</v>
      </c>
      <c r="AG141">
        <v>302.43257999999997</v>
      </c>
      <c r="AH141">
        <v>304.24293999999998</v>
      </c>
      <c r="AI141">
        <v>304.26157999999998</v>
      </c>
      <c r="AJ141">
        <v>29954.362000000001</v>
      </c>
      <c r="AK141">
        <v>1.831741E-3</v>
      </c>
      <c r="AL141">
        <v>1.8639281999999999E-4</v>
      </c>
      <c r="AM141">
        <v>1.8638654000000001E-4</v>
      </c>
      <c r="AN141">
        <v>916.37625931443495</v>
      </c>
      <c r="AO141">
        <v>66.527545671617887</v>
      </c>
      <c r="AP141">
        <v>63020.371718302842</v>
      </c>
      <c r="AQ141">
        <v>245</v>
      </c>
      <c r="AR141">
        <v>62775.371718302842</v>
      </c>
      <c r="AS141">
        <v>2.1038796192121478</v>
      </c>
      <c r="AT141">
        <v>6.3052050293407396</v>
      </c>
      <c r="AU141">
        <v>3.1147712844943261</v>
      </c>
      <c r="AV141">
        <v>31011.0336288416</v>
      </c>
      <c r="AW141">
        <v>684.99504172661875</v>
      </c>
      <c r="AZ141">
        <f t="shared" si="12"/>
        <v>58.051047733307705</v>
      </c>
      <c r="BA141">
        <f t="shared" si="9"/>
        <v>0.12741335717013294</v>
      </c>
      <c r="BB141">
        <f t="shared" si="10"/>
        <v>59.885703727946094</v>
      </c>
      <c r="BC141">
        <f t="shared" si="11"/>
        <v>9.98359683439419E-2</v>
      </c>
      <c r="BD141">
        <v>0.69499999999999995</v>
      </c>
      <c r="BF141">
        <v>0.72</v>
      </c>
    </row>
    <row r="142" spans="1:58" x14ac:dyDescent="0.25">
      <c r="A142" t="s">
        <v>65</v>
      </c>
      <c r="B142">
        <v>5</v>
      </c>
      <c r="C142">
        <v>0.4</v>
      </c>
      <c r="D142">
        <v>4000</v>
      </c>
      <c r="E142">
        <v>1.887561108093428</v>
      </c>
      <c r="F142">
        <v>7366.9049166125214</v>
      </c>
      <c r="G142">
        <v>8.6875</v>
      </c>
      <c r="H142">
        <v>24.3</v>
      </c>
      <c r="I142">
        <v>178325</v>
      </c>
      <c r="J142">
        <v>1.8468E-5</v>
      </c>
      <c r="K142">
        <v>1007</v>
      </c>
      <c r="L142">
        <v>6.7999175999999993E-3</v>
      </c>
      <c r="M142">
        <v>2.089</v>
      </c>
      <c r="N142">
        <v>32.5051631253137</v>
      </c>
      <c r="O142">
        <v>338.86632558139542</v>
      </c>
      <c r="P142">
        <v>339</v>
      </c>
      <c r="Q142">
        <v>0.5</v>
      </c>
      <c r="R142">
        <v>45.96</v>
      </c>
      <c r="S142">
        <v>0.5</v>
      </c>
      <c r="T142">
        <v>46.42</v>
      </c>
      <c r="U142">
        <v>22.98</v>
      </c>
      <c r="V142">
        <v>23.21</v>
      </c>
      <c r="W142">
        <v>46.19</v>
      </c>
      <c r="X142">
        <v>31.717920415048042</v>
      </c>
      <c r="Y142">
        <v>9237.9999999999982</v>
      </c>
      <c r="Z142">
        <v>87.124037805918874</v>
      </c>
      <c r="AA142">
        <v>9150.875962194079</v>
      </c>
      <c r="AB142">
        <v>6.7999175999999991E-4</v>
      </c>
      <c r="AC142">
        <v>24.815551012063001</v>
      </c>
      <c r="AD142">
        <v>297.96555101206297</v>
      </c>
      <c r="AE142">
        <v>297.83085999999997</v>
      </c>
      <c r="AF142">
        <v>304.40255000000002</v>
      </c>
      <c r="AG142">
        <v>302.71352999999999</v>
      </c>
      <c r="AH142">
        <v>304.97908999999999</v>
      </c>
      <c r="AI142">
        <v>304.90311000000003</v>
      </c>
      <c r="AJ142">
        <v>37581.692000000003</v>
      </c>
      <c r="AK142">
        <v>1.831741E-3</v>
      </c>
      <c r="AL142">
        <v>1.8639281999999999E-4</v>
      </c>
      <c r="AM142">
        <v>1.8638654000000001E-4</v>
      </c>
      <c r="AN142">
        <v>1051.6735801557541</v>
      </c>
      <c r="AO142">
        <v>76.349928781206842</v>
      </c>
      <c r="AP142">
        <v>77258.938867307312</v>
      </c>
      <c r="AQ142">
        <v>280</v>
      </c>
      <c r="AR142">
        <v>76978.938867307312</v>
      </c>
      <c r="AS142">
        <v>2.055759992586478</v>
      </c>
      <c r="AT142">
        <v>6.2251739736669753</v>
      </c>
      <c r="AU142">
        <v>3.0752359429914859</v>
      </c>
      <c r="AV142">
        <v>38027.59580044981</v>
      </c>
      <c r="AW142">
        <v>782.72432805755398</v>
      </c>
      <c r="AZ142">
        <f t="shared" si="12"/>
        <v>64.831609017613161</v>
      </c>
      <c r="BA142">
        <f t="shared" si="9"/>
        <v>0.15086222014170181</v>
      </c>
      <c r="BB142">
        <f t="shared" si="10"/>
        <v>66.892973880227601</v>
      </c>
      <c r="BC142">
        <f t="shared" si="11"/>
        <v>0.12386331005074917</v>
      </c>
      <c r="BD142">
        <v>0.69499999999999995</v>
      </c>
      <c r="BF142">
        <v>0.72</v>
      </c>
    </row>
    <row r="143" spans="1:58" x14ac:dyDescent="0.25">
      <c r="A143" t="s">
        <v>66</v>
      </c>
    </row>
    <row r="144" spans="1:58" x14ac:dyDescent="0.25">
      <c r="A144" t="s">
        <v>67</v>
      </c>
      <c r="B144">
        <v>5</v>
      </c>
      <c r="C144">
        <v>0.5</v>
      </c>
      <c r="D144">
        <v>600</v>
      </c>
      <c r="E144">
        <v>1.731155218554862</v>
      </c>
      <c r="F144">
        <v>1086.917271512656</v>
      </c>
      <c r="G144">
        <v>7.7625000000000002</v>
      </c>
      <c r="H144">
        <v>24.4</v>
      </c>
      <c r="I144">
        <v>105825</v>
      </c>
      <c r="J144">
        <v>1.8462E-5</v>
      </c>
      <c r="K144">
        <v>1007</v>
      </c>
      <c r="L144">
        <v>9.9340329600000003E-4</v>
      </c>
      <c r="M144">
        <v>1.2390000000000001</v>
      </c>
      <c r="N144">
        <v>5.314562280321633</v>
      </c>
      <c r="O144">
        <v>49.505147641196018</v>
      </c>
      <c r="P144">
        <v>50</v>
      </c>
      <c r="Q144">
        <v>0.35</v>
      </c>
      <c r="R144">
        <v>32.119999999999997</v>
      </c>
      <c r="S144">
        <v>0.35</v>
      </c>
      <c r="T144">
        <v>32.86</v>
      </c>
      <c r="U144">
        <v>11.242000000000001</v>
      </c>
      <c r="V144">
        <v>11.500999999999999</v>
      </c>
      <c r="W144">
        <v>22.742999999999999</v>
      </c>
      <c r="X144">
        <v>38.408056422387773</v>
      </c>
      <c r="Y144">
        <v>4548.5999999999995</v>
      </c>
      <c r="Z144">
        <v>229.7109065303504</v>
      </c>
      <c r="AA144">
        <v>4318.8890934696492</v>
      </c>
      <c r="AB144">
        <v>9.9340329599999997E-5</v>
      </c>
      <c r="AC144">
        <v>24.939593315884821</v>
      </c>
      <c r="AD144">
        <v>298.08959331588483</v>
      </c>
      <c r="AE144">
        <v>298.08458999999999</v>
      </c>
      <c r="AF144">
        <v>319.74417</v>
      </c>
      <c r="AG144">
        <v>314.52287999999999</v>
      </c>
      <c r="AH144">
        <v>315.54723999999999</v>
      </c>
      <c r="AI144">
        <v>315.59588000000002</v>
      </c>
      <c r="AJ144">
        <v>1304.3685</v>
      </c>
      <c r="AK144">
        <v>1.7836385000000001E-3</v>
      </c>
      <c r="AL144">
        <v>1.7026477000000001E-4</v>
      </c>
      <c r="AM144">
        <v>1.7028940000000001E-4</v>
      </c>
      <c r="AN144">
        <v>175.98427636096889</v>
      </c>
      <c r="AO144">
        <v>11.71754224638047</v>
      </c>
      <c r="AP144">
        <v>5234.0527481377094</v>
      </c>
      <c r="AQ144">
        <v>42</v>
      </c>
      <c r="AR144">
        <v>5192.0527481377094</v>
      </c>
      <c r="AS144">
        <v>4.0127101721160159</v>
      </c>
      <c r="AT144">
        <v>10.67338276576854</v>
      </c>
      <c r="AU144">
        <v>4.7069617997039259</v>
      </c>
      <c r="AV144">
        <v>2289.6952619287299</v>
      </c>
      <c r="AW144">
        <v>127.97465971014491</v>
      </c>
      <c r="AZ144">
        <f t="shared" si="12"/>
        <v>13.233581803943624</v>
      </c>
      <c r="BA144">
        <f t="shared" si="9"/>
        <v>-0.12938204323790309</v>
      </c>
      <c r="BB144">
        <f t="shared" si="10"/>
        <v>13.111287563273471</v>
      </c>
      <c r="BC144">
        <f t="shared" si="11"/>
        <v>-0.11894519239506282</v>
      </c>
      <c r="BD144">
        <v>0.622</v>
      </c>
      <c r="BF144">
        <v>0.72</v>
      </c>
    </row>
    <row r="145" spans="1:58" x14ac:dyDescent="0.25">
      <c r="A145" t="s">
        <v>67</v>
      </c>
      <c r="B145">
        <v>5</v>
      </c>
      <c r="C145">
        <v>0.5</v>
      </c>
      <c r="D145">
        <v>800</v>
      </c>
      <c r="E145">
        <v>1.731155218554862</v>
      </c>
      <c r="F145">
        <v>1434.342340390968</v>
      </c>
      <c r="G145">
        <v>7.7625000000000002</v>
      </c>
      <c r="H145">
        <v>24.5</v>
      </c>
      <c r="I145">
        <v>109925</v>
      </c>
      <c r="J145">
        <v>1.8467000000000001E-5</v>
      </c>
      <c r="K145">
        <v>1007</v>
      </c>
      <c r="L145">
        <v>1.324896448E-3</v>
      </c>
      <c r="M145">
        <v>1.2869999999999999</v>
      </c>
      <c r="N145">
        <v>7.0880021399414757</v>
      </c>
      <c r="O145">
        <v>66.024739933554827</v>
      </c>
      <c r="P145">
        <v>66</v>
      </c>
      <c r="Q145">
        <v>0.35</v>
      </c>
      <c r="R145">
        <v>32.119999999999997</v>
      </c>
      <c r="S145">
        <v>0.35</v>
      </c>
      <c r="T145">
        <v>32.86</v>
      </c>
      <c r="U145">
        <v>11.242000000000001</v>
      </c>
      <c r="V145">
        <v>11.500999999999999</v>
      </c>
      <c r="W145">
        <v>22.742999999999999</v>
      </c>
      <c r="X145">
        <v>35.810449908647961</v>
      </c>
      <c r="Y145">
        <v>4548.5999999999995</v>
      </c>
      <c r="Z145">
        <v>174.34811890301401</v>
      </c>
      <c r="AA145">
        <v>4374.251881096985</v>
      </c>
      <c r="AB145">
        <v>1.324896448E-4</v>
      </c>
      <c r="AC145">
        <v>25.011755988631759</v>
      </c>
      <c r="AD145">
        <v>298.16175598863168</v>
      </c>
      <c r="AE145">
        <v>298.15053999999998</v>
      </c>
      <c r="AF145">
        <v>314.62070999999997</v>
      </c>
      <c r="AG145">
        <v>310.71217000000001</v>
      </c>
      <c r="AH145">
        <v>311.74162999999999</v>
      </c>
      <c r="AI145">
        <v>311.72888</v>
      </c>
      <c r="AJ145">
        <v>2229.9549000000002</v>
      </c>
      <c r="AK145">
        <v>1.7836385000000001E-3</v>
      </c>
      <c r="AL145">
        <v>1.7026477000000001E-4</v>
      </c>
      <c r="AM145">
        <v>1.7028940000000001E-4</v>
      </c>
      <c r="AN145">
        <v>229.2865832025451</v>
      </c>
      <c r="AO145">
        <v>15.26656404060382</v>
      </c>
      <c r="AP145">
        <v>8369.7726349979712</v>
      </c>
      <c r="AQ145">
        <v>56</v>
      </c>
      <c r="AR145">
        <v>8313.7726349979712</v>
      </c>
      <c r="AS145">
        <v>3.7533371795985522</v>
      </c>
      <c r="AT145">
        <v>9.798058341887625</v>
      </c>
      <c r="AU145">
        <v>4.320943728772443</v>
      </c>
      <c r="AV145">
        <v>3666.3737320341052</v>
      </c>
      <c r="AW145">
        <v>170.6790915297907</v>
      </c>
      <c r="AZ145">
        <f t="shared" si="12"/>
        <v>16.789556454611972</v>
      </c>
      <c r="BA145">
        <f t="shared" si="9"/>
        <v>-9.9759999038258745E-2</v>
      </c>
      <c r="BB145">
        <f>0.4226*D145^0.82869*(C145/B145)^0.4638*BD145^1.45073*BF144^(1/3)</f>
        <v>16.641053786020784</v>
      </c>
      <c r="BC145">
        <f t="shared" si="11"/>
        <v>-9.0032684614645003E-2</v>
      </c>
      <c r="BD145">
        <v>0.622</v>
      </c>
      <c r="BF145">
        <v>0.72</v>
      </c>
    </row>
    <row r="146" spans="1:58" x14ac:dyDescent="0.25">
      <c r="A146" t="s">
        <v>67</v>
      </c>
      <c r="B146">
        <v>5</v>
      </c>
      <c r="C146">
        <v>0.5</v>
      </c>
      <c r="D146">
        <v>1000</v>
      </c>
      <c r="E146">
        <v>1.731155218554862</v>
      </c>
      <c r="F146">
        <v>1803.6964840083749</v>
      </c>
      <c r="G146">
        <v>7.7625000000000002</v>
      </c>
      <c r="H146">
        <v>24.5</v>
      </c>
      <c r="I146">
        <v>113325</v>
      </c>
      <c r="J146">
        <v>1.8468E-5</v>
      </c>
      <c r="K146">
        <v>1007</v>
      </c>
      <c r="L146">
        <v>1.6562102400000001E-3</v>
      </c>
      <c r="M146">
        <v>1.327</v>
      </c>
      <c r="N146">
        <v>8.8604824498049979</v>
      </c>
      <c r="O146">
        <v>82.535394019933563</v>
      </c>
      <c r="P146">
        <v>83</v>
      </c>
      <c r="Q146">
        <v>0.35</v>
      </c>
      <c r="R146">
        <v>32.119999999999997</v>
      </c>
      <c r="S146">
        <v>0.35</v>
      </c>
      <c r="T146">
        <v>32.86</v>
      </c>
      <c r="U146">
        <v>11.242000000000001</v>
      </c>
      <c r="V146">
        <v>11.500999999999999</v>
      </c>
      <c r="W146">
        <v>22.742999999999999</v>
      </c>
      <c r="X146">
        <v>33.935965339085058</v>
      </c>
      <c r="Y146">
        <v>4548.5999999999995</v>
      </c>
      <c r="Z146">
        <v>134.39722927191991</v>
      </c>
      <c r="AA146">
        <v>4414.2027707280786</v>
      </c>
      <c r="AB146">
        <v>1.65621024E-4</v>
      </c>
      <c r="AC146">
        <v>25.0528671749599</v>
      </c>
      <c r="AD146">
        <v>298.20286717495992</v>
      </c>
      <c r="AE146">
        <v>298.18542000000002</v>
      </c>
      <c r="AF146">
        <v>311.38531999999998</v>
      </c>
      <c r="AG146">
        <v>308.27962000000002</v>
      </c>
      <c r="AH146">
        <v>309.29651999999999</v>
      </c>
      <c r="AI146">
        <v>309.30777999999998</v>
      </c>
      <c r="AJ146">
        <v>3516.8647999999998</v>
      </c>
      <c r="AK146">
        <v>1.7836385000000001E-3</v>
      </c>
      <c r="AL146">
        <v>1.7026477000000001E-4</v>
      </c>
      <c r="AM146">
        <v>1.7028940000000001E-4</v>
      </c>
      <c r="AN146">
        <v>284.02911089819781</v>
      </c>
      <c r="AO146">
        <v>18.911479905881261</v>
      </c>
      <c r="AP146">
        <v>12318.569756554311</v>
      </c>
      <c r="AQ146">
        <v>70</v>
      </c>
      <c r="AR146">
        <v>12248.569756554311</v>
      </c>
      <c r="AS146">
        <v>3.5027134840538401</v>
      </c>
      <c r="AT146">
        <v>9.3866762482964194</v>
      </c>
      <c r="AU146">
        <v>4.1395242254987208</v>
      </c>
      <c r="AV146">
        <v>5401.61926264045</v>
      </c>
      <c r="AW146">
        <v>213.36041739130431</v>
      </c>
      <c r="AZ146">
        <f t="shared" si="12"/>
        <v>20.193559430791151</v>
      </c>
      <c r="BA146">
        <f t="shared" si="9"/>
        <v>-6.7793717429336486E-2</v>
      </c>
      <c r="BB146">
        <f t="shared" si="10"/>
        <v>20.021157540337708</v>
      </c>
      <c r="BC146">
        <f t="shared" si="11"/>
        <v>-5.8677461519621665E-2</v>
      </c>
      <c r="BD146">
        <v>0.622</v>
      </c>
      <c r="BF146">
        <v>0.72</v>
      </c>
    </row>
    <row r="147" spans="1:58" x14ac:dyDescent="0.25">
      <c r="A147" t="s">
        <v>67</v>
      </c>
      <c r="B147">
        <v>5</v>
      </c>
      <c r="C147">
        <v>0.5</v>
      </c>
      <c r="D147">
        <v>1200</v>
      </c>
      <c r="E147">
        <v>1.731155218554862</v>
      </c>
      <c r="F147">
        <v>2151.3970110461328</v>
      </c>
      <c r="G147">
        <v>7.7625000000000002</v>
      </c>
      <c r="H147">
        <v>24.5</v>
      </c>
      <c r="I147">
        <v>117825</v>
      </c>
      <c r="J147">
        <v>1.8468E-5</v>
      </c>
      <c r="K147">
        <v>1007</v>
      </c>
      <c r="L147">
        <v>1.9874522879999999E-3</v>
      </c>
      <c r="M147">
        <v>1.379</v>
      </c>
      <c r="N147">
        <v>10.632578939766001</v>
      </c>
      <c r="O147">
        <v>99.042472823920292</v>
      </c>
      <c r="P147">
        <v>99</v>
      </c>
      <c r="Q147">
        <v>0.35</v>
      </c>
      <c r="R147">
        <v>32.119999999999997</v>
      </c>
      <c r="S147">
        <v>0.35</v>
      </c>
      <c r="T147">
        <v>32.86</v>
      </c>
      <c r="U147">
        <v>11.242000000000001</v>
      </c>
      <c r="V147">
        <v>11.500999999999999</v>
      </c>
      <c r="W147">
        <v>22.742999999999999</v>
      </c>
      <c r="X147">
        <v>32.787122017892649</v>
      </c>
      <c r="Y147">
        <v>4548.5999999999995</v>
      </c>
      <c r="Z147">
        <v>109.911931567346</v>
      </c>
      <c r="AA147">
        <v>4438.6880684326534</v>
      </c>
      <c r="AB147">
        <v>1.9874522880000001E-4</v>
      </c>
      <c r="AC147">
        <v>25.04494831013918</v>
      </c>
      <c r="AD147">
        <v>298.19494831013918</v>
      </c>
      <c r="AE147">
        <v>298.16962000000001</v>
      </c>
      <c r="AF147">
        <v>309.25709000000001</v>
      </c>
      <c r="AG147">
        <v>306.66529000000003</v>
      </c>
      <c r="AH147">
        <v>307.63914999999997</v>
      </c>
      <c r="AI147">
        <v>307.69373000000002</v>
      </c>
      <c r="AJ147">
        <v>4989.2268000000004</v>
      </c>
      <c r="AK147">
        <v>1.7836385000000001E-3</v>
      </c>
      <c r="AL147">
        <v>1.7026477000000001E-4</v>
      </c>
      <c r="AM147">
        <v>1.7028940000000001E-4</v>
      </c>
      <c r="AN147">
        <v>335.68315114591138</v>
      </c>
      <c r="AO147">
        <v>22.3507553418148</v>
      </c>
      <c r="AP147">
        <v>16436.636845593112</v>
      </c>
      <c r="AQ147">
        <v>84</v>
      </c>
      <c r="AR147">
        <v>16352.63684559311</v>
      </c>
      <c r="AS147">
        <v>3.29442567044519</v>
      </c>
      <c r="AT147">
        <v>8.8823047247900284</v>
      </c>
      <c r="AU147">
        <v>3.9170963836324031</v>
      </c>
      <c r="AV147">
        <v>7211.512848906561</v>
      </c>
      <c r="AW147">
        <v>256.03250086956518</v>
      </c>
      <c r="AZ147">
        <f t="shared" si="12"/>
        <v>23.481158590078813</v>
      </c>
      <c r="BA147">
        <f t="shared" si="9"/>
        <v>-5.0575617287940328E-2</v>
      </c>
      <c r="BB147">
        <f t="shared" si="10"/>
        <v>23.286589625239753</v>
      </c>
      <c r="BC147">
        <f t="shared" si="11"/>
        <v>-4.1870364965883353E-2</v>
      </c>
      <c r="BD147">
        <v>0.622</v>
      </c>
      <c r="BF147">
        <v>0.72</v>
      </c>
    </row>
    <row r="148" spans="1:58" x14ac:dyDescent="0.25">
      <c r="A148" t="s">
        <v>67</v>
      </c>
      <c r="B148">
        <v>5</v>
      </c>
      <c r="C148">
        <v>0.5</v>
      </c>
      <c r="D148">
        <v>1400</v>
      </c>
      <c r="E148">
        <v>1.731155218554862</v>
      </c>
      <c r="F148">
        <v>2519.3282464779841</v>
      </c>
      <c r="G148">
        <v>7.7625000000000002</v>
      </c>
      <c r="H148">
        <v>24.7</v>
      </c>
      <c r="I148">
        <v>122825</v>
      </c>
      <c r="J148">
        <v>1.8479E-5</v>
      </c>
      <c r="K148">
        <v>1007</v>
      </c>
      <c r="L148">
        <v>2.3200754080000001E-3</v>
      </c>
      <c r="M148">
        <v>1.4370000000000001</v>
      </c>
      <c r="N148">
        <v>12.41206396285062</v>
      </c>
      <c r="O148">
        <v>115.61837581395351</v>
      </c>
      <c r="P148">
        <v>116</v>
      </c>
      <c r="Q148">
        <v>0.4</v>
      </c>
      <c r="R148">
        <v>36.700000000000003</v>
      </c>
      <c r="S148">
        <v>0.4</v>
      </c>
      <c r="T148">
        <v>37.64</v>
      </c>
      <c r="U148">
        <v>14.68</v>
      </c>
      <c r="V148">
        <v>15.055999999999999</v>
      </c>
      <c r="W148">
        <v>29.736000000000001</v>
      </c>
      <c r="X148">
        <v>34.002426383399232</v>
      </c>
      <c r="Y148">
        <v>5947.2</v>
      </c>
      <c r="Z148">
        <v>135.81371350938781</v>
      </c>
      <c r="AA148">
        <v>5811.3862864906123</v>
      </c>
      <c r="AB148">
        <v>2.320075408E-4</v>
      </c>
      <c r="AC148">
        <v>25.09276482213442</v>
      </c>
      <c r="AD148">
        <v>298.2427648221344</v>
      </c>
      <c r="AE148">
        <v>298.21319999999997</v>
      </c>
      <c r="AF148">
        <v>310.60196999999999</v>
      </c>
      <c r="AG148">
        <v>307.82974999999999</v>
      </c>
      <c r="AH148">
        <v>309.12256000000002</v>
      </c>
      <c r="AI148">
        <v>309.14325000000002</v>
      </c>
      <c r="AJ148">
        <v>6815.2343000000001</v>
      </c>
      <c r="AK148">
        <v>1.7836385000000001E-3</v>
      </c>
      <c r="AL148">
        <v>1.7026477000000001E-4</v>
      </c>
      <c r="AM148">
        <v>1.7028940000000001E-4</v>
      </c>
      <c r="AN148">
        <v>376.72022102894402</v>
      </c>
      <c r="AO148">
        <v>25.083122175746048</v>
      </c>
      <c r="AP148">
        <v>21360.506916996052</v>
      </c>
      <c r="AQ148">
        <v>98</v>
      </c>
      <c r="AR148">
        <v>21262.506916996052</v>
      </c>
      <c r="AS148">
        <v>3.1342292835032901</v>
      </c>
      <c r="AT148">
        <v>8.6662272908104452</v>
      </c>
      <c r="AU148">
        <v>3.821806235247406</v>
      </c>
      <c r="AV148">
        <v>9376.7655503952574</v>
      </c>
      <c r="AW148">
        <v>298.88250022544281</v>
      </c>
      <c r="AZ148">
        <f t="shared" si="12"/>
        <v>26.675010608007501</v>
      </c>
      <c r="BA148">
        <f t="shared" si="9"/>
        <v>-6.3464524914714077E-2</v>
      </c>
      <c r="BB148">
        <f t="shared" si="10"/>
        <v>26.459645715993343</v>
      </c>
      <c r="BC148">
        <f t="shared" si="11"/>
        <v>-5.487847687391622E-2</v>
      </c>
      <c r="BD148">
        <v>0.622</v>
      </c>
      <c r="BF148">
        <v>0.72</v>
      </c>
    </row>
    <row r="149" spans="1:58" x14ac:dyDescent="0.25">
      <c r="A149" t="s">
        <v>67</v>
      </c>
      <c r="B149">
        <v>5</v>
      </c>
      <c r="C149">
        <v>0.5</v>
      </c>
      <c r="D149">
        <v>1600</v>
      </c>
      <c r="E149">
        <v>1.731155218554862</v>
      </c>
      <c r="F149">
        <v>2867.4424898511511</v>
      </c>
      <c r="G149">
        <v>7.7625000000000002</v>
      </c>
      <c r="H149">
        <v>24.6</v>
      </c>
      <c r="I149">
        <v>127625</v>
      </c>
      <c r="J149">
        <v>1.8474999999999998E-5</v>
      </c>
      <c r="K149">
        <v>1007</v>
      </c>
      <c r="L149">
        <v>2.6509407999999999E-3</v>
      </c>
      <c r="M149">
        <v>1.4930000000000001</v>
      </c>
      <c r="N149">
        <v>14.18214539832336</v>
      </c>
      <c r="O149">
        <v>132.1066843853821</v>
      </c>
      <c r="P149">
        <v>132</v>
      </c>
      <c r="Q149">
        <v>0.4</v>
      </c>
      <c r="R149">
        <v>36.76</v>
      </c>
      <c r="S149">
        <v>0.4</v>
      </c>
      <c r="T149">
        <v>37.17</v>
      </c>
      <c r="U149">
        <v>14.704000000000001</v>
      </c>
      <c r="V149">
        <v>14.868</v>
      </c>
      <c r="W149">
        <v>29.571999999999999</v>
      </c>
      <c r="X149">
        <v>33.232456454465073</v>
      </c>
      <c r="Y149">
        <v>5914.4000000000005</v>
      </c>
      <c r="Z149">
        <v>119.4033444140139</v>
      </c>
      <c r="AA149">
        <v>5794.9966555859864</v>
      </c>
      <c r="AB149">
        <v>2.6509408000000001E-4</v>
      </c>
      <c r="AC149">
        <v>25.06842351900973</v>
      </c>
      <c r="AD149">
        <v>298.21842351900972</v>
      </c>
      <c r="AE149">
        <v>298.18637000000001</v>
      </c>
      <c r="AF149">
        <v>309.06092999999998</v>
      </c>
      <c r="AG149">
        <v>306.56650999999999</v>
      </c>
      <c r="AH149">
        <v>307.84071999999998</v>
      </c>
      <c r="AI149">
        <v>307.85728</v>
      </c>
      <c r="AJ149">
        <v>8935.2075999999997</v>
      </c>
      <c r="AK149">
        <v>1.7836385000000001E-3</v>
      </c>
      <c r="AL149">
        <v>1.7026477000000001E-4</v>
      </c>
      <c r="AM149">
        <v>1.7028940000000001E-4</v>
      </c>
      <c r="AN149">
        <v>433.24103175529069</v>
      </c>
      <c r="AO149">
        <v>28.846441269817849</v>
      </c>
      <c r="AP149">
        <v>26270.673445328619</v>
      </c>
      <c r="AQ149">
        <v>112</v>
      </c>
      <c r="AR149">
        <v>26158.673445328619</v>
      </c>
      <c r="AS149">
        <v>2.940130170599351</v>
      </c>
      <c r="AT149">
        <v>8.3404439930525047</v>
      </c>
      <c r="AU149">
        <v>3.678135800936154</v>
      </c>
      <c r="AV149">
        <v>11535.974989389921</v>
      </c>
      <c r="AW149">
        <v>341.50606119162637</v>
      </c>
      <c r="AZ149">
        <f t="shared" si="12"/>
        <v>29.790743247632445</v>
      </c>
      <c r="BA149">
        <f t="shared" si="9"/>
        <v>-3.2735475720626371E-2</v>
      </c>
      <c r="BB149">
        <f t="shared" si="10"/>
        <v>29.555708283913049</v>
      </c>
      <c r="BC149">
        <f t="shared" si="11"/>
        <v>-2.4587678163174646E-2</v>
      </c>
      <c r="BD149">
        <v>0.622</v>
      </c>
      <c r="BF149">
        <v>0.72</v>
      </c>
    </row>
    <row r="150" spans="1:58" x14ac:dyDescent="0.25">
      <c r="A150" t="s">
        <v>67</v>
      </c>
      <c r="B150">
        <v>5</v>
      </c>
      <c r="C150">
        <v>0.5</v>
      </c>
      <c r="D150">
        <v>1800</v>
      </c>
      <c r="E150">
        <v>1.731155218554862</v>
      </c>
      <c r="F150">
        <v>3236.5591397849462</v>
      </c>
      <c r="G150">
        <v>7.7625000000000002</v>
      </c>
      <c r="H150">
        <v>24.6</v>
      </c>
      <c r="I150">
        <v>133125</v>
      </c>
      <c r="J150">
        <v>1.8476000000000001E-5</v>
      </c>
      <c r="K150">
        <v>1007</v>
      </c>
      <c r="L150">
        <v>2.9824698240000008E-3</v>
      </c>
      <c r="M150">
        <v>1.5580000000000001</v>
      </c>
      <c r="N150">
        <v>15.95577716789446</v>
      </c>
      <c r="O150">
        <v>148.62806431893691</v>
      </c>
      <c r="P150">
        <v>149</v>
      </c>
      <c r="Q150">
        <v>0.4</v>
      </c>
      <c r="R150">
        <v>36.64</v>
      </c>
      <c r="S150">
        <v>0.4</v>
      </c>
      <c r="T150">
        <v>36.83</v>
      </c>
      <c r="U150">
        <v>14.656000000000001</v>
      </c>
      <c r="V150">
        <v>14.731999999999999</v>
      </c>
      <c r="W150">
        <v>29.388000000000002</v>
      </c>
      <c r="X150">
        <v>32.477335590891236</v>
      </c>
      <c r="Y150">
        <v>5877.5999999999995</v>
      </c>
      <c r="Z150">
        <v>103.3094534486651</v>
      </c>
      <c r="AA150">
        <v>5774.2905465513331</v>
      </c>
      <c r="AB150">
        <v>2.9824698240000011E-4</v>
      </c>
      <c r="AC150">
        <v>25.099203965449551</v>
      </c>
      <c r="AD150">
        <v>298.24920396544951</v>
      </c>
      <c r="AE150">
        <v>298.20938000000001</v>
      </c>
      <c r="AF150">
        <v>307.81583000000001</v>
      </c>
      <c r="AG150">
        <v>305.64021000000002</v>
      </c>
      <c r="AH150">
        <v>306.91291000000001</v>
      </c>
      <c r="AI150">
        <v>306.90753999999998</v>
      </c>
      <c r="AJ150">
        <v>11494.915999999999</v>
      </c>
      <c r="AK150">
        <v>1.7836385000000001E-3</v>
      </c>
      <c r="AL150">
        <v>1.7026477000000001E-4</v>
      </c>
      <c r="AM150">
        <v>1.7028940000000001E-4</v>
      </c>
      <c r="AN150">
        <v>480.06687280750918</v>
      </c>
      <c r="AO150">
        <v>31.96424123523202</v>
      </c>
      <c r="AP150">
        <v>31727.911922523232</v>
      </c>
      <c r="AQ150">
        <v>126</v>
      </c>
      <c r="AR150">
        <v>31601.911922523232</v>
      </c>
      <c r="AS150">
        <v>2.760169097583943</v>
      </c>
      <c r="AT150">
        <v>8.1531073055978158</v>
      </c>
      <c r="AU150">
        <v>3.5955203217686371</v>
      </c>
      <c r="AV150">
        <v>13936.44315783274</v>
      </c>
      <c r="AW150">
        <v>384.21511420289858</v>
      </c>
      <c r="AZ150">
        <f t="shared" si="12"/>
        <v>32.839748341355168</v>
      </c>
      <c r="BA150">
        <f t="shared" si="9"/>
        <v>-2.7390204562657852E-2</v>
      </c>
      <c r="BB150">
        <f t="shared" si="10"/>
        <v>32.585992650889082</v>
      </c>
      <c r="BC150">
        <f t="shared" si="11"/>
        <v>-1.9451468003931462E-2</v>
      </c>
      <c r="BD150">
        <v>0.622</v>
      </c>
      <c r="BF150">
        <v>0.72</v>
      </c>
    </row>
    <row r="151" spans="1:58" x14ac:dyDescent="0.25">
      <c r="A151" t="s">
        <v>67</v>
      </c>
      <c r="B151">
        <v>5</v>
      </c>
      <c r="C151">
        <v>0.5</v>
      </c>
      <c r="D151">
        <v>2000</v>
      </c>
      <c r="E151">
        <v>1.731155218554862</v>
      </c>
      <c r="F151">
        <v>3584.1091145269529</v>
      </c>
      <c r="G151">
        <v>7.7625000000000002</v>
      </c>
      <c r="H151">
        <v>24.6</v>
      </c>
      <c r="I151">
        <v>138625</v>
      </c>
      <c r="J151">
        <v>1.8476000000000001E-5</v>
      </c>
      <c r="K151">
        <v>1007</v>
      </c>
      <c r="L151">
        <v>3.31385536E-3</v>
      </c>
      <c r="M151">
        <v>1.6220000000000001</v>
      </c>
      <c r="N151">
        <v>17.728641297660509</v>
      </c>
      <c r="O151">
        <v>165.14229368770771</v>
      </c>
      <c r="P151">
        <v>165</v>
      </c>
      <c r="Q151">
        <v>0.4</v>
      </c>
      <c r="R151">
        <v>36.64</v>
      </c>
      <c r="S151">
        <v>0.4</v>
      </c>
      <c r="T151">
        <v>36.83</v>
      </c>
      <c r="U151">
        <v>14.656000000000001</v>
      </c>
      <c r="V151">
        <v>14.731999999999999</v>
      </c>
      <c r="W151">
        <v>29.388000000000002</v>
      </c>
      <c r="X151">
        <v>31.916348314606751</v>
      </c>
      <c r="Y151">
        <v>5877.5999999999995</v>
      </c>
      <c r="Z151">
        <v>91.353131629213635</v>
      </c>
      <c r="AA151">
        <v>5786.2468683707848</v>
      </c>
      <c r="AB151">
        <v>3.3138553599999999E-4</v>
      </c>
      <c r="AC151">
        <v>25.086957421644001</v>
      </c>
      <c r="AD151">
        <v>298.23695742164398</v>
      </c>
      <c r="AE151">
        <v>298.19195999999999</v>
      </c>
      <c r="AF151">
        <v>306.83643999999998</v>
      </c>
      <c r="AG151">
        <v>304.87164000000001</v>
      </c>
      <c r="AH151">
        <v>306.14496000000003</v>
      </c>
      <c r="AI151">
        <v>306.11819000000003</v>
      </c>
      <c r="AJ151">
        <v>13906.448</v>
      </c>
      <c r="AK151">
        <v>1.7836385000000001E-3</v>
      </c>
      <c r="AL151">
        <v>1.7026477000000001E-4</v>
      </c>
      <c r="AM151">
        <v>1.7028940000000001E-4</v>
      </c>
      <c r="AN151">
        <v>532.14378381399206</v>
      </c>
      <c r="AO151">
        <v>35.431672629658557</v>
      </c>
      <c r="AP151">
        <v>37263.848807411778</v>
      </c>
      <c r="AQ151">
        <v>140</v>
      </c>
      <c r="AR151">
        <v>37123.848807411778</v>
      </c>
      <c r="AS151">
        <v>2.6796094018696781</v>
      </c>
      <c r="AT151">
        <v>7.9385139693171123</v>
      </c>
      <c r="AU151">
        <v>3.5008846604688459</v>
      </c>
      <c r="AV151">
        <v>16371.6173240686</v>
      </c>
      <c r="AW151">
        <v>426.90568244766507</v>
      </c>
      <c r="AZ151">
        <f t="shared" si="12"/>
        <v>35.83067521079488</v>
      </c>
      <c r="BA151">
        <f t="shared" si="9"/>
        <v>-1.1261183893484385E-2</v>
      </c>
      <c r="BB151">
        <f t="shared" si="10"/>
        <v>35.559015635510683</v>
      </c>
      <c r="BC151">
        <f t="shared" si="11"/>
        <v>-3.5940444354165624E-3</v>
      </c>
      <c r="BD151">
        <v>0.622</v>
      </c>
      <c r="BF151">
        <v>0.72</v>
      </c>
    </row>
    <row r="152" spans="1:58" x14ac:dyDescent="0.25">
      <c r="A152" t="s">
        <v>67</v>
      </c>
      <c r="B152">
        <v>5</v>
      </c>
      <c r="C152">
        <v>0.5</v>
      </c>
      <c r="D152">
        <v>2500</v>
      </c>
      <c r="E152">
        <v>1.731155218554862</v>
      </c>
      <c r="F152">
        <v>4494.7248823242981</v>
      </c>
      <c r="G152">
        <v>7.7625000000000002</v>
      </c>
      <c r="H152">
        <v>24.7</v>
      </c>
      <c r="I152">
        <v>153625</v>
      </c>
      <c r="J152">
        <v>1.8482999999999999E-5</v>
      </c>
      <c r="K152">
        <v>1007</v>
      </c>
      <c r="L152">
        <v>4.1438886000000003E-3</v>
      </c>
      <c r="M152">
        <v>1.7969999999999999</v>
      </c>
      <c r="N152">
        <v>22.169197682443389</v>
      </c>
      <c r="O152">
        <v>206.50607641196021</v>
      </c>
      <c r="P152">
        <v>207</v>
      </c>
      <c r="Q152">
        <v>0.45</v>
      </c>
      <c r="R152">
        <v>41.36</v>
      </c>
      <c r="S152">
        <v>0.45</v>
      </c>
      <c r="T152">
        <v>42.34</v>
      </c>
      <c r="U152">
        <v>18.611999999999998</v>
      </c>
      <c r="V152">
        <v>19.053000000000001</v>
      </c>
      <c r="W152">
        <v>37.665000000000013</v>
      </c>
      <c r="X152">
        <v>32.566677483324312</v>
      </c>
      <c r="Y152">
        <v>7533</v>
      </c>
      <c r="Z152">
        <v>105.21359720209099</v>
      </c>
      <c r="AA152">
        <v>7427.7864027979094</v>
      </c>
      <c r="AB152">
        <v>4.143888600000001E-4</v>
      </c>
      <c r="AC152">
        <v>25.118673156661259</v>
      </c>
      <c r="AD152">
        <v>298.26867315666118</v>
      </c>
      <c r="AE152">
        <v>298.20361000000003</v>
      </c>
      <c r="AF152">
        <v>307.06952000000001</v>
      </c>
      <c r="AG152">
        <v>305.00751000000002</v>
      </c>
      <c r="AH152">
        <v>306.58679000000001</v>
      </c>
      <c r="AI152">
        <v>306.60932000000003</v>
      </c>
      <c r="AJ152">
        <v>21262.472000000002</v>
      </c>
      <c r="AK152">
        <v>1.7836385000000001E-3</v>
      </c>
      <c r="AL152">
        <v>1.7026477000000001E-4</v>
      </c>
      <c r="AM152">
        <v>1.7028940000000001E-4</v>
      </c>
      <c r="AN152">
        <v>665.80958724597292</v>
      </c>
      <c r="AO152">
        <v>44.331528520181713</v>
      </c>
      <c r="AP152">
        <v>52679.721471065437</v>
      </c>
      <c r="AQ152">
        <v>175</v>
      </c>
      <c r="AR152">
        <v>52504.721471065437</v>
      </c>
      <c r="AS152">
        <v>2.4775915740684069</v>
      </c>
      <c r="AT152">
        <v>7.6267121091363181</v>
      </c>
      <c r="AU152">
        <v>3.3633800401291158</v>
      </c>
      <c r="AV152">
        <v>23154.58216873986</v>
      </c>
      <c r="AW152">
        <v>533.83428019323674</v>
      </c>
      <c r="AZ152">
        <f t="shared" si="12"/>
        <v>43.095174745715696</v>
      </c>
      <c r="BA152">
        <f t="shared" si="9"/>
        <v>2.7888814478913664E-2</v>
      </c>
      <c r="BB152">
        <f t="shared" si="10"/>
        <v>42.78170500331813</v>
      </c>
      <c r="BC152">
        <f t="shared" si="11"/>
        <v>3.4959848410325699E-2</v>
      </c>
      <c r="BD152">
        <v>0.622</v>
      </c>
      <c r="BF152">
        <v>0.72</v>
      </c>
    </row>
    <row r="153" spans="1:58" x14ac:dyDescent="0.25">
      <c r="A153" t="s">
        <v>67</v>
      </c>
      <c r="B153">
        <v>5</v>
      </c>
      <c r="C153">
        <v>0.5</v>
      </c>
      <c r="D153">
        <v>3000</v>
      </c>
      <c r="E153">
        <v>1.731155218554862</v>
      </c>
      <c r="F153">
        <v>5514.3712358902239</v>
      </c>
      <c r="G153">
        <v>7.7625000000000002</v>
      </c>
      <c r="H153">
        <v>24.7</v>
      </c>
      <c r="I153">
        <v>170225</v>
      </c>
      <c r="J153">
        <v>1.8485999999999999E-5</v>
      </c>
      <c r="K153">
        <v>1007</v>
      </c>
      <c r="L153">
        <v>4.9734734399999999E-3</v>
      </c>
      <c r="M153">
        <v>1.992</v>
      </c>
      <c r="N153">
        <v>26.607355192835481</v>
      </c>
      <c r="O153">
        <v>247.84751362126249</v>
      </c>
      <c r="P153">
        <v>254</v>
      </c>
      <c r="Q153">
        <v>0.45</v>
      </c>
      <c r="R153">
        <v>41.36</v>
      </c>
      <c r="S153">
        <v>0.45</v>
      </c>
      <c r="T153">
        <v>42.34</v>
      </c>
      <c r="U153">
        <v>18.611999999999998</v>
      </c>
      <c r="V153">
        <v>19.053000000000001</v>
      </c>
      <c r="W153">
        <v>37.665000000000013</v>
      </c>
      <c r="X153">
        <v>31.55835530127462</v>
      </c>
      <c r="Y153">
        <v>7533</v>
      </c>
      <c r="Z153">
        <v>83.723226536066022</v>
      </c>
      <c r="AA153">
        <v>7449.2767734639338</v>
      </c>
      <c r="AB153">
        <v>4.9734734400000001E-4</v>
      </c>
      <c r="AC153">
        <v>25.098345886442651</v>
      </c>
      <c r="AD153">
        <v>298.24834588644262</v>
      </c>
      <c r="AE153">
        <v>298.16556000000003</v>
      </c>
      <c r="AF153">
        <v>305.55628000000002</v>
      </c>
      <c r="AG153">
        <v>303.68790000000001</v>
      </c>
      <c r="AH153">
        <v>305.25159000000002</v>
      </c>
      <c r="AI153">
        <v>305.28683999999998</v>
      </c>
      <c r="AJ153">
        <v>29149.251</v>
      </c>
      <c r="AK153">
        <v>1.7836385000000001E-3</v>
      </c>
      <c r="AL153">
        <v>1.7026477000000001E-4</v>
      </c>
      <c r="AM153">
        <v>1.7028940000000001E-4</v>
      </c>
      <c r="AN153">
        <v>842.79632602740048</v>
      </c>
      <c r="AO153">
        <v>56.115817614661502</v>
      </c>
      <c r="AP153">
        <v>68950.413608857998</v>
      </c>
      <c r="AQ153">
        <v>210</v>
      </c>
      <c r="AR153">
        <v>68740.413608857998</v>
      </c>
      <c r="AS153">
        <v>2.3654265973715072</v>
      </c>
      <c r="AT153">
        <v>7.3840531935740774</v>
      </c>
      <c r="AU153">
        <v>3.2563674583661681</v>
      </c>
      <c r="AV153">
        <v>30314.52240150638</v>
      </c>
      <c r="AW153">
        <v>640.70511304347815</v>
      </c>
      <c r="AZ153">
        <f t="shared" si="12"/>
        <v>50.111256321078571</v>
      </c>
      <c r="BA153">
        <f t="shared" si="9"/>
        <v>0.10700300822159109</v>
      </c>
      <c r="BB153">
        <f t="shared" si="10"/>
        <v>49.759361109524058</v>
      </c>
      <c r="BC153">
        <f t="shared" si="11"/>
        <v>0.11327388204135654</v>
      </c>
      <c r="BD153">
        <v>0.622</v>
      </c>
      <c r="BF153">
        <v>0.72</v>
      </c>
    </row>
    <row r="154" spans="1:58" x14ac:dyDescent="0.25">
      <c r="A154" t="s">
        <v>68</v>
      </c>
    </row>
    <row r="155" spans="1:58" x14ac:dyDescent="0.25">
      <c r="A155" t="s">
        <v>69</v>
      </c>
      <c r="B155">
        <v>4</v>
      </c>
      <c r="C155">
        <v>0.3</v>
      </c>
      <c r="D155">
        <v>600</v>
      </c>
      <c r="E155">
        <v>1.540840790140132</v>
      </c>
      <c r="F155">
        <v>1114.6939807789579</v>
      </c>
      <c r="G155">
        <v>5.7039999999999997</v>
      </c>
      <c r="H155">
        <v>24.2</v>
      </c>
      <c r="I155">
        <v>108425</v>
      </c>
      <c r="J155">
        <v>1.8451999999999999E-5</v>
      </c>
      <c r="K155">
        <v>1007</v>
      </c>
      <c r="L155">
        <v>8.1968396999999979E-4</v>
      </c>
      <c r="M155">
        <v>1.27</v>
      </c>
      <c r="N155">
        <v>5.9677475415049397</v>
      </c>
      <c r="O155">
        <v>40.848038372093008</v>
      </c>
      <c r="P155">
        <v>41</v>
      </c>
      <c r="Q155">
        <v>0.25</v>
      </c>
      <c r="R155">
        <v>39.25</v>
      </c>
      <c r="S155">
        <v>0.25</v>
      </c>
      <c r="T155">
        <v>40.04</v>
      </c>
      <c r="U155">
        <v>9.8125</v>
      </c>
      <c r="V155">
        <v>10.01</v>
      </c>
      <c r="W155">
        <v>19.822500000000002</v>
      </c>
      <c r="X155">
        <v>40.396069183910271</v>
      </c>
      <c r="Y155">
        <v>6194.5312499999991</v>
      </c>
      <c r="Z155">
        <v>272.08142251667959</v>
      </c>
      <c r="AA155">
        <v>5922.4498274833186</v>
      </c>
      <c r="AB155">
        <v>8.1968396999999984E-5</v>
      </c>
      <c r="AC155">
        <v>24.7133852252949</v>
      </c>
      <c r="AD155">
        <v>297.86338522529491</v>
      </c>
      <c r="AE155">
        <v>297.8544</v>
      </c>
      <c r="AF155">
        <v>320.79908</v>
      </c>
      <c r="AG155">
        <v>316.97192000000001</v>
      </c>
      <c r="AH155">
        <v>317.07823000000002</v>
      </c>
      <c r="AI155">
        <v>315.54016999999999</v>
      </c>
      <c r="AJ155">
        <v>1580.9295999999999</v>
      </c>
      <c r="AK155">
        <v>1.1774721E-3</v>
      </c>
      <c r="AL155">
        <v>1.2184408E-4</v>
      </c>
      <c r="AM155">
        <v>1.2185598000000001E-4</v>
      </c>
      <c r="AN155">
        <v>177.06037482351559</v>
      </c>
      <c r="AO155">
        <v>10.49314799406053</v>
      </c>
      <c r="AP155">
        <v>7481.1944820473154</v>
      </c>
      <c r="AQ155">
        <v>41</v>
      </c>
      <c r="AR155">
        <v>7440.1944820473154</v>
      </c>
      <c r="AS155">
        <v>4.7321490356353104</v>
      </c>
      <c r="AT155">
        <v>13.66772566235354</v>
      </c>
      <c r="AU155">
        <v>6.9295369108132432</v>
      </c>
      <c r="AV155">
        <v>3772.1786023979889</v>
      </c>
      <c r="AW155">
        <v>143.703360799439</v>
      </c>
      <c r="AZ155">
        <f t="shared" si="12"/>
        <v>13.556525224361939</v>
      </c>
      <c r="BA155">
        <f t="shared" si="9"/>
        <v>-0.29194072475060701</v>
      </c>
      <c r="BB155">
        <f t="shared" si="10"/>
        <v>14.015507837822673</v>
      </c>
      <c r="BC155">
        <f t="shared" si="11"/>
        <v>-0.33568189886923494</v>
      </c>
      <c r="BD155">
        <v>0.71399999999999997</v>
      </c>
      <c r="BF155">
        <v>0.72</v>
      </c>
    </row>
    <row r="156" spans="1:58" x14ac:dyDescent="0.25">
      <c r="A156" t="s">
        <v>69</v>
      </c>
      <c r="B156">
        <v>4</v>
      </c>
      <c r="C156">
        <v>0.3</v>
      </c>
      <c r="D156">
        <v>800</v>
      </c>
      <c r="E156">
        <v>1.540840790140132</v>
      </c>
      <c r="F156">
        <v>1468.0539749634199</v>
      </c>
      <c r="G156">
        <v>5.7039999999999997</v>
      </c>
      <c r="H156">
        <v>24.2</v>
      </c>
      <c r="I156">
        <v>113325</v>
      </c>
      <c r="J156">
        <v>1.8453000000000001E-5</v>
      </c>
      <c r="K156">
        <v>1007</v>
      </c>
      <c r="L156">
        <v>1.09297119E-3</v>
      </c>
      <c r="M156">
        <v>1.3280000000000001</v>
      </c>
      <c r="N156">
        <v>7.957427948796207</v>
      </c>
      <c r="O156">
        <v>54.467002823920268</v>
      </c>
      <c r="P156">
        <v>54</v>
      </c>
      <c r="Q156">
        <v>0.25</v>
      </c>
      <c r="R156">
        <v>39.25</v>
      </c>
      <c r="S156">
        <v>0.25</v>
      </c>
      <c r="T156">
        <v>40.04</v>
      </c>
      <c r="U156">
        <v>9.8125</v>
      </c>
      <c r="V156">
        <v>10.01</v>
      </c>
      <c r="W156">
        <v>19.822500000000002</v>
      </c>
      <c r="X156">
        <v>37.357204572155872</v>
      </c>
      <c r="Y156">
        <v>6194.5312499999991</v>
      </c>
      <c r="Z156">
        <v>207.31410104635791</v>
      </c>
      <c r="AA156">
        <v>5987.2171489536413</v>
      </c>
      <c r="AB156">
        <v>1.0929711900000001E-4</v>
      </c>
      <c r="AC156">
        <v>24.753628353240689</v>
      </c>
      <c r="AD156">
        <v>297.90362835324072</v>
      </c>
      <c r="AE156">
        <v>297.88797</v>
      </c>
      <c r="AF156">
        <v>315.28764999999999</v>
      </c>
      <c r="AG156">
        <v>311.30626999999998</v>
      </c>
      <c r="AH156">
        <v>312.74360000000001</v>
      </c>
      <c r="AI156">
        <v>312.78764999999999</v>
      </c>
      <c r="AJ156">
        <v>2810.7437</v>
      </c>
      <c r="AK156">
        <v>1.1774721E-3</v>
      </c>
      <c r="AL156">
        <v>1.2184408E-4</v>
      </c>
      <c r="AM156">
        <v>1.2185598000000001E-4</v>
      </c>
      <c r="AN156">
        <v>271.32189518094032</v>
      </c>
      <c r="AO156">
        <v>16.079378590496852</v>
      </c>
      <c r="AP156">
        <v>11993.03896612493</v>
      </c>
      <c r="AQ156">
        <v>54</v>
      </c>
      <c r="AR156">
        <v>11939.03896612493</v>
      </c>
      <c r="AS156">
        <v>4.2668561228563551</v>
      </c>
      <c r="AT156">
        <v>12.62610167254158</v>
      </c>
      <c r="AU156">
        <v>6.4014335479785824</v>
      </c>
      <c r="AV156">
        <v>6053.0927558253379</v>
      </c>
      <c r="AW156">
        <v>191.61486500701261</v>
      </c>
      <c r="AZ156">
        <f t="shared" si="12"/>
        <v>17.199277486233434</v>
      </c>
      <c r="BA156">
        <f t="shared" si="9"/>
        <v>-6.964814525845292E-2</v>
      </c>
      <c r="BB156">
        <f t="shared" si="10"/>
        <v>17.788704476356717</v>
      </c>
      <c r="BC156">
        <f t="shared" si="11"/>
        <v>-0.10630546922193261</v>
      </c>
      <c r="BD156">
        <v>0.71399999999999997</v>
      </c>
      <c r="BF156">
        <v>0.72</v>
      </c>
    </row>
    <row r="157" spans="1:58" x14ac:dyDescent="0.25">
      <c r="A157" t="s">
        <v>69</v>
      </c>
      <c r="B157">
        <v>4</v>
      </c>
      <c r="C157">
        <v>0.3</v>
      </c>
      <c r="D157">
        <v>1000</v>
      </c>
      <c r="E157">
        <v>1.540840790140132</v>
      </c>
      <c r="F157">
        <v>1848.5603843791771</v>
      </c>
      <c r="G157">
        <v>5.7039999999999997</v>
      </c>
      <c r="H157">
        <v>24.2</v>
      </c>
      <c r="I157">
        <v>118325</v>
      </c>
      <c r="J157">
        <v>1.8454E-5</v>
      </c>
      <c r="K157">
        <v>1007</v>
      </c>
      <c r="L157">
        <v>1.3662880249999999E-3</v>
      </c>
      <c r="M157">
        <v>1.3859999999999999</v>
      </c>
      <c r="N157">
        <v>9.9473239694822748</v>
      </c>
      <c r="O157">
        <v>68.087443106312278</v>
      </c>
      <c r="P157">
        <v>68</v>
      </c>
      <c r="Q157">
        <v>0.25</v>
      </c>
      <c r="R157">
        <v>39.25</v>
      </c>
      <c r="S157">
        <v>0.25</v>
      </c>
      <c r="T157">
        <v>40.04</v>
      </c>
      <c r="U157">
        <v>9.8125</v>
      </c>
      <c r="V157">
        <v>10.01</v>
      </c>
      <c r="W157">
        <v>19.822500000000002</v>
      </c>
      <c r="X157">
        <v>35.24185274568763</v>
      </c>
      <c r="Y157">
        <v>6194.5312499999991</v>
      </c>
      <c r="Z157">
        <v>162.22960756884041</v>
      </c>
      <c r="AA157">
        <v>6032.3016424311591</v>
      </c>
      <c r="AB157">
        <v>1.3662880250000001E-4</v>
      </c>
      <c r="AC157">
        <v>24.761100648836859</v>
      </c>
      <c r="AD157">
        <v>297.91110064883691</v>
      </c>
      <c r="AE157">
        <v>297.88742000000002</v>
      </c>
      <c r="AF157">
        <v>311.91395999999997</v>
      </c>
      <c r="AG157">
        <v>308.73883999999998</v>
      </c>
      <c r="AH157">
        <v>310.16072000000003</v>
      </c>
      <c r="AI157">
        <v>310.19677999999999</v>
      </c>
      <c r="AJ157">
        <v>4394.0063</v>
      </c>
      <c r="AK157">
        <v>1.1774721E-3</v>
      </c>
      <c r="AL157">
        <v>1.2184408E-4</v>
      </c>
      <c r="AM157">
        <v>1.2185598000000001E-4</v>
      </c>
      <c r="AN157">
        <v>332.49685524367828</v>
      </c>
      <c r="AO157">
        <v>19.7047968135684</v>
      </c>
      <c r="AP157">
        <v>17514.76736825447</v>
      </c>
      <c r="AQ157">
        <v>68</v>
      </c>
      <c r="AR157">
        <v>17446.76736825447</v>
      </c>
      <c r="AS157">
        <v>3.9860587747119229</v>
      </c>
      <c r="AT157">
        <v>12.078977158903999</v>
      </c>
      <c r="AU157">
        <v>6.12404141956433</v>
      </c>
      <c r="AV157">
        <v>8845.5110557050157</v>
      </c>
      <c r="AW157">
        <v>239.5315611851332</v>
      </c>
      <c r="AZ157">
        <f t="shared" si="12"/>
        <v>20.686349459191234</v>
      </c>
      <c r="BA157">
        <f t="shared" si="9"/>
        <v>-4.9812878301132901E-2</v>
      </c>
      <c r="BB157">
        <f t="shared" si="10"/>
        <v>21.4019171705839</v>
      </c>
      <c r="BC157">
        <f t="shared" si="11"/>
        <v>-8.6127270079074877E-2</v>
      </c>
      <c r="BD157">
        <v>0.71399999999999997</v>
      </c>
      <c r="BF157">
        <v>0.72</v>
      </c>
    </row>
    <row r="158" spans="1:58" x14ac:dyDescent="0.25">
      <c r="A158" t="s">
        <v>69</v>
      </c>
      <c r="B158">
        <v>4</v>
      </c>
      <c r="C158">
        <v>0.3</v>
      </c>
      <c r="D158">
        <v>1200</v>
      </c>
      <c r="E158">
        <v>1.540840790140132</v>
      </c>
      <c r="F158">
        <v>2229.0255576627828</v>
      </c>
      <c r="G158">
        <v>5.7039999999999997</v>
      </c>
      <c r="H158">
        <v>24.2</v>
      </c>
      <c r="I158">
        <v>125025</v>
      </c>
      <c r="J158">
        <v>1.8454999999999999E-5</v>
      </c>
      <c r="K158">
        <v>1007</v>
      </c>
      <c r="L158">
        <v>1.6396344749999999E-3</v>
      </c>
      <c r="M158">
        <v>1.4650000000000001</v>
      </c>
      <c r="N158">
        <v>11.937435603563159</v>
      </c>
      <c r="O158">
        <v>81.709359219269118</v>
      </c>
      <c r="P158">
        <v>82</v>
      </c>
      <c r="Q158">
        <v>0.25</v>
      </c>
      <c r="R158">
        <v>39.25</v>
      </c>
      <c r="S158">
        <v>0.25</v>
      </c>
      <c r="T158">
        <v>40.04</v>
      </c>
      <c r="U158">
        <v>9.8125</v>
      </c>
      <c r="V158">
        <v>10.01</v>
      </c>
      <c r="W158">
        <v>19.822500000000002</v>
      </c>
      <c r="X158">
        <v>33.927740336471061</v>
      </c>
      <c r="Y158">
        <v>6194.5312499999991</v>
      </c>
      <c r="Z158">
        <v>134.22192979120771</v>
      </c>
      <c r="AA158">
        <v>6060.3093202087912</v>
      </c>
      <c r="AB158">
        <v>1.6396344749999999E-4</v>
      </c>
      <c r="AC158">
        <v>24.787563589024661</v>
      </c>
      <c r="AD158">
        <v>297.93756358902459</v>
      </c>
      <c r="AE158">
        <v>297.90465999999998</v>
      </c>
      <c r="AF158">
        <v>309.63204999999999</v>
      </c>
      <c r="AG158">
        <v>306.99891000000002</v>
      </c>
      <c r="AH158">
        <v>308.40735000000001</v>
      </c>
      <c r="AI158">
        <v>308.43682000000001</v>
      </c>
      <c r="AJ158">
        <v>6319.2422999999999</v>
      </c>
      <c r="AK158">
        <v>1.1774721E-3</v>
      </c>
      <c r="AL158">
        <v>1.2184408E-4</v>
      </c>
      <c r="AM158">
        <v>1.2185598000000001E-4</v>
      </c>
      <c r="AN158">
        <v>392.7294185599078</v>
      </c>
      <c r="AO158">
        <v>23.274365677120119</v>
      </c>
      <c r="AP158">
        <v>23608.069630816481</v>
      </c>
      <c r="AQ158">
        <v>82</v>
      </c>
      <c r="AR158">
        <v>23526.069630816481</v>
      </c>
      <c r="AS158">
        <v>3.7359019499563231</v>
      </c>
      <c r="AT158">
        <v>11.65637875228451</v>
      </c>
      <c r="AU158">
        <v>5.9097840274082474</v>
      </c>
      <c r="AV158">
        <v>11927.71730282395</v>
      </c>
      <c r="AW158">
        <v>287.45344933380079</v>
      </c>
      <c r="AZ158">
        <f t="shared" si="12"/>
        <v>24.05417697488263</v>
      </c>
      <c r="BA158">
        <f t="shared" si="9"/>
        <v>-3.3505157931290226E-2</v>
      </c>
      <c r="BB158">
        <f t="shared" si="10"/>
        <v>24.892549860848511</v>
      </c>
      <c r="BC158">
        <f t="shared" si="11"/>
        <v>-6.952645696888525E-2</v>
      </c>
      <c r="BD158">
        <v>0.71399999999999997</v>
      </c>
      <c r="BF158">
        <v>0.72</v>
      </c>
    </row>
    <row r="159" spans="1:58" x14ac:dyDescent="0.25">
      <c r="A159" t="s">
        <v>69</v>
      </c>
      <c r="B159">
        <v>4</v>
      </c>
      <c r="C159">
        <v>0.3</v>
      </c>
      <c r="D159">
        <v>1400</v>
      </c>
      <c r="E159">
        <v>1.540840790140132</v>
      </c>
      <c r="F159">
        <v>2582.267735876319</v>
      </c>
      <c r="G159">
        <v>5.7039999999999997</v>
      </c>
      <c r="H159">
        <v>24.2</v>
      </c>
      <c r="I159">
        <v>131325</v>
      </c>
      <c r="J159">
        <v>1.8456000000000001E-5</v>
      </c>
      <c r="K159">
        <v>1007</v>
      </c>
      <c r="L159">
        <v>1.9130105399999999E-3</v>
      </c>
      <c r="M159">
        <v>1.5389999999999999</v>
      </c>
      <c r="N159">
        <v>13.927762851038841</v>
      </c>
      <c r="O159">
        <v>95.332751162790672</v>
      </c>
      <c r="P159">
        <v>95</v>
      </c>
      <c r="Q159">
        <v>0.25</v>
      </c>
      <c r="R159">
        <v>39.25</v>
      </c>
      <c r="S159">
        <v>0.25</v>
      </c>
      <c r="T159">
        <v>40.04</v>
      </c>
      <c r="U159">
        <v>9.8125</v>
      </c>
      <c r="V159">
        <v>10.01</v>
      </c>
      <c r="W159">
        <v>19.822500000000002</v>
      </c>
      <c r="X159">
        <v>32.923134779839891</v>
      </c>
      <c r="Y159">
        <v>6194.5312499999991</v>
      </c>
      <c r="Z159">
        <v>112.8107715627276</v>
      </c>
      <c r="AA159">
        <v>6081.7204784372716</v>
      </c>
      <c r="AB159">
        <v>1.91301054E-4</v>
      </c>
      <c r="AC159">
        <v>24.779287663755479</v>
      </c>
      <c r="AD159">
        <v>297.92928766375547</v>
      </c>
      <c r="AE159">
        <v>297.88643999999999</v>
      </c>
      <c r="AF159">
        <v>307.97152999999997</v>
      </c>
      <c r="AG159">
        <v>305.67883</v>
      </c>
      <c r="AH159">
        <v>307.06977999999998</v>
      </c>
      <c r="AI159">
        <v>307.09942000000001</v>
      </c>
      <c r="AJ159">
        <v>8731.8439999999991</v>
      </c>
      <c r="AK159">
        <v>1.1774721E-3</v>
      </c>
      <c r="AL159">
        <v>1.2184408E-4</v>
      </c>
      <c r="AM159">
        <v>1.2185598000000001E-4</v>
      </c>
      <c r="AN159">
        <v>457.85426279270428</v>
      </c>
      <c r="AO159">
        <v>27.13386630963608</v>
      </c>
      <c r="AP159">
        <v>29720.21591460456</v>
      </c>
      <c r="AQ159">
        <v>95</v>
      </c>
      <c r="AR159">
        <v>29625.21591460456</v>
      </c>
      <c r="AS159">
        <v>3.4036585988715058</v>
      </c>
      <c r="AT159">
        <v>11.08320329129384</v>
      </c>
      <c r="AU159">
        <v>5.6191840686859758</v>
      </c>
      <c r="AV159">
        <v>15019.98446870451</v>
      </c>
      <c r="AW159">
        <v>335.38052945301541</v>
      </c>
      <c r="AZ159">
        <f t="shared" si="12"/>
        <v>27.325969607095534</v>
      </c>
      <c r="BA159">
        <f t="shared" si="9"/>
        <v>-7.0798350396247076E-3</v>
      </c>
      <c r="BB159">
        <f t="shared" si="10"/>
        <v>28.284435844219061</v>
      </c>
      <c r="BC159">
        <f t="shared" si="11"/>
        <v>-4.2403449676258573E-2</v>
      </c>
      <c r="BD159">
        <v>0.71399999999999997</v>
      </c>
      <c r="BF159">
        <v>0.72</v>
      </c>
    </row>
    <row r="160" spans="1:58" x14ac:dyDescent="0.25">
      <c r="A160" t="s">
        <v>69</v>
      </c>
      <c r="B160">
        <v>4</v>
      </c>
      <c r="C160">
        <v>0.3</v>
      </c>
      <c r="D160">
        <v>1600</v>
      </c>
      <c r="E160">
        <v>1.540840790140132</v>
      </c>
      <c r="F160">
        <v>2961.8495648719891</v>
      </c>
      <c r="G160">
        <v>5.7039999999999997</v>
      </c>
      <c r="H160">
        <v>24.3</v>
      </c>
      <c r="I160">
        <v>138025</v>
      </c>
      <c r="J160">
        <v>1.8462E-5</v>
      </c>
      <c r="K160">
        <v>1007</v>
      </c>
      <c r="L160">
        <v>2.1870085199999991E-3</v>
      </c>
      <c r="M160">
        <v>1.617</v>
      </c>
      <c r="N160">
        <v>15.92261797980551</v>
      </c>
      <c r="O160">
        <v>108.9871355481727</v>
      </c>
      <c r="P160">
        <v>109</v>
      </c>
      <c r="Q160">
        <v>0.25</v>
      </c>
      <c r="R160">
        <v>39.25</v>
      </c>
      <c r="S160">
        <v>0.25</v>
      </c>
      <c r="T160">
        <v>40.04</v>
      </c>
      <c r="U160">
        <v>9.8125</v>
      </c>
      <c r="V160">
        <v>10.01</v>
      </c>
      <c r="W160">
        <v>19.822500000000002</v>
      </c>
      <c r="X160">
        <v>32.147654989175351</v>
      </c>
      <c r="Y160">
        <v>6194.5312499999991</v>
      </c>
      <c r="Z160">
        <v>96.282970784294207</v>
      </c>
      <c r="AA160">
        <v>6098.2482792157052</v>
      </c>
      <c r="AB160">
        <v>2.1870085199999999E-4</v>
      </c>
      <c r="AC160">
        <v>24.819691989765811</v>
      </c>
      <c r="AD160">
        <v>297.96969198976581</v>
      </c>
      <c r="AE160">
        <v>297.91577000000001</v>
      </c>
      <c r="AF160">
        <v>306.75033999999999</v>
      </c>
      <c r="AG160">
        <v>304.79165999999998</v>
      </c>
      <c r="AH160">
        <v>306.20066000000003</v>
      </c>
      <c r="AI160">
        <v>306.17273999999998</v>
      </c>
      <c r="AJ160">
        <v>10845.421</v>
      </c>
      <c r="AK160">
        <v>1.1774721E-3</v>
      </c>
      <c r="AL160">
        <v>1.2184408E-4</v>
      </c>
      <c r="AM160">
        <v>1.2185598000000001E-4</v>
      </c>
      <c r="AN160">
        <v>508.97306468140368</v>
      </c>
      <c r="AO160">
        <v>30.16332535168225</v>
      </c>
      <c r="AP160">
        <v>36775.366069671327</v>
      </c>
      <c r="AQ160">
        <v>109</v>
      </c>
      <c r="AR160">
        <v>36666.366069671327</v>
      </c>
      <c r="AS160">
        <v>3.3908656998812061</v>
      </c>
      <c r="AT160">
        <v>10.795318495797851</v>
      </c>
      <c r="AU160">
        <v>5.4732264773695078</v>
      </c>
      <c r="AV160">
        <v>18589.847597323362</v>
      </c>
      <c r="AW160">
        <v>383.41664095371658</v>
      </c>
      <c r="AZ160">
        <f t="shared" si="12"/>
        <v>30.517736488292904</v>
      </c>
      <c r="BA160">
        <f t="shared" si="9"/>
        <v>-1.1749736890030534E-2</v>
      </c>
      <c r="BB160">
        <f t="shared" si="10"/>
        <v>31.594018444528853</v>
      </c>
      <c r="BC160">
        <f t="shared" si="11"/>
        <v>-4.7431543974869185E-2</v>
      </c>
      <c r="BD160">
        <v>0.71399999999999997</v>
      </c>
      <c r="BF160">
        <v>0.72</v>
      </c>
    </row>
    <row r="161" spans="1:58" x14ac:dyDescent="0.25">
      <c r="A161" t="s">
        <v>69</v>
      </c>
      <c r="B161">
        <v>4</v>
      </c>
      <c r="C161">
        <v>0.3</v>
      </c>
      <c r="D161">
        <v>1800</v>
      </c>
      <c r="E161">
        <v>1.540840790140132</v>
      </c>
      <c r="F161">
        <v>3342.089584574554</v>
      </c>
      <c r="G161">
        <v>5.7039999999999997</v>
      </c>
      <c r="H161">
        <v>24.3</v>
      </c>
      <c r="I161">
        <v>145325</v>
      </c>
      <c r="J161">
        <v>1.8462999999999999E-5</v>
      </c>
      <c r="K161">
        <v>1007</v>
      </c>
      <c r="L161">
        <v>2.4605178525E-3</v>
      </c>
      <c r="M161">
        <v>1.702</v>
      </c>
      <c r="N161">
        <v>17.91391548755783</v>
      </c>
      <c r="O161">
        <v>122.6171687292359</v>
      </c>
      <c r="P161">
        <v>123</v>
      </c>
      <c r="Q161">
        <v>0.28000000000000003</v>
      </c>
      <c r="R161">
        <v>45.04</v>
      </c>
      <c r="S161">
        <v>0.28000000000000003</v>
      </c>
      <c r="T161">
        <v>44.6</v>
      </c>
      <c r="U161">
        <v>12.6112</v>
      </c>
      <c r="V161">
        <v>12.488</v>
      </c>
      <c r="W161">
        <v>25.0992</v>
      </c>
      <c r="X161">
        <v>33.229825781775403</v>
      </c>
      <c r="Y161">
        <v>7843.5</v>
      </c>
      <c r="Z161">
        <v>119.347276886979</v>
      </c>
      <c r="AA161">
        <v>7724.1527231130212</v>
      </c>
      <c r="AB161">
        <v>2.4605178525000001E-4</v>
      </c>
      <c r="AC161">
        <v>24.81544048419638</v>
      </c>
      <c r="AD161">
        <v>297.96544048419628</v>
      </c>
      <c r="AE161">
        <v>297.90087999999997</v>
      </c>
      <c r="AF161">
        <v>307.83526999999998</v>
      </c>
      <c r="AG161">
        <v>305.62007</v>
      </c>
      <c r="AH161">
        <v>307.35552000000001</v>
      </c>
      <c r="AI161">
        <v>307.35926000000001</v>
      </c>
      <c r="AJ161">
        <v>14055.807000000001</v>
      </c>
      <c r="AK161">
        <v>1.1774721E-3</v>
      </c>
      <c r="AL161">
        <v>1.2184408E-4</v>
      </c>
      <c r="AM161">
        <v>1.2185598000000001E-4</v>
      </c>
      <c r="AN161">
        <v>570.25285106289391</v>
      </c>
      <c r="AO161">
        <v>33.794955908131257</v>
      </c>
      <c r="AP161">
        <v>44254.886236269893</v>
      </c>
      <c r="AQ161">
        <v>123</v>
      </c>
      <c r="AR161">
        <v>44131.886236269893</v>
      </c>
      <c r="AS161">
        <v>3.1485126564607699</v>
      </c>
      <c r="AT161">
        <v>10.57583767671805</v>
      </c>
      <c r="AU161">
        <v>5.3619497020960498</v>
      </c>
      <c r="AV161">
        <v>22374.866321788839</v>
      </c>
      <c r="AW161">
        <v>431.36708494039271</v>
      </c>
      <c r="AZ161">
        <f t="shared" si="12"/>
        <v>33.641147449484265</v>
      </c>
      <c r="BA161">
        <f t="shared" si="9"/>
        <v>4.5512253090404216E-3</v>
      </c>
      <c r="BB161">
        <f t="shared" si="10"/>
        <v>34.833286448622594</v>
      </c>
      <c r="BC161">
        <f t="shared" si="11"/>
        <v>-3.0724423588950712E-2</v>
      </c>
      <c r="BD161">
        <v>0.71399999999999997</v>
      </c>
      <c r="BF161">
        <v>0.72</v>
      </c>
    </row>
    <row r="162" spans="1:58" x14ac:dyDescent="0.25">
      <c r="A162" t="s">
        <v>69</v>
      </c>
      <c r="B162">
        <v>4</v>
      </c>
      <c r="C162">
        <v>0.3</v>
      </c>
      <c r="D162">
        <v>2000</v>
      </c>
      <c r="E162">
        <v>1.540840790140132</v>
      </c>
      <c r="F162">
        <v>3695.118428653956</v>
      </c>
      <c r="G162">
        <v>5.7039999999999997</v>
      </c>
      <c r="H162">
        <v>24.3</v>
      </c>
      <c r="I162">
        <v>152825</v>
      </c>
      <c r="J162">
        <v>1.8464000000000001E-5</v>
      </c>
      <c r="K162">
        <v>1007</v>
      </c>
      <c r="L162">
        <v>2.7340567999999989E-3</v>
      </c>
      <c r="M162">
        <v>1.79</v>
      </c>
      <c r="N162">
        <v>19.90542860870497</v>
      </c>
      <c r="O162">
        <v>136.2486777408638</v>
      </c>
      <c r="P162">
        <v>136</v>
      </c>
      <c r="Q162">
        <v>0.28000000000000003</v>
      </c>
      <c r="R162">
        <v>45.04</v>
      </c>
      <c r="S162">
        <v>0.28000000000000003</v>
      </c>
      <c r="T162">
        <v>44.6</v>
      </c>
      <c r="U162">
        <v>12.6112</v>
      </c>
      <c r="V162">
        <v>12.488</v>
      </c>
      <c r="W162">
        <v>25.0992</v>
      </c>
      <c r="X162">
        <v>32.632258950522463</v>
      </c>
      <c r="Y162">
        <v>7843.5</v>
      </c>
      <c r="Z162">
        <v>106.611335012485</v>
      </c>
      <c r="AA162">
        <v>7736.8886649875149</v>
      </c>
      <c r="AB162">
        <v>2.7340567999999989E-4</v>
      </c>
      <c r="AC162">
        <v>24.805929625076839</v>
      </c>
      <c r="AD162">
        <v>297.95592962507681</v>
      </c>
      <c r="AE162">
        <v>297.88119999999998</v>
      </c>
      <c r="AF162">
        <v>306.82202999999998</v>
      </c>
      <c r="AG162">
        <v>304.77366999999998</v>
      </c>
      <c r="AH162">
        <v>306.50474000000003</v>
      </c>
      <c r="AI162">
        <v>306.50256999999999</v>
      </c>
      <c r="AJ162">
        <v>17788.544999999998</v>
      </c>
      <c r="AK162">
        <v>1.1774721E-3</v>
      </c>
      <c r="AL162">
        <v>1.2184408E-4</v>
      </c>
      <c r="AM162">
        <v>1.2185598000000001E-4</v>
      </c>
      <c r="AN162">
        <v>640.7768213688604</v>
      </c>
      <c r="AO162">
        <v>37.974425528518353</v>
      </c>
      <c r="AP162">
        <v>51366.294304445822</v>
      </c>
      <c r="AQ162">
        <v>136</v>
      </c>
      <c r="AR162">
        <v>51230.294304445822</v>
      </c>
      <c r="AS162">
        <v>2.887605158513292</v>
      </c>
      <c r="AT162">
        <v>10.245572359464809</v>
      </c>
      <c r="AU162">
        <v>5.1945051862486578</v>
      </c>
      <c r="AV162">
        <v>25973.759212354031</v>
      </c>
      <c r="AW162">
        <v>479.32272089761568</v>
      </c>
      <c r="AZ162">
        <f t="shared" si="12"/>
        <v>36.70506288451022</v>
      </c>
      <c r="BA162">
        <f t="shared" si="9"/>
        <v>3.3426776740963643E-2</v>
      </c>
      <c r="BB162">
        <f t="shared" si="10"/>
        <v>38.011344037696475</v>
      </c>
      <c r="BC162">
        <f t="shared" si="11"/>
        <v>-9.7219401384746485E-4</v>
      </c>
      <c r="BD162">
        <v>0.71399999999999997</v>
      </c>
      <c r="BF162">
        <v>0.72</v>
      </c>
    </row>
    <row r="163" spans="1:58" x14ac:dyDescent="0.25">
      <c r="A163" t="s">
        <v>69</v>
      </c>
      <c r="B163">
        <v>4</v>
      </c>
      <c r="C163">
        <v>0.3</v>
      </c>
      <c r="D163">
        <v>2500</v>
      </c>
      <c r="E163">
        <v>1.540840790140132</v>
      </c>
      <c r="F163">
        <v>4618.1476868648579</v>
      </c>
      <c r="G163">
        <v>5.7039999999999997</v>
      </c>
      <c r="H163">
        <v>24.3</v>
      </c>
      <c r="I163">
        <v>172725</v>
      </c>
      <c r="J163">
        <v>1.8467000000000001E-5</v>
      </c>
      <c r="K163">
        <v>1007</v>
      </c>
      <c r="L163">
        <v>3.418126281249999E-3</v>
      </c>
      <c r="M163">
        <v>2.024</v>
      </c>
      <c r="N163">
        <v>24.885828512033861</v>
      </c>
      <c r="O163">
        <v>170.33851899916939</v>
      </c>
      <c r="P163">
        <v>170</v>
      </c>
      <c r="Q163">
        <v>0.28000000000000003</v>
      </c>
      <c r="R163">
        <v>45.04</v>
      </c>
      <c r="S163">
        <v>0.28000000000000003</v>
      </c>
      <c r="T163">
        <v>44.6</v>
      </c>
      <c r="U163">
        <v>12.6112</v>
      </c>
      <c r="V163">
        <v>12.488</v>
      </c>
      <c r="W163">
        <v>25.0992</v>
      </c>
      <c r="X163">
        <v>31.486810577307221</v>
      </c>
      <c r="Y163">
        <v>7843.5</v>
      </c>
      <c r="Z163">
        <v>82.198393834148874</v>
      </c>
      <c r="AA163">
        <v>7761.3016061658509</v>
      </c>
      <c r="AB163">
        <v>3.4181262812500002E-4</v>
      </c>
      <c r="AC163">
        <v>24.82857970435478</v>
      </c>
      <c r="AD163">
        <v>297.97857970435479</v>
      </c>
      <c r="AE163">
        <v>297.87666000000002</v>
      </c>
      <c r="AF163">
        <v>304.99113</v>
      </c>
      <c r="AG163">
        <v>303.30218000000002</v>
      </c>
      <c r="AH163">
        <v>305.01357000000002</v>
      </c>
      <c r="AI163">
        <v>305.00932</v>
      </c>
      <c r="AJ163">
        <v>26148.088</v>
      </c>
      <c r="AK163">
        <v>1.1774721E-3</v>
      </c>
      <c r="AL163">
        <v>1.2184408E-4</v>
      </c>
      <c r="AM163">
        <v>1.2185598000000001E-4</v>
      </c>
      <c r="AN163">
        <v>808.54719617562546</v>
      </c>
      <c r="AO163">
        <v>47.917019254647663</v>
      </c>
      <c r="AP163">
        <v>71204.488946597427</v>
      </c>
      <c r="AQ163">
        <v>170</v>
      </c>
      <c r="AR163">
        <v>71034.488946597427</v>
      </c>
      <c r="AS163">
        <v>2.7231241131893631</v>
      </c>
      <c r="AT163">
        <v>9.8022526901906364</v>
      </c>
      <c r="AU163">
        <v>4.9697421139266531</v>
      </c>
      <c r="AV163">
        <v>36014.485895924903</v>
      </c>
      <c r="AW163">
        <v>599.25075056977562</v>
      </c>
      <c r="AZ163">
        <f t="shared" si="12"/>
        <v>44.146840375028468</v>
      </c>
      <c r="BA163">
        <f t="shared" si="9"/>
        <v>7.8681415043434913E-2</v>
      </c>
      <c r="BB163">
        <f t="shared" si="10"/>
        <v>45.732146358303176</v>
      </c>
      <c r="BC163">
        <f t="shared" si="11"/>
        <v>4.5597011882840925E-2</v>
      </c>
      <c r="BD163">
        <v>0.71399999999999997</v>
      </c>
      <c r="BF163">
        <v>0.72</v>
      </c>
    </row>
    <row r="164" spans="1:58" x14ac:dyDescent="0.25">
      <c r="A164" t="s">
        <v>70</v>
      </c>
    </row>
    <row r="165" spans="1:58" x14ac:dyDescent="0.25">
      <c r="A165" t="s">
        <v>71</v>
      </c>
      <c r="B165">
        <v>4</v>
      </c>
      <c r="C165">
        <v>0.4</v>
      </c>
      <c r="D165">
        <v>600</v>
      </c>
      <c r="E165">
        <v>1.3848083623693379</v>
      </c>
      <c r="F165">
        <v>1086.5641469929969</v>
      </c>
      <c r="G165">
        <v>4.968</v>
      </c>
      <c r="H165">
        <v>24.5</v>
      </c>
      <c r="I165">
        <v>114125</v>
      </c>
      <c r="J165">
        <v>1.8468E-5</v>
      </c>
      <c r="K165">
        <v>1007</v>
      </c>
      <c r="L165">
        <v>7.9504740000000003E-4</v>
      </c>
      <c r="M165">
        <v>1.3360000000000001</v>
      </c>
      <c r="N165">
        <v>6.6459175935288171</v>
      </c>
      <c r="O165">
        <v>39.620302325581399</v>
      </c>
      <c r="P165">
        <v>40</v>
      </c>
      <c r="Q165">
        <v>0.25</v>
      </c>
      <c r="R165">
        <v>39.25</v>
      </c>
      <c r="S165">
        <v>0.25</v>
      </c>
      <c r="T165">
        <v>40.04</v>
      </c>
      <c r="U165">
        <v>9.8125</v>
      </c>
      <c r="V165">
        <v>10.01</v>
      </c>
      <c r="W165">
        <v>19.822500000000002</v>
      </c>
      <c r="X165">
        <v>35.933042186571583</v>
      </c>
      <c r="Y165">
        <v>6194.5312499999991</v>
      </c>
      <c r="Z165">
        <v>176.96092812240011</v>
      </c>
      <c r="AA165">
        <v>6017.5703218775989</v>
      </c>
      <c r="AB165">
        <v>7.9504740000000001E-5</v>
      </c>
      <c r="AC165">
        <v>25.002442067736229</v>
      </c>
      <c r="AD165">
        <v>298.15244206773622</v>
      </c>
      <c r="AE165">
        <v>298.14154000000002</v>
      </c>
      <c r="AF165">
        <v>322.04486000000003</v>
      </c>
      <c r="AG165">
        <v>316.16367000000002</v>
      </c>
      <c r="AH165">
        <v>317.31549000000001</v>
      </c>
      <c r="AI165">
        <v>317.32384000000002</v>
      </c>
      <c r="AJ165">
        <v>2287.0174999999999</v>
      </c>
      <c r="AK165">
        <v>1.143037E-3</v>
      </c>
      <c r="AL165">
        <v>1.0897962E-4</v>
      </c>
      <c r="AM165">
        <v>1.0898006999999999E-4</v>
      </c>
      <c r="AN165">
        <v>226.17529411195221</v>
      </c>
      <c r="AO165">
        <v>12.046516871060611</v>
      </c>
      <c r="AP165">
        <v>12408.94434541494</v>
      </c>
      <c r="AQ165">
        <v>41</v>
      </c>
      <c r="AR165">
        <v>12367.94434541494</v>
      </c>
      <c r="AS165">
        <v>5.4258195861706069</v>
      </c>
      <c r="AT165">
        <v>16.906020853128211</v>
      </c>
      <c r="AU165">
        <v>7.4555551962295397</v>
      </c>
      <c r="AV165">
        <v>5454.2634563279862</v>
      </c>
      <c r="AW165">
        <v>160.03369565217389</v>
      </c>
      <c r="AZ165">
        <f t="shared" si="12"/>
        <v>13.233331694986283</v>
      </c>
      <c r="BA165">
        <f t="shared" si="9"/>
        <v>-9.8519334395883507E-2</v>
      </c>
      <c r="BB165">
        <f t="shared" si="10"/>
        <v>13.111287563273471</v>
      </c>
      <c r="BC165">
        <f t="shared" si="11"/>
        <v>-8.8388262234601847E-2</v>
      </c>
      <c r="BD165">
        <v>0.622</v>
      </c>
      <c r="BF165">
        <v>0.72</v>
      </c>
    </row>
    <row r="166" spans="1:58" x14ac:dyDescent="0.25">
      <c r="A166" t="s">
        <v>71</v>
      </c>
      <c r="B166">
        <v>4</v>
      </c>
      <c r="C166">
        <v>0.4</v>
      </c>
      <c r="D166">
        <v>800</v>
      </c>
      <c r="E166">
        <v>1.3848083623693379</v>
      </c>
      <c r="F166">
        <v>1439.619542657065</v>
      </c>
      <c r="G166">
        <v>4.968</v>
      </c>
      <c r="H166">
        <v>24.5</v>
      </c>
      <c r="I166">
        <v>120325</v>
      </c>
      <c r="J166">
        <v>1.8468999999999999E-5</v>
      </c>
      <c r="K166">
        <v>1007</v>
      </c>
      <c r="L166">
        <v>1.0601206000000001E-3</v>
      </c>
      <c r="M166">
        <v>1.4079999999999999</v>
      </c>
      <c r="N166">
        <v>8.861703273040483</v>
      </c>
      <c r="O166">
        <v>52.829930232558148</v>
      </c>
      <c r="P166">
        <v>53</v>
      </c>
      <c r="Q166">
        <v>0.25</v>
      </c>
      <c r="R166">
        <v>39.25</v>
      </c>
      <c r="S166">
        <v>0.25</v>
      </c>
      <c r="T166">
        <v>40.04</v>
      </c>
      <c r="U166">
        <v>9.8125</v>
      </c>
      <c r="V166">
        <v>10.01</v>
      </c>
      <c r="W166">
        <v>19.822500000000002</v>
      </c>
      <c r="X166">
        <v>34.888029055365891</v>
      </c>
      <c r="Y166">
        <v>6194.5312499999991</v>
      </c>
      <c r="Z166">
        <v>154.68856325701319</v>
      </c>
      <c r="AA166">
        <v>6039.8426867429862</v>
      </c>
      <c r="AB166">
        <v>1.0601206E-4</v>
      </c>
      <c r="AC166">
        <v>24.998697529624419</v>
      </c>
      <c r="AD166">
        <v>298.14869752962443</v>
      </c>
      <c r="AE166">
        <v>298.13558999999998</v>
      </c>
      <c r="AF166">
        <v>316.22570000000002</v>
      </c>
      <c r="AG166">
        <v>311.70683000000002</v>
      </c>
      <c r="AH166">
        <v>312.83712000000003</v>
      </c>
      <c r="AI166">
        <v>312.84087</v>
      </c>
      <c r="AJ166">
        <v>3905.0205999999998</v>
      </c>
      <c r="AK166">
        <v>1.143037E-3</v>
      </c>
      <c r="AL166">
        <v>1.0897962E-4</v>
      </c>
      <c r="AM166">
        <v>1.0898006999999999E-4</v>
      </c>
      <c r="AN166">
        <v>301.66741121157219</v>
      </c>
      <c r="AO166">
        <v>16.067367450003651</v>
      </c>
      <c r="AP166">
        <v>19533.294168842469</v>
      </c>
      <c r="AQ166">
        <v>54</v>
      </c>
      <c r="AR166">
        <v>19479.294168842469</v>
      </c>
      <c r="AS166">
        <v>5.0020975993935792</v>
      </c>
      <c r="AT166">
        <v>15.40241669413828</v>
      </c>
      <c r="AU166">
        <v>6.7924657621149809</v>
      </c>
      <c r="AV166">
        <v>8590.3687284595308</v>
      </c>
      <c r="AW166">
        <v>213.38981481481491</v>
      </c>
      <c r="AZ166">
        <f t="shared" si="12"/>
        <v>16.789239139275786</v>
      </c>
      <c r="BA166">
        <f t="shared" si="9"/>
        <v>-4.4927813564876837E-2</v>
      </c>
      <c r="BB166">
        <f t="shared" si="10"/>
        <v>16.641053786020784</v>
      </c>
      <c r="BC166">
        <f t="shared" si="11"/>
        <v>-3.5705061068793967E-2</v>
      </c>
      <c r="BD166">
        <v>0.622</v>
      </c>
      <c r="BF166">
        <v>0.72</v>
      </c>
    </row>
    <row r="167" spans="1:58" x14ac:dyDescent="0.25">
      <c r="A167" t="s">
        <v>71</v>
      </c>
      <c r="B167">
        <v>4</v>
      </c>
      <c r="C167">
        <v>0.4</v>
      </c>
      <c r="D167">
        <v>1000</v>
      </c>
      <c r="E167">
        <v>1.3848083623693379</v>
      </c>
      <c r="F167">
        <v>1792.151556156969</v>
      </c>
      <c r="G167">
        <v>4.968</v>
      </c>
      <c r="H167">
        <v>24.6</v>
      </c>
      <c r="I167">
        <v>128325</v>
      </c>
      <c r="J167">
        <v>1.8474999999999998E-5</v>
      </c>
      <c r="K167">
        <v>1007</v>
      </c>
      <c r="L167">
        <v>1.32558125E-3</v>
      </c>
      <c r="M167">
        <v>1.502</v>
      </c>
      <c r="N167">
        <v>11.08072770381605</v>
      </c>
      <c r="O167">
        <v>66.058866279069761</v>
      </c>
      <c r="P167">
        <v>66</v>
      </c>
      <c r="Q167">
        <v>0.25</v>
      </c>
      <c r="R167">
        <v>39.25</v>
      </c>
      <c r="S167">
        <v>0.25</v>
      </c>
      <c r="T167">
        <v>40.04</v>
      </c>
      <c r="U167">
        <v>9.8125</v>
      </c>
      <c r="V167">
        <v>10.01</v>
      </c>
      <c r="W167">
        <v>19.822500000000002</v>
      </c>
      <c r="X167">
        <v>33.956406333870099</v>
      </c>
      <c r="Y167">
        <v>6194.5312499999991</v>
      </c>
      <c r="Z167">
        <v>134.8328881937733</v>
      </c>
      <c r="AA167">
        <v>6059.6983618062259</v>
      </c>
      <c r="AB167">
        <v>1.32558125E-4</v>
      </c>
      <c r="AC167">
        <v>25.013071658615139</v>
      </c>
      <c r="AD167">
        <v>298.16307165861508</v>
      </c>
      <c r="AE167">
        <v>298.13821000000002</v>
      </c>
      <c r="AF167">
        <v>312.60840000000002</v>
      </c>
      <c r="AG167">
        <v>309.00733000000002</v>
      </c>
      <c r="AH167">
        <v>310.11644999999999</v>
      </c>
      <c r="AI167">
        <v>310.12322</v>
      </c>
      <c r="AJ167">
        <v>6024.1304</v>
      </c>
      <c r="AK167">
        <v>1.143037E-3</v>
      </c>
      <c r="AL167">
        <v>1.0897962E-4</v>
      </c>
      <c r="AM167">
        <v>1.0898006999999999E-4</v>
      </c>
      <c r="AN167">
        <v>373.7398776197262</v>
      </c>
      <c r="AO167">
        <v>19.906081072257301</v>
      </c>
      <c r="AP167">
        <v>27456.96088298444</v>
      </c>
      <c r="AQ167">
        <v>68</v>
      </c>
      <c r="AR167">
        <v>27388.96088298444</v>
      </c>
      <c r="AS167">
        <v>4.5578297712453963</v>
      </c>
      <c r="AT167">
        <v>14.35202869309898</v>
      </c>
      <c r="AU167">
        <v>6.3292446536566489</v>
      </c>
      <c r="AV167">
        <v>12078.531749396139</v>
      </c>
      <c r="AW167">
        <v>266.82392310789049</v>
      </c>
      <c r="AZ167">
        <f t="shared" si="12"/>
        <v>20.193177781274862</v>
      </c>
      <c r="BA167">
        <f t="shared" si="9"/>
        <v>-1.4422563033649147E-2</v>
      </c>
      <c r="BB167">
        <f t="shared" si="10"/>
        <v>20.021157540337708</v>
      </c>
      <c r="BC167">
        <f t="shared" si="11"/>
        <v>-5.7809705317028144E-3</v>
      </c>
      <c r="BD167">
        <v>0.622</v>
      </c>
      <c r="BF167">
        <v>0.72</v>
      </c>
    </row>
    <row r="168" spans="1:58" x14ac:dyDescent="0.25">
      <c r="A168" t="s">
        <v>71</v>
      </c>
      <c r="B168">
        <v>4</v>
      </c>
      <c r="C168">
        <v>0.4</v>
      </c>
      <c r="D168">
        <v>1200</v>
      </c>
      <c r="E168">
        <v>1.3848083623693379</v>
      </c>
      <c r="F168">
        <v>2145.615649757277</v>
      </c>
      <c r="G168">
        <v>4.968</v>
      </c>
      <c r="H168">
        <v>24.5</v>
      </c>
      <c r="I168">
        <v>137325</v>
      </c>
      <c r="J168">
        <v>1.8471E-5</v>
      </c>
      <c r="K168">
        <v>1007</v>
      </c>
      <c r="L168">
        <v>1.5903530999999999E-3</v>
      </c>
      <c r="M168">
        <v>1.6080000000000001</v>
      </c>
      <c r="N168">
        <v>13.2939943545669</v>
      </c>
      <c r="O168">
        <v>79.253476744186045</v>
      </c>
      <c r="P168">
        <v>79</v>
      </c>
      <c r="Q168">
        <v>0.25</v>
      </c>
      <c r="R168">
        <v>39.25</v>
      </c>
      <c r="S168">
        <v>0.25</v>
      </c>
      <c r="T168">
        <v>40.04</v>
      </c>
      <c r="U168">
        <v>9.8125</v>
      </c>
      <c r="V168">
        <v>10.01</v>
      </c>
      <c r="W168">
        <v>19.822500000000002</v>
      </c>
      <c r="X168">
        <v>33.137221680639492</v>
      </c>
      <c r="Y168">
        <v>6194.5312499999991</v>
      </c>
      <c r="Z168">
        <v>117.37360567946951</v>
      </c>
      <c r="AA168">
        <v>6077.1576443205286</v>
      </c>
      <c r="AB168">
        <v>1.5903531000000001E-4</v>
      </c>
      <c r="AC168">
        <v>25.032675960226189</v>
      </c>
      <c r="AD168">
        <v>298.18267596022622</v>
      </c>
      <c r="AE168">
        <v>298.15035999999998</v>
      </c>
      <c r="AF168">
        <v>310.26560999999998</v>
      </c>
      <c r="AG168">
        <v>307.22626000000002</v>
      </c>
      <c r="AH168">
        <v>308.30032</v>
      </c>
      <c r="AI168">
        <v>308.31909000000002</v>
      </c>
      <c r="AJ168">
        <v>8771.6280000000006</v>
      </c>
      <c r="AK168">
        <v>1.143037E-3</v>
      </c>
      <c r="AL168">
        <v>1.0897962E-4</v>
      </c>
      <c r="AM168">
        <v>1.0898006999999999E-4</v>
      </c>
      <c r="AN168">
        <v>447.67176273313021</v>
      </c>
      <c r="AO168">
        <v>23.843830793440809</v>
      </c>
      <c r="AP168">
        <v>36108.569571716384</v>
      </c>
      <c r="AQ168">
        <v>82</v>
      </c>
      <c r="AR168">
        <v>36026.569571716384</v>
      </c>
      <c r="AS168">
        <v>4.1165185723467044</v>
      </c>
      <c r="AT168">
        <v>13.63159499535743</v>
      </c>
      <c r="AU168">
        <v>6.0115333929526287</v>
      </c>
      <c r="AV168">
        <v>15887.717181126931</v>
      </c>
      <c r="AW168">
        <v>320.11938405797099</v>
      </c>
      <c r="AZ168">
        <f t="shared" si="12"/>
        <v>23.480714806364084</v>
      </c>
      <c r="BA168">
        <f t="shared" si="9"/>
        <v>1.5228928196244973E-2</v>
      </c>
      <c r="BB168">
        <f t="shared" si="10"/>
        <v>23.286589625239753</v>
      </c>
      <c r="BC168">
        <f t="shared" si="11"/>
        <v>2.3370454732229828E-2</v>
      </c>
      <c r="BD168">
        <v>0.622</v>
      </c>
      <c r="BF168">
        <v>0.72</v>
      </c>
    </row>
    <row r="169" spans="1:58" x14ac:dyDescent="0.25">
      <c r="A169" t="s">
        <v>71</v>
      </c>
      <c r="B169">
        <v>4</v>
      </c>
      <c r="C169">
        <v>0.4</v>
      </c>
      <c r="D169">
        <v>1400</v>
      </c>
      <c r="E169">
        <v>1.3848083623693379</v>
      </c>
      <c r="F169">
        <v>2498.4211191107738</v>
      </c>
      <c r="G169">
        <v>4.968</v>
      </c>
      <c r="H169">
        <v>24.5</v>
      </c>
      <c r="I169">
        <v>146325</v>
      </c>
      <c r="J169">
        <v>1.8473000000000001E-5</v>
      </c>
      <c r="K169">
        <v>1007</v>
      </c>
      <c r="L169">
        <v>1.85561285E-3</v>
      </c>
      <c r="M169">
        <v>1.7130000000000001</v>
      </c>
      <c r="N169">
        <v>15.511339432835261</v>
      </c>
      <c r="O169">
        <v>92.472401162790717</v>
      </c>
      <c r="P169">
        <v>92</v>
      </c>
      <c r="Q169">
        <v>0.25</v>
      </c>
      <c r="R169">
        <v>39.25</v>
      </c>
      <c r="S169">
        <v>0.25</v>
      </c>
      <c r="T169">
        <v>40.04</v>
      </c>
      <c r="U169">
        <v>9.8125</v>
      </c>
      <c r="V169">
        <v>10.01</v>
      </c>
      <c r="W169">
        <v>19.822500000000002</v>
      </c>
      <c r="X169">
        <v>32.398041853512723</v>
      </c>
      <c r="Y169">
        <v>6194.5312499999991</v>
      </c>
      <c r="Z169">
        <v>101.6194660239165</v>
      </c>
      <c r="AA169">
        <v>6092.9117839760829</v>
      </c>
      <c r="AB169">
        <v>1.8556128499999999E-4</v>
      </c>
      <c r="AC169">
        <v>25.04391162182365</v>
      </c>
      <c r="AD169">
        <v>298.19391162182359</v>
      </c>
      <c r="AE169">
        <v>298.15172999999999</v>
      </c>
      <c r="AF169">
        <v>308.53426999999999</v>
      </c>
      <c r="AG169">
        <v>305.89882</v>
      </c>
      <c r="AH169">
        <v>306.96292</v>
      </c>
      <c r="AI169">
        <v>306.98766000000001</v>
      </c>
      <c r="AJ169">
        <v>12008.281999999999</v>
      </c>
      <c r="AK169">
        <v>1.143037E-3</v>
      </c>
      <c r="AL169">
        <v>1.0897962E-4</v>
      </c>
      <c r="AM169">
        <v>1.0898006999999999E-4</v>
      </c>
      <c r="AN169">
        <v>525.09687710967523</v>
      </c>
      <c r="AO169">
        <v>27.967636402903949</v>
      </c>
      <c r="AP169">
        <v>45358.768373193823</v>
      </c>
      <c r="AQ169">
        <v>95</v>
      </c>
      <c r="AR169">
        <v>45263.768373193823</v>
      </c>
      <c r="AS169">
        <v>3.77729040450531</v>
      </c>
      <c r="AT169">
        <v>13.05193654115793</v>
      </c>
      <c r="AU169">
        <v>5.755904014650647</v>
      </c>
      <c r="AV169">
        <v>19961.32185257848</v>
      </c>
      <c r="AW169">
        <v>373.51305354267322</v>
      </c>
      <c r="AZ169">
        <f t="shared" si="12"/>
        <v>26.67450646187465</v>
      </c>
      <c r="BA169">
        <f t="shared" si="9"/>
        <v>4.6236654481643304E-2</v>
      </c>
      <c r="BB169">
        <f t="shared" si="10"/>
        <v>26.459645715993343</v>
      </c>
      <c r="BC169">
        <f t="shared" si="11"/>
        <v>5.3919132285130386E-2</v>
      </c>
      <c r="BD169">
        <v>0.622</v>
      </c>
      <c r="BF169">
        <v>0.72</v>
      </c>
    </row>
    <row r="170" spans="1:58" x14ac:dyDescent="0.25">
      <c r="A170" t="s">
        <v>71</v>
      </c>
      <c r="B170">
        <v>4</v>
      </c>
      <c r="C170">
        <v>0.4</v>
      </c>
      <c r="D170">
        <v>1600</v>
      </c>
      <c r="E170">
        <v>1.3848083623693379</v>
      </c>
      <c r="F170">
        <v>2878.4598174010321</v>
      </c>
      <c r="G170">
        <v>4.968</v>
      </c>
      <c r="H170">
        <v>24.5</v>
      </c>
      <c r="I170">
        <v>157325</v>
      </c>
      <c r="J170">
        <v>1.8474E-5</v>
      </c>
      <c r="K170">
        <v>1007</v>
      </c>
      <c r="L170">
        <v>2.1208151999999991E-3</v>
      </c>
      <c r="M170">
        <v>1.8420000000000001</v>
      </c>
      <c r="N170">
        <v>17.72820469610156</v>
      </c>
      <c r="O170">
        <v>105.688465116279</v>
      </c>
      <c r="P170">
        <v>106</v>
      </c>
      <c r="Q170">
        <v>0.25</v>
      </c>
      <c r="R170">
        <v>39.25</v>
      </c>
      <c r="S170">
        <v>0.25</v>
      </c>
      <c r="T170">
        <v>40.04</v>
      </c>
      <c r="U170">
        <v>9.8125</v>
      </c>
      <c r="V170">
        <v>10.01</v>
      </c>
      <c r="W170">
        <v>19.822500000000002</v>
      </c>
      <c r="X170">
        <v>31.731218310315739</v>
      </c>
      <c r="Y170">
        <v>6194.5312499999991</v>
      </c>
      <c r="Z170">
        <v>87.407455847759365</v>
      </c>
      <c r="AA170">
        <v>6107.1237941522386</v>
      </c>
      <c r="AB170">
        <v>2.1208151999999999E-4</v>
      </c>
      <c r="AC170">
        <v>25.054979575957979</v>
      </c>
      <c r="AD170">
        <v>298.20497957595802</v>
      </c>
      <c r="AE170">
        <v>298.15320000000003</v>
      </c>
      <c r="AF170">
        <v>307.32071000000002</v>
      </c>
      <c r="AG170">
        <v>304.89983000000001</v>
      </c>
      <c r="AH170">
        <v>305.94756000000001</v>
      </c>
      <c r="AI170">
        <v>305.98255999999998</v>
      </c>
      <c r="AJ170">
        <v>15450.838</v>
      </c>
      <c r="AK170">
        <v>1.143037E-3</v>
      </c>
      <c r="AL170">
        <v>1.0897962E-4</v>
      </c>
      <c r="AM170">
        <v>1.0898006999999999E-4</v>
      </c>
      <c r="AN170">
        <v>615.35776821721447</v>
      </c>
      <c r="AO170">
        <v>32.775099356774277</v>
      </c>
      <c r="AP170">
        <v>55780.358555404273</v>
      </c>
      <c r="AQ170">
        <v>109</v>
      </c>
      <c r="AR170">
        <v>55671.358555404273</v>
      </c>
      <c r="AS170">
        <v>3.6101833800473648</v>
      </c>
      <c r="AT170">
        <v>12.83496217401051</v>
      </c>
      <c r="AU170">
        <v>5.6602183187386341</v>
      </c>
      <c r="AV170">
        <v>24551.069122933281</v>
      </c>
      <c r="AW170">
        <v>426.89516908212551</v>
      </c>
      <c r="AZ170">
        <f t="shared" si="12"/>
        <v>29.790180215503845</v>
      </c>
      <c r="BA170">
        <f t="shared" si="9"/>
        <v>9.1072771703237548E-2</v>
      </c>
      <c r="BB170">
        <f t="shared" si="10"/>
        <v>29.555708283913049</v>
      </c>
      <c r="BC170">
        <f t="shared" si="11"/>
        <v>9.8226737250021887E-2</v>
      </c>
      <c r="BD170">
        <v>0.622</v>
      </c>
      <c r="BF170">
        <v>0.72</v>
      </c>
    </row>
    <row r="171" spans="1:58" x14ac:dyDescent="0.25">
      <c r="A171" t="s">
        <v>71</v>
      </c>
      <c r="B171">
        <v>4</v>
      </c>
      <c r="C171">
        <v>0.4</v>
      </c>
      <c r="D171">
        <v>1800</v>
      </c>
      <c r="E171">
        <v>1.3848083623693379</v>
      </c>
      <c r="F171">
        <v>3230.254495608101</v>
      </c>
      <c r="G171">
        <v>4.968</v>
      </c>
      <c r="H171">
        <v>24.6</v>
      </c>
      <c r="I171">
        <v>167325</v>
      </c>
      <c r="J171">
        <v>1.8481000000000001E-5</v>
      </c>
      <c r="K171">
        <v>1007</v>
      </c>
      <c r="L171">
        <v>2.3868211500000002E-3</v>
      </c>
      <c r="M171">
        <v>1.958</v>
      </c>
      <c r="N171">
        <v>19.951787369396701</v>
      </c>
      <c r="O171">
        <v>118.9445755813954</v>
      </c>
      <c r="P171">
        <v>119</v>
      </c>
      <c r="Q171">
        <v>0.28000000000000003</v>
      </c>
      <c r="R171">
        <v>45.17</v>
      </c>
      <c r="S171">
        <v>0.28000000000000003</v>
      </c>
      <c r="T171">
        <v>45.35</v>
      </c>
      <c r="U171">
        <v>12.647600000000001</v>
      </c>
      <c r="V171">
        <v>12.698</v>
      </c>
      <c r="W171">
        <v>25.345600000000001</v>
      </c>
      <c r="X171">
        <v>32.316031682104992</v>
      </c>
      <c r="Y171">
        <v>7920.5000000000009</v>
      </c>
      <c r="Z171">
        <v>99.871583240703671</v>
      </c>
      <c r="AA171">
        <v>7820.6284167592976</v>
      </c>
      <c r="AB171">
        <v>2.3868211499999999E-4</v>
      </c>
      <c r="AC171">
        <v>25.049775473217899</v>
      </c>
      <c r="AD171">
        <v>298.19977547321793</v>
      </c>
      <c r="AE171">
        <v>298.14431999999999</v>
      </c>
      <c r="AF171">
        <v>308.46951000000001</v>
      </c>
      <c r="AG171">
        <v>305.81662999999998</v>
      </c>
      <c r="AH171">
        <v>307.16359999999997</v>
      </c>
      <c r="AI171">
        <v>307.18016999999998</v>
      </c>
      <c r="AJ171">
        <v>19388.486000000001</v>
      </c>
      <c r="AK171">
        <v>1.143037E-3</v>
      </c>
      <c r="AL171">
        <v>1.0897962E-4</v>
      </c>
      <c r="AM171">
        <v>1.0898006999999999E-4</v>
      </c>
      <c r="AN171">
        <v>674.35474006439915</v>
      </c>
      <c r="AO171">
        <v>35.917387817099282</v>
      </c>
      <c r="AP171">
        <v>65921.565982011001</v>
      </c>
      <c r="AQ171">
        <v>123</v>
      </c>
      <c r="AR171">
        <v>65798.565982011001</v>
      </c>
      <c r="AS171">
        <v>3.400036804421501</v>
      </c>
      <c r="AT171">
        <v>12.43483649552984</v>
      </c>
      <c r="AU171">
        <v>5.4837628945286614</v>
      </c>
      <c r="AV171">
        <v>29017.167598066851</v>
      </c>
      <c r="AW171">
        <v>480.43903985507251</v>
      </c>
      <c r="AZ171">
        <f t="shared" si="12"/>
        <v>32.839127684352498</v>
      </c>
      <c r="BA171">
        <f t="shared" si="9"/>
        <v>8.5703897745072352E-2</v>
      </c>
      <c r="BB171">
        <f t="shared" si="10"/>
        <v>32.585992650889082</v>
      </c>
      <c r="BC171">
        <f t="shared" si="11"/>
        <v>9.2751599397331838E-2</v>
      </c>
      <c r="BD171">
        <v>0.622</v>
      </c>
      <c r="BF171">
        <v>0.72</v>
      </c>
    </row>
    <row r="172" spans="1:58" x14ac:dyDescent="0.25">
      <c r="A172" t="s">
        <v>71</v>
      </c>
      <c r="B172">
        <v>4</v>
      </c>
      <c r="C172">
        <v>0.4</v>
      </c>
      <c r="D172">
        <v>2000</v>
      </c>
      <c r="E172">
        <v>1.3848083623693379</v>
      </c>
      <c r="F172">
        <v>3583.9151377388112</v>
      </c>
      <c r="G172">
        <v>4.968</v>
      </c>
      <c r="H172">
        <v>24.5</v>
      </c>
      <c r="I172">
        <v>177525</v>
      </c>
      <c r="J172">
        <v>1.8476999999999999E-5</v>
      </c>
      <c r="K172">
        <v>1007</v>
      </c>
      <c r="L172">
        <v>2.6514494999999999E-3</v>
      </c>
      <c r="M172">
        <v>2.0779999999999998</v>
      </c>
      <c r="N172">
        <v>22.1638544826424</v>
      </c>
      <c r="O172">
        <v>132.13203488372091</v>
      </c>
      <c r="P172">
        <v>132</v>
      </c>
      <c r="Q172">
        <v>0.28000000000000003</v>
      </c>
      <c r="R172">
        <v>45.04</v>
      </c>
      <c r="S172">
        <v>0.28000000000000003</v>
      </c>
      <c r="T172">
        <v>44.6</v>
      </c>
      <c r="U172">
        <v>12.6112</v>
      </c>
      <c r="V172">
        <v>12.488</v>
      </c>
      <c r="W172">
        <v>25.0992</v>
      </c>
      <c r="X172">
        <v>31.90370058197875</v>
      </c>
      <c r="Y172">
        <v>7843.5</v>
      </c>
      <c r="Z172">
        <v>91.083570503713077</v>
      </c>
      <c r="AA172">
        <v>7752.4164294962866</v>
      </c>
      <c r="AB172">
        <v>2.6514494999999998E-4</v>
      </c>
      <c r="AC172">
        <v>25.062527593818999</v>
      </c>
      <c r="AD172">
        <v>298.21252759381889</v>
      </c>
      <c r="AE172">
        <v>298.14596999999998</v>
      </c>
      <c r="AF172">
        <v>307.41532000000001</v>
      </c>
      <c r="AG172">
        <v>304.93006000000003</v>
      </c>
      <c r="AH172">
        <v>306.25166000000002</v>
      </c>
      <c r="AI172">
        <v>306.28149999999999</v>
      </c>
      <c r="AJ172">
        <v>23508.163</v>
      </c>
      <c r="AK172">
        <v>1.143037E-3</v>
      </c>
      <c r="AL172">
        <v>1.0897962E-4</v>
      </c>
      <c r="AM172">
        <v>1.0898006999999999E-4</v>
      </c>
      <c r="AN172">
        <v>771.22783779063286</v>
      </c>
      <c r="AO172">
        <v>41.077029194788139</v>
      </c>
      <c r="AP172">
        <v>76250.835507391792</v>
      </c>
      <c r="AQ172">
        <v>136</v>
      </c>
      <c r="AR172">
        <v>76114.835507391792</v>
      </c>
      <c r="AS172">
        <v>3.2435897057286782</v>
      </c>
      <c r="AT172">
        <v>12.100496707300801</v>
      </c>
      <c r="AU172">
        <v>5.3363190479196527</v>
      </c>
      <c r="AV172">
        <v>33566.642458759779</v>
      </c>
      <c r="AW172">
        <v>533.705615942029</v>
      </c>
      <c r="AZ172">
        <f t="shared" si="12"/>
        <v>35.829998026571403</v>
      </c>
      <c r="BA172">
        <f t="shared" si="9"/>
        <v>0.12773638383962005</v>
      </c>
      <c r="BB172">
        <f t="shared" si="10"/>
        <v>35.559015635510683</v>
      </c>
      <c r="BC172">
        <f t="shared" si="11"/>
        <v>0.13433331639225707</v>
      </c>
      <c r="BD172">
        <v>0.622</v>
      </c>
      <c r="BF172">
        <v>0.72</v>
      </c>
    </row>
    <row r="173" spans="1:58" x14ac:dyDescent="0.25">
      <c r="A173" t="s">
        <v>72</v>
      </c>
    </row>
    <row r="174" spans="1:58" x14ac:dyDescent="0.25">
      <c r="A174" t="s">
        <v>73</v>
      </c>
      <c r="B174">
        <v>4</v>
      </c>
      <c r="C174">
        <v>0.5</v>
      </c>
      <c r="D174">
        <v>600</v>
      </c>
      <c r="E174">
        <v>1.240590271451995</v>
      </c>
      <c r="F174">
        <v>1033.0190383295401</v>
      </c>
      <c r="G174">
        <v>4.2560000000000002</v>
      </c>
      <c r="H174">
        <v>24.2</v>
      </c>
      <c r="I174">
        <v>119625</v>
      </c>
      <c r="J174">
        <v>1.8454E-5</v>
      </c>
      <c r="K174">
        <v>1007</v>
      </c>
      <c r="L174">
        <v>7.5970504499999999E-4</v>
      </c>
      <c r="M174">
        <v>1.4019999999999999</v>
      </c>
      <c r="N174">
        <v>7.4128789549402976</v>
      </c>
      <c r="O174">
        <v>37.859055398671103</v>
      </c>
      <c r="P174">
        <v>38</v>
      </c>
      <c r="Q174">
        <v>0.25</v>
      </c>
      <c r="R174">
        <v>40.47</v>
      </c>
      <c r="S174">
        <v>0.25</v>
      </c>
      <c r="T174">
        <v>40.28</v>
      </c>
      <c r="U174">
        <v>10.1175</v>
      </c>
      <c r="V174">
        <v>10.07</v>
      </c>
      <c r="W174">
        <v>20.1875</v>
      </c>
      <c r="X174">
        <v>41.582254011434891</v>
      </c>
      <c r="Y174">
        <v>6308.59375</v>
      </c>
      <c r="Z174">
        <v>297.36257974571168</v>
      </c>
      <c r="AA174">
        <v>6011.2311702542884</v>
      </c>
      <c r="AB174">
        <v>7.5970504499999996E-5</v>
      </c>
      <c r="AC174">
        <v>24.6969319439321</v>
      </c>
      <c r="AD174">
        <v>297.84693194393208</v>
      </c>
      <c r="AE174">
        <v>297.84249999999997</v>
      </c>
      <c r="AF174">
        <v>322.96186</v>
      </c>
      <c r="AG174">
        <v>317.75351999999998</v>
      </c>
      <c r="AH174">
        <v>318.68268999999998</v>
      </c>
      <c r="AI174">
        <v>318.71794</v>
      </c>
      <c r="AJ174">
        <v>3176.1482999999998</v>
      </c>
      <c r="AK174">
        <v>1.0909731999999999E-3</v>
      </c>
      <c r="AL174">
        <v>9.5985881999999996E-5</v>
      </c>
      <c r="AM174">
        <v>9.6005210000000001E-5</v>
      </c>
      <c r="AN174">
        <v>200.09750274324051</v>
      </c>
      <c r="AO174">
        <v>9.547654432503963</v>
      </c>
      <c r="AP174">
        <v>18961.873847288822</v>
      </c>
      <c r="AQ174">
        <v>41</v>
      </c>
      <c r="AR174">
        <v>18920.873847288822</v>
      </c>
      <c r="AS174">
        <v>5.9700845351864782</v>
      </c>
      <c r="AT174">
        <v>19.109650784574779</v>
      </c>
      <c r="AU174">
        <v>9.6885929477794122</v>
      </c>
      <c r="AV174">
        <v>9592.8830405754325</v>
      </c>
      <c r="AW174">
        <v>178.50212523496239</v>
      </c>
      <c r="AZ174">
        <f t="shared" si="12"/>
        <v>12.908481095257416</v>
      </c>
      <c r="BA174">
        <f t="shared" si="9"/>
        <v>-0.35200547804829219</v>
      </c>
      <c r="BB174">
        <f t="shared" si="10"/>
        <v>11.559340491298107</v>
      </c>
      <c r="BC174">
        <f t="shared" si="11"/>
        <v>-0.21069950457628367</v>
      </c>
      <c r="BD174">
        <v>0.53100000000000003</v>
      </c>
      <c r="BF174">
        <v>0.72</v>
      </c>
    </row>
    <row r="175" spans="1:58" x14ac:dyDescent="0.25">
      <c r="A175" t="s">
        <v>73</v>
      </c>
      <c r="B175">
        <v>4</v>
      </c>
      <c r="C175">
        <v>0.5</v>
      </c>
      <c r="D175">
        <v>800</v>
      </c>
      <c r="E175">
        <v>1.240590271451995</v>
      </c>
      <c r="F175">
        <v>1359.0882820401671</v>
      </c>
      <c r="G175">
        <v>4.2560000000000002</v>
      </c>
      <c r="H175">
        <v>24.2</v>
      </c>
      <c r="I175">
        <v>130625</v>
      </c>
      <c r="J175">
        <v>1.8456000000000001E-5</v>
      </c>
      <c r="K175">
        <v>1007</v>
      </c>
      <c r="L175">
        <v>1.0130498399999999E-3</v>
      </c>
      <c r="M175">
        <v>1.456</v>
      </c>
      <c r="N175">
        <v>9.8849097931706353</v>
      </c>
      <c r="O175">
        <v>50.484211295681071</v>
      </c>
      <c r="P175">
        <v>50</v>
      </c>
      <c r="Q175">
        <v>0.25</v>
      </c>
      <c r="R175">
        <v>39.25</v>
      </c>
      <c r="S175">
        <v>0.25</v>
      </c>
      <c r="T175">
        <v>40.04</v>
      </c>
      <c r="U175">
        <v>9.8125</v>
      </c>
      <c r="V175">
        <v>10.01</v>
      </c>
      <c r="W175">
        <v>19.822500000000002</v>
      </c>
      <c r="X175">
        <v>37.995951336063968</v>
      </c>
      <c r="Y175">
        <v>6194.5312499999991</v>
      </c>
      <c r="Z175">
        <v>220.92771082553139</v>
      </c>
      <c r="AA175">
        <v>5973.6035391744681</v>
      </c>
      <c r="AB175">
        <v>1.01304984E-4</v>
      </c>
      <c r="AC175">
        <v>24.73011312658473</v>
      </c>
      <c r="AD175">
        <v>297.88011312658472</v>
      </c>
      <c r="AE175">
        <v>297.86734000000001</v>
      </c>
      <c r="AF175">
        <v>316.69385999999997</v>
      </c>
      <c r="AG175">
        <v>312.64393000000001</v>
      </c>
      <c r="AH175">
        <v>313.55707000000001</v>
      </c>
      <c r="AI175">
        <v>313.59577000000002</v>
      </c>
      <c r="AJ175">
        <v>5517.2804999999998</v>
      </c>
      <c r="AK175">
        <v>1.0909731999999999E-3</v>
      </c>
      <c r="AL175">
        <v>9.5985881999999996E-5</v>
      </c>
      <c r="AM175">
        <v>9.6005210000000001E-5</v>
      </c>
      <c r="AN175">
        <v>270.75857832525372</v>
      </c>
      <c r="AO175">
        <v>12.91924839163395</v>
      </c>
      <c r="AP175">
        <v>29697.163708471489</v>
      </c>
      <c r="AQ175">
        <v>54</v>
      </c>
      <c r="AR175">
        <v>29643.163708471489</v>
      </c>
      <c r="AS175">
        <v>5.3825727563555068</v>
      </c>
      <c r="AT175">
        <v>17.187492370266959</v>
      </c>
      <c r="AU175">
        <v>8.7140586317253472</v>
      </c>
      <c r="AV175">
        <v>15029.084000195049</v>
      </c>
      <c r="AW175">
        <v>238.02862781954889</v>
      </c>
      <c r="AZ175">
        <f t="shared" si="12"/>
        <v>16.377098453234382</v>
      </c>
      <c r="BA175">
        <f t="shared" si="9"/>
        <v>-0.26765102402084118</v>
      </c>
      <c r="BB175">
        <f t="shared" si="10"/>
        <v>14.671297987960047</v>
      </c>
      <c r="BC175">
        <f t="shared" si="11"/>
        <v>-0.13561544319100352</v>
      </c>
      <c r="BD175">
        <v>0.53100000000000003</v>
      </c>
      <c r="BF175">
        <v>0.72</v>
      </c>
    </row>
    <row r="176" spans="1:58" x14ac:dyDescent="0.25">
      <c r="A176" t="s">
        <v>73</v>
      </c>
      <c r="B176">
        <v>4</v>
      </c>
      <c r="C176">
        <v>0.5</v>
      </c>
      <c r="D176">
        <v>1000</v>
      </c>
      <c r="E176">
        <v>1.240590271451995</v>
      </c>
      <c r="F176">
        <v>1711.801982343065</v>
      </c>
      <c r="G176">
        <v>4.2560000000000002</v>
      </c>
      <c r="H176">
        <v>24.3</v>
      </c>
      <c r="I176">
        <v>143525</v>
      </c>
      <c r="J176">
        <v>1.8462999999999999E-5</v>
      </c>
      <c r="K176">
        <v>1007</v>
      </c>
      <c r="L176">
        <v>1.2667925874999999E-3</v>
      </c>
      <c r="M176">
        <v>1.681</v>
      </c>
      <c r="N176">
        <v>12.36082368276641</v>
      </c>
      <c r="O176">
        <v>63.129198712624579</v>
      </c>
      <c r="P176">
        <v>63</v>
      </c>
      <c r="Q176">
        <v>0.25</v>
      </c>
      <c r="R176">
        <v>39.25</v>
      </c>
      <c r="S176">
        <v>0.25</v>
      </c>
      <c r="T176">
        <v>40.04</v>
      </c>
      <c r="U176">
        <v>9.8125</v>
      </c>
      <c r="V176">
        <v>10.01</v>
      </c>
      <c r="W176">
        <v>19.822500000000002</v>
      </c>
      <c r="X176">
        <v>35.724668371424009</v>
      </c>
      <c r="Y176">
        <v>6194.5312499999991</v>
      </c>
      <c r="Z176">
        <v>172.51985700015979</v>
      </c>
      <c r="AA176">
        <v>6022.0113929998388</v>
      </c>
      <c r="AB176">
        <v>1.2667925875000001E-4</v>
      </c>
      <c r="AC176">
        <v>24.855813488892441</v>
      </c>
      <c r="AD176">
        <v>298.00581348889239</v>
      </c>
      <c r="AE176">
        <v>297.99108999999999</v>
      </c>
      <c r="AF176">
        <v>313.03339999999997</v>
      </c>
      <c r="AG176">
        <v>309.76190000000003</v>
      </c>
      <c r="AH176">
        <v>310.66977000000003</v>
      </c>
      <c r="AI176">
        <v>310.71652</v>
      </c>
      <c r="AJ176">
        <v>8622.7916999999998</v>
      </c>
      <c r="AK176">
        <v>1.0909731999999999E-3</v>
      </c>
      <c r="AL176">
        <v>9.5985881999999996E-5</v>
      </c>
      <c r="AM176">
        <v>9.6005210000000001E-5</v>
      </c>
      <c r="AN176">
        <v>342.22373416314571</v>
      </c>
      <c r="AO176">
        <v>16.32920904856817</v>
      </c>
      <c r="AP176">
        <v>42070.935219221137</v>
      </c>
      <c r="AQ176">
        <v>68</v>
      </c>
      <c r="AR176">
        <v>42002.935219221137</v>
      </c>
      <c r="AS176">
        <v>4.8790387942713664</v>
      </c>
      <c r="AT176">
        <v>16.898021147401352</v>
      </c>
      <c r="AU176">
        <v>8.567296721732486</v>
      </c>
      <c r="AV176">
        <v>21295.488156145118</v>
      </c>
      <c r="AW176">
        <v>297.64863428101501</v>
      </c>
      <c r="AZ176">
        <f t="shared" si="12"/>
        <v>19.697477524992156</v>
      </c>
      <c r="BA176">
        <f t="shared" si="9"/>
        <v>-0.20627260428877492</v>
      </c>
      <c r="BB176">
        <f t="shared" si="10"/>
        <v>17.651308151226534</v>
      </c>
      <c r="BC176">
        <f t="shared" si="11"/>
        <v>-8.0965287340374378E-2</v>
      </c>
      <c r="BD176">
        <v>0.53100000000000003</v>
      </c>
      <c r="BF176">
        <v>0.72</v>
      </c>
    </row>
    <row r="177" spans="1:58" x14ac:dyDescent="0.25">
      <c r="A177" t="s">
        <v>73</v>
      </c>
      <c r="B177">
        <v>4</v>
      </c>
      <c r="C177">
        <v>0.5</v>
      </c>
      <c r="D177">
        <v>1200</v>
      </c>
      <c r="E177">
        <v>1.240590271451995</v>
      </c>
      <c r="F177">
        <v>2064.3600989044712</v>
      </c>
      <c r="G177">
        <v>4.2560000000000002</v>
      </c>
      <c r="H177">
        <v>24.4</v>
      </c>
      <c r="I177">
        <v>156525</v>
      </c>
      <c r="J177">
        <v>1.8468999999999999E-5</v>
      </c>
      <c r="K177">
        <v>1007</v>
      </c>
      <c r="L177">
        <v>1.5206451149999999E-3</v>
      </c>
      <c r="M177">
        <v>1.833</v>
      </c>
      <c r="N177">
        <v>14.837808758945741</v>
      </c>
      <c r="O177">
        <v>75.779656893687715</v>
      </c>
      <c r="P177">
        <v>76</v>
      </c>
      <c r="Q177">
        <v>0.25</v>
      </c>
      <c r="R177">
        <v>39.25</v>
      </c>
      <c r="S177">
        <v>0.25</v>
      </c>
      <c r="T177">
        <v>40.04</v>
      </c>
      <c r="U177">
        <v>9.8125</v>
      </c>
      <c r="V177">
        <v>10.01</v>
      </c>
      <c r="W177">
        <v>19.822500000000002</v>
      </c>
      <c r="X177">
        <v>34.181938430311241</v>
      </c>
      <c r="Y177">
        <v>6194.5312499999991</v>
      </c>
      <c r="Z177">
        <v>139.63965376522339</v>
      </c>
      <c r="AA177">
        <v>6054.8915962347764</v>
      </c>
      <c r="AB177">
        <v>1.520645115E-4</v>
      </c>
      <c r="AC177">
        <v>24.929961941813229</v>
      </c>
      <c r="AD177">
        <v>298.07996194181322</v>
      </c>
      <c r="AE177">
        <v>298.05444</v>
      </c>
      <c r="AF177">
        <v>310.70211999999998</v>
      </c>
      <c r="AG177">
        <v>307.81339000000003</v>
      </c>
      <c r="AH177">
        <v>308.73201</v>
      </c>
      <c r="AI177">
        <v>308.76609000000002</v>
      </c>
      <c r="AJ177">
        <v>11991.971</v>
      </c>
      <c r="AK177">
        <v>1.0909731999999999E-3</v>
      </c>
      <c r="AL177">
        <v>9.5985881999999996E-5</v>
      </c>
      <c r="AM177">
        <v>9.6005210000000001E-5</v>
      </c>
      <c r="AN177">
        <v>422.42550043917402</v>
      </c>
      <c r="AO177">
        <v>20.1560371637723</v>
      </c>
      <c r="AP177">
        <v>55430.433581416328</v>
      </c>
      <c r="AQ177">
        <v>82</v>
      </c>
      <c r="AR177">
        <v>55348.433581416328</v>
      </c>
      <c r="AS177">
        <v>4.6222954993317051</v>
      </c>
      <c r="AT177">
        <v>16.270712859721399</v>
      </c>
      <c r="AU177">
        <v>8.2492514198787497</v>
      </c>
      <c r="AV177">
        <v>28061.655825778082</v>
      </c>
      <c r="AW177">
        <v>357.29443491541349</v>
      </c>
      <c r="AZ177">
        <f t="shared" si="12"/>
        <v>22.904312395941638</v>
      </c>
      <c r="BA177">
        <f t="shared" si="9"/>
        <v>-0.13634997841286894</v>
      </c>
      <c r="BB177">
        <f t="shared" si="10"/>
        <v>20.530220015407181</v>
      </c>
      <c r="BC177">
        <f t="shared" si="11"/>
        <v>-1.8564306495099304E-2</v>
      </c>
      <c r="BD177">
        <v>0.53100000000000003</v>
      </c>
      <c r="BF177">
        <v>0.72</v>
      </c>
    </row>
    <row r="178" spans="1:58" x14ac:dyDescent="0.25">
      <c r="A178" t="s">
        <v>73</v>
      </c>
      <c r="B178">
        <v>4</v>
      </c>
      <c r="C178">
        <v>0.5</v>
      </c>
      <c r="D178">
        <v>1400</v>
      </c>
      <c r="E178">
        <v>1.240590271451995</v>
      </c>
      <c r="F178">
        <v>2389.4060763513021</v>
      </c>
      <c r="G178">
        <v>4.2560000000000002</v>
      </c>
      <c r="H178">
        <v>24.5</v>
      </c>
      <c r="I178">
        <v>169325</v>
      </c>
      <c r="J178">
        <v>1.8476000000000001E-5</v>
      </c>
      <c r="K178">
        <v>1007</v>
      </c>
      <c r="L178">
        <v>1.77475837E-3</v>
      </c>
      <c r="M178">
        <v>1.982</v>
      </c>
      <c r="N178">
        <v>17.317337903261059</v>
      </c>
      <c r="O178">
        <v>88.443108139534885</v>
      </c>
      <c r="P178">
        <v>88</v>
      </c>
      <c r="Q178">
        <v>0.25</v>
      </c>
      <c r="R178">
        <v>39.25</v>
      </c>
      <c r="S178">
        <v>0.25</v>
      </c>
      <c r="T178">
        <v>40.04</v>
      </c>
      <c r="U178">
        <v>9.8125</v>
      </c>
      <c r="V178">
        <v>10.01</v>
      </c>
      <c r="W178">
        <v>19.822500000000002</v>
      </c>
      <c r="X178">
        <v>33.27742243083005</v>
      </c>
      <c r="Y178">
        <v>6194.5312499999991</v>
      </c>
      <c r="Z178">
        <v>120.3617042682808</v>
      </c>
      <c r="AA178">
        <v>6074.1695457317182</v>
      </c>
      <c r="AB178">
        <v>1.7747583700000001E-4</v>
      </c>
      <c r="AC178">
        <v>24.999738142292511</v>
      </c>
      <c r="AD178">
        <v>298.14973814229251</v>
      </c>
      <c r="AE178">
        <v>298.11757999999998</v>
      </c>
      <c r="AF178">
        <v>308.98842999999999</v>
      </c>
      <c r="AG178">
        <v>306.42923000000002</v>
      </c>
      <c r="AH178">
        <v>307.34534000000002</v>
      </c>
      <c r="AI178">
        <v>307.36759999999998</v>
      </c>
      <c r="AJ178">
        <v>15835.882</v>
      </c>
      <c r="AK178">
        <v>1.0909731999999999E-3</v>
      </c>
      <c r="AL178">
        <v>9.5985881999999996E-5</v>
      </c>
      <c r="AM178">
        <v>9.6005210000000001E-5</v>
      </c>
      <c r="AN178">
        <v>502.5015412171872</v>
      </c>
      <c r="AO178">
        <v>23.976866285526</v>
      </c>
      <c r="AP178">
        <v>68294.400197628464</v>
      </c>
      <c r="AQ178">
        <v>95</v>
      </c>
      <c r="AR178">
        <v>68199.400197628464</v>
      </c>
      <c r="AS178">
        <v>4.3126363405352768</v>
      </c>
      <c r="AT178">
        <v>15.443318245812019</v>
      </c>
      <c r="AU178">
        <v>7.8297623506266918</v>
      </c>
      <c r="AV178">
        <v>34577.09590019763</v>
      </c>
      <c r="AW178">
        <v>417.00149671052628</v>
      </c>
      <c r="AZ178">
        <f t="shared" si="12"/>
        <v>26.019703149954758</v>
      </c>
      <c r="BA178">
        <f t="shared" si="9"/>
        <v>-8.5200327686773103E-2</v>
      </c>
      <c r="BB178">
        <f t="shared" si="10"/>
        <v>23.327690177967675</v>
      </c>
      <c r="BC178">
        <f t="shared" si="11"/>
        <v>2.7075102301847117E-2</v>
      </c>
      <c r="BD178">
        <v>0.53100000000000003</v>
      </c>
      <c r="BF178">
        <v>0.72</v>
      </c>
    </row>
    <row r="179" spans="1:58" x14ac:dyDescent="0.25">
      <c r="A179" t="s">
        <v>73</v>
      </c>
      <c r="B179">
        <v>4</v>
      </c>
      <c r="C179">
        <v>0.5</v>
      </c>
      <c r="D179">
        <v>1600</v>
      </c>
      <c r="E179">
        <v>1.240590271451995</v>
      </c>
      <c r="F179">
        <v>2742.089692246635</v>
      </c>
      <c r="G179">
        <v>4.2560000000000002</v>
      </c>
      <c r="H179">
        <v>24.5</v>
      </c>
      <c r="I179">
        <v>184125</v>
      </c>
      <c r="J179">
        <v>1.8478000000000002E-5</v>
      </c>
      <c r="K179">
        <v>1007</v>
      </c>
      <c r="L179">
        <v>2.02851484E-3</v>
      </c>
      <c r="M179">
        <v>2.1560000000000001</v>
      </c>
      <c r="N179">
        <v>19.793385691179779</v>
      </c>
      <c r="O179">
        <v>101.08877940199341</v>
      </c>
      <c r="P179">
        <v>101</v>
      </c>
      <c r="Q179">
        <v>0.25</v>
      </c>
      <c r="R179">
        <v>39.25</v>
      </c>
      <c r="S179">
        <v>0.25</v>
      </c>
      <c r="T179">
        <v>40.04</v>
      </c>
      <c r="U179">
        <v>9.8125</v>
      </c>
      <c r="V179">
        <v>10.01</v>
      </c>
      <c r="W179">
        <v>19.822500000000002</v>
      </c>
      <c r="X179">
        <v>32.430916765402827</v>
      </c>
      <c r="Y179">
        <v>6194.5312499999991</v>
      </c>
      <c r="Z179">
        <v>102.3201290210305</v>
      </c>
      <c r="AA179">
        <v>6092.2111209789682</v>
      </c>
      <c r="AB179">
        <v>2.02851484E-4</v>
      </c>
      <c r="AC179">
        <v>25.04616113744077</v>
      </c>
      <c r="AD179">
        <v>298.19616113744081</v>
      </c>
      <c r="AE179">
        <v>298.16039999999998</v>
      </c>
      <c r="AF179">
        <v>307.63941</v>
      </c>
      <c r="AG179">
        <v>305.33623999999998</v>
      </c>
      <c r="AH179">
        <v>306.24763999999999</v>
      </c>
      <c r="AI179">
        <v>306.26605000000001</v>
      </c>
      <c r="AJ179">
        <v>20248.797999999999</v>
      </c>
      <c r="AK179">
        <v>1.0909731999999999E-3</v>
      </c>
      <c r="AL179">
        <v>9.5985881999999996E-5</v>
      </c>
      <c r="AM179">
        <v>9.6005210000000001E-5</v>
      </c>
      <c r="AN179">
        <v>590.3164231708389</v>
      </c>
      <c r="AO179">
        <v>28.166954294772381</v>
      </c>
      <c r="AP179">
        <v>82640.670418641384</v>
      </c>
      <c r="AQ179">
        <v>109</v>
      </c>
      <c r="AR179">
        <v>82531.670418641384</v>
      </c>
      <c r="AS179">
        <v>4.0812630171253321</v>
      </c>
      <c r="AT179">
        <v>15.08972467667137</v>
      </c>
      <c r="AU179">
        <v>7.6504904110723846</v>
      </c>
      <c r="AV179">
        <v>41843.556902251177</v>
      </c>
      <c r="AW179">
        <v>476.624727443609</v>
      </c>
      <c r="AZ179">
        <f t="shared" si="12"/>
        <v>29.058893633100425</v>
      </c>
      <c r="BA179">
        <f t="shared" si="9"/>
        <v>-3.1666162020704602E-2</v>
      </c>
      <c r="BB179">
        <f t="shared" si="10"/>
        <v>26.057280329372414</v>
      </c>
      <c r="BC179">
        <f t="shared" si="11"/>
        <v>7.489890256936689E-2</v>
      </c>
      <c r="BD179">
        <v>0.53100000000000003</v>
      </c>
      <c r="BF179">
        <v>0.72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19"/>
  <sheetViews>
    <sheetView tabSelected="1" topLeftCell="AO1" zoomScale="70" zoomScaleNormal="70" workbookViewId="0">
      <selection activeCell="BB29" sqref="BB29:BB30"/>
    </sheetView>
  </sheetViews>
  <sheetFormatPr defaultRowHeight="14" x14ac:dyDescent="0.25"/>
  <cols>
    <col min="52" max="52" width="17.26953125" customWidth="1"/>
    <col min="53" max="53" width="22.6328125" customWidth="1"/>
    <col min="54" max="54" width="20.1796875" customWidth="1"/>
    <col min="55" max="55" width="21.1796875" customWidth="1"/>
  </cols>
  <sheetData>
    <row r="1" spans="1:58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Z1" t="s">
        <v>99</v>
      </c>
      <c r="BA1" t="s">
        <v>106</v>
      </c>
      <c r="BB1" t="s">
        <v>100</v>
      </c>
      <c r="BC1" t="s">
        <v>105</v>
      </c>
      <c r="BD1" s="1" t="s">
        <v>102</v>
      </c>
      <c r="BF1" t="s">
        <v>101</v>
      </c>
    </row>
    <row r="2" spans="1:58" x14ac:dyDescent="0.25">
      <c r="A2" t="s">
        <v>74</v>
      </c>
    </row>
    <row r="3" spans="1:58" x14ac:dyDescent="0.25">
      <c r="A3" t="s">
        <v>75</v>
      </c>
      <c r="B3">
        <v>8</v>
      </c>
      <c r="C3">
        <v>0.3</v>
      </c>
      <c r="D3">
        <v>400</v>
      </c>
      <c r="E3">
        <v>4.5968718261222836</v>
      </c>
      <c r="F3">
        <v>610.6302407357316</v>
      </c>
      <c r="G3">
        <v>28.288</v>
      </c>
      <c r="H3">
        <v>24.9</v>
      </c>
      <c r="I3">
        <v>101375</v>
      </c>
      <c r="J3">
        <v>1.8485E-5</v>
      </c>
      <c r="K3">
        <v>1007</v>
      </c>
      <c r="L3">
        <v>9.1001655000000001E-4</v>
      </c>
      <c r="M3">
        <v>1.1850000000000001</v>
      </c>
      <c r="N3">
        <v>1.35737142197434</v>
      </c>
      <c r="O3">
        <v>45.349661960132892</v>
      </c>
      <c r="P3">
        <v>45</v>
      </c>
      <c r="Q3">
        <v>0.6</v>
      </c>
      <c r="R3">
        <v>21.94</v>
      </c>
      <c r="S3">
        <v>0.60899999999999999</v>
      </c>
      <c r="T3">
        <v>22.29</v>
      </c>
      <c r="U3">
        <v>13.164</v>
      </c>
      <c r="V3">
        <v>13.57461</v>
      </c>
      <c r="W3">
        <v>26.738610000000001</v>
      </c>
      <c r="X3">
        <v>43.576469785316718</v>
      </c>
      <c r="Y3">
        <v>2088.9539062499998</v>
      </c>
      <c r="Z3">
        <v>339.86530053445529</v>
      </c>
      <c r="AA3">
        <v>1749.088605715544</v>
      </c>
      <c r="AB3">
        <v>9.1001655000000003E-5</v>
      </c>
      <c r="AC3">
        <v>25.421370129870109</v>
      </c>
      <c r="AD3">
        <v>298.5713701298701</v>
      </c>
      <c r="AE3">
        <v>298.74277999999998</v>
      </c>
      <c r="AF3">
        <v>323.37295999999998</v>
      </c>
      <c r="AG3">
        <v>316.79557999999997</v>
      </c>
      <c r="AH3">
        <v>318.56031000000002</v>
      </c>
      <c r="AI3">
        <v>318.58899000000002</v>
      </c>
      <c r="AJ3">
        <v>99.383994999999999</v>
      </c>
      <c r="AK3">
        <v>3.9332843000000001E-3</v>
      </c>
      <c r="AL3">
        <v>5.7707953000000003E-4</v>
      </c>
      <c r="AM3">
        <v>5.7709134999999996E-4</v>
      </c>
      <c r="AN3">
        <v>71.657130460738131</v>
      </c>
      <c r="AO3">
        <v>12.66917862137446</v>
      </c>
      <c r="AP3">
        <v>73.951762523191107</v>
      </c>
      <c r="AQ3">
        <v>45</v>
      </c>
      <c r="AR3">
        <v>28.95176252319111</v>
      </c>
      <c r="AS3">
        <v>0.74410132660888817</v>
      </c>
      <c r="AT3">
        <v>1.5284192319406731</v>
      </c>
      <c r="AU3">
        <v>0.81464745062437871</v>
      </c>
      <c r="AV3">
        <v>39.416289424860857</v>
      </c>
      <c r="AW3">
        <v>32.169702700791859</v>
      </c>
      <c r="AZ3">
        <f xml:space="preserve"> 0.126*D3^0.7898*(E3/B3)^0.2409*BF3^(1/3)</f>
        <v>11.219009214649756</v>
      </c>
      <c r="BA3">
        <f>(AO3-AZ3)/AO3</f>
        <v>0.11446435874525367</v>
      </c>
      <c r="BB3">
        <f>0.01175*D3^0.95314*(E3/B3)^(-1.33383)*BF3^(1/3)</f>
        <v>6.6614043121357893</v>
      </c>
      <c r="BC3">
        <f>(AO3-BB3)/AO3</f>
        <v>0.47420393135059424</v>
      </c>
      <c r="BD3">
        <v>0.88400000000000001</v>
      </c>
      <c r="BF3">
        <v>0.72</v>
      </c>
    </row>
    <row r="4" spans="1:58" x14ac:dyDescent="0.25">
      <c r="A4" t="s">
        <v>75</v>
      </c>
      <c r="B4">
        <v>8</v>
      </c>
      <c r="C4">
        <v>0.3</v>
      </c>
      <c r="D4">
        <v>600</v>
      </c>
      <c r="E4">
        <v>4.5968718261222836</v>
      </c>
      <c r="F4">
        <v>922.48062015503854</v>
      </c>
      <c r="G4">
        <v>28.288</v>
      </c>
      <c r="H4">
        <v>25</v>
      </c>
      <c r="I4">
        <v>101505</v>
      </c>
      <c r="J4">
        <v>1.8490000000000001E-5</v>
      </c>
      <c r="K4">
        <v>1007</v>
      </c>
      <c r="L4">
        <v>1.36539405E-3</v>
      </c>
      <c r="M4">
        <v>1.1859999999999999</v>
      </c>
      <c r="N4">
        <v>2.034890657906534</v>
      </c>
      <c r="O4">
        <v>68.042892857142846</v>
      </c>
      <c r="P4">
        <v>68</v>
      </c>
      <c r="Q4">
        <v>0.6</v>
      </c>
      <c r="R4">
        <v>21.94</v>
      </c>
      <c r="S4">
        <v>0.60899999999999999</v>
      </c>
      <c r="T4">
        <v>22.24</v>
      </c>
      <c r="U4">
        <v>13.164</v>
      </c>
      <c r="V4">
        <v>13.54416</v>
      </c>
      <c r="W4">
        <v>26.708159999999999</v>
      </c>
      <c r="X4">
        <v>38.767998565279782</v>
      </c>
      <c r="Y4">
        <v>2086.5749999999998</v>
      </c>
      <c r="Z4">
        <v>237.38235342180781</v>
      </c>
      <c r="AA4">
        <v>1849.1926465781919</v>
      </c>
      <c r="AB4">
        <v>1.3653940500000001E-4</v>
      </c>
      <c r="AC4">
        <v>25.48597663455627</v>
      </c>
      <c r="AD4">
        <v>298.63597663455619</v>
      </c>
      <c r="AE4">
        <v>298.63839999999999</v>
      </c>
      <c r="AF4">
        <v>315.73583000000002</v>
      </c>
      <c r="AG4">
        <v>311.43218999999999</v>
      </c>
      <c r="AH4">
        <v>313.19567000000001</v>
      </c>
      <c r="AI4">
        <v>313.24824000000001</v>
      </c>
      <c r="AJ4">
        <v>195.39492999999999</v>
      </c>
      <c r="AK4">
        <v>3.9332843000000001E-3</v>
      </c>
      <c r="AL4">
        <v>5.7707953000000003E-4</v>
      </c>
      <c r="AM4">
        <v>5.7709134999999996E-4</v>
      </c>
      <c r="AN4">
        <v>100.03102874555741</v>
      </c>
      <c r="AO4">
        <v>17.68576222224927</v>
      </c>
      <c r="AP4">
        <v>174.09974721595961</v>
      </c>
      <c r="AQ4">
        <v>68</v>
      </c>
      <c r="AR4">
        <v>106.0997472159596</v>
      </c>
      <c r="AS4">
        <v>0.89101466049277533</v>
      </c>
      <c r="AT4">
        <v>2.4891270994196368</v>
      </c>
      <c r="AU4">
        <v>1.326704743990667</v>
      </c>
      <c r="AV4">
        <v>92.795165266106466</v>
      </c>
      <c r="AW4">
        <v>48.267606405542978</v>
      </c>
      <c r="AZ4">
        <f t="shared" ref="AZ4:AZ67" si="0" xml:space="preserve"> 0.126*D4^0.7898*(E4/B4)^0.2409*BF4^(1/3)</f>
        <v>15.453661001345903</v>
      </c>
      <c r="BA4">
        <f t="shared" ref="BA4:BA67" si="1">(AO4-AZ4)/AO4</f>
        <v>0.1262089353488712</v>
      </c>
      <c r="BB4">
        <f t="shared" ref="BB4:BB67" si="2">0.01175*D4^0.95314*(E4/B4)^(-1.33383)*BF4^(1/3)</f>
        <v>9.8040477208835686</v>
      </c>
      <c r="BC4">
        <f t="shared" ref="BC4:BC67" si="3">(AO4-BB4)/AO4</f>
        <v>0.44565308536435289</v>
      </c>
      <c r="BD4">
        <v>0.88400000000000001</v>
      </c>
      <c r="BF4">
        <v>0.72</v>
      </c>
    </row>
    <row r="5" spans="1:58" x14ac:dyDescent="0.25">
      <c r="A5" t="s">
        <v>75</v>
      </c>
      <c r="B5">
        <v>8</v>
      </c>
      <c r="C5">
        <v>0.3</v>
      </c>
      <c r="D5">
        <v>800</v>
      </c>
      <c r="E5">
        <v>4.5968718261222836</v>
      </c>
      <c r="F5">
        <v>1234.496124031007</v>
      </c>
      <c r="G5">
        <v>28.288</v>
      </c>
      <c r="H5">
        <v>25</v>
      </c>
      <c r="I5">
        <v>101655</v>
      </c>
      <c r="J5">
        <v>1.8490000000000001E-5</v>
      </c>
      <c r="K5">
        <v>1007</v>
      </c>
      <c r="L5">
        <v>1.8205254000000001E-3</v>
      </c>
      <c r="M5">
        <v>1.1879999999999999</v>
      </c>
      <c r="N5">
        <v>2.708619888077608</v>
      </c>
      <c r="O5">
        <v>90.723857142857128</v>
      </c>
      <c r="P5">
        <v>91</v>
      </c>
      <c r="Q5">
        <v>0.6</v>
      </c>
      <c r="R5">
        <v>21.94</v>
      </c>
      <c r="S5">
        <v>0.60899999999999999</v>
      </c>
      <c r="T5">
        <v>22.24</v>
      </c>
      <c r="U5">
        <v>13.164</v>
      </c>
      <c r="V5">
        <v>13.54416</v>
      </c>
      <c r="W5">
        <v>26.708159999999999</v>
      </c>
      <c r="X5">
        <v>36.265419215890716</v>
      </c>
      <c r="Y5">
        <v>2086.5749999999998</v>
      </c>
      <c r="Z5">
        <v>184.04487974827879</v>
      </c>
      <c r="AA5">
        <v>1902.530120251721</v>
      </c>
      <c r="AB5">
        <v>1.8205253999999999E-4</v>
      </c>
      <c r="AC5">
        <v>25.58310447474555</v>
      </c>
      <c r="AD5">
        <v>298.73310447474552</v>
      </c>
      <c r="AE5">
        <v>298.72714000000002</v>
      </c>
      <c r="AF5">
        <v>312.12254999999999</v>
      </c>
      <c r="AG5">
        <v>308.67896000000002</v>
      </c>
      <c r="AH5">
        <v>310.45488999999998</v>
      </c>
      <c r="AI5">
        <v>310.47070000000002</v>
      </c>
      <c r="AJ5">
        <v>324.97633999999999</v>
      </c>
      <c r="AK5">
        <v>3.9332843000000001E-3</v>
      </c>
      <c r="AL5">
        <v>5.7707953000000003E-4</v>
      </c>
      <c r="AM5">
        <v>5.7709134999999996E-4</v>
      </c>
      <c r="AN5">
        <v>130.8282275901237</v>
      </c>
      <c r="AO5">
        <v>23.130792056559748</v>
      </c>
      <c r="AP5">
        <v>338.7135266628257</v>
      </c>
      <c r="AQ5">
        <v>91</v>
      </c>
      <c r="AR5">
        <v>247.7135266628257</v>
      </c>
      <c r="AS5">
        <v>1.0422713440086919</v>
      </c>
      <c r="AT5">
        <v>3.2716744301227139</v>
      </c>
      <c r="AU5">
        <v>1.743802471255407</v>
      </c>
      <c r="AV5">
        <v>180.53430971128611</v>
      </c>
      <c r="AW5">
        <v>64.356808540723975</v>
      </c>
      <c r="AZ5">
        <f t="shared" si="0"/>
        <v>19.395813311854944</v>
      </c>
      <c r="BA5">
        <f t="shared" si="1"/>
        <v>0.16147215087023306</v>
      </c>
      <c r="BB5">
        <f t="shared" si="2"/>
        <v>12.897024472076078</v>
      </c>
      <c r="BC5">
        <f t="shared" si="3"/>
        <v>0.4424304865765043</v>
      </c>
      <c r="BD5">
        <v>0.88400000000000001</v>
      </c>
      <c r="BF5">
        <v>0.72</v>
      </c>
    </row>
    <row r="6" spans="1:58" x14ac:dyDescent="0.25">
      <c r="A6" t="s">
        <v>75</v>
      </c>
      <c r="B6">
        <v>8</v>
      </c>
      <c r="C6">
        <v>0.3</v>
      </c>
      <c r="D6">
        <v>1000</v>
      </c>
      <c r="E6">
        <v>4.5968718261222836</v>
      </c>
      <c r="F6">
        <v>1532.531314769758</v>
      </c>
      <c r="G6">
        <v>28.288</v>
      </c>
      <c r="H6">
        <v>25.1</v>
      </c>
      <c r="I6">
        <v>101925</v>
      </c>
      <c r="J6">
        <v>1.8495000000000002E-5</v>
      </c>
      <c r="K6">
        <v>1007</v>
      </c>
      <c r="L6">
        <v>2.2762721250000001E-3</v>
      </c>
      <c r="M6">
        <v>1.1910000000000001</v>
      </c>
      <c r="N6">
        <v>3.3781597229147899</v>
      </c>
      <c r="O6">
        <v>113.4354879568106</v>
      </c>
      <c r="P6">
        <v>113</v>
      </c>
      <c r="Q6">
        <v>0.6</v>
      </c>
      <c r="R6">
        <v>21.94</v>
      </c>
      <c r="S6">
        <v>0.60899999999999999</v>
      </c>
      <c r="T6">
        <v>22.24</v>
      </c>
      <c r="U6">
        <v>13.164</v>
      </c>
      <c r="V6">
        <v>13.54416</v>
      </c>
      <c r="W6">
        <v>26.708159999999999</v>
      </c>
      <c r="X6">
        <v>34.717444388136137</v>
      </c>
      <c r="Y6">
        <v>2086.5749999999998</v>
      </c>
      <c r="Z6">
        <v>151.05289224434549</v>
      </c>
      <c r="AA6">
        <v>1935.5221077556539</v>
      </c>
      <c r="AB6">
        <v>2.2762721250000001E-4</v>
      </c>
      <c r="AC6">
        <v>25.593470873786419</v>
      </c>
      <c r="AD6">
        <v>298.74347087378641</v>
      </c>
      <c r="AE6">
        <v>298.73907000000003</v>
      </c>
      <c r="AF6">
        <v>309.56477999999998</v>
      </c>
      <c r="AG6">
        <v>307.04343999999998</v>
      </c>
      <c r="AH6">
        <v>308.78764000000001</v>
      </c>
      <c r="AI6">
        <v>308.85135000000002</v>
      </c>
      <c r="AJ6">
        <v>467.38837999999998</v>
      </c>
      <c r="AK6">
        <v>3.9332843000000001E-3</v>
      </c>
      <c r="AL6">
        <v>5.7707953000000003E-4</v>
      </c>
      <c r="AM6">
        <v>5.7709134999999996E-4</v>
      </c>
      <c r="AN6">
        <v>147.81744392587819</v>
      </c>
      <c r="AO6">
        <v>26.134532438164609</v>
      </c>
      <c r="AP6">
        <v>546.44927806821022</v>
      </c>
      <c r="AQ6">
        <v>113</v>
      </c>
      <c r="AR6">
        <v>433.44927806821022</v>
      </c>
      <c r="AS6">
        <v>1.1691546077123489</v>
      </c>
      <c r="AT6">
        <v>3.6664929279966931</v>
      </c>
      <c r="AU6">
        <v>1.9542407306222369</v>
      </c>
      <c r="AV6">
        <v>291.25746521035609</v>
      </c>
      <c r="AW6">
        <v>80.467764599830332</v>
      </c>
      <c r="AZ6">
        <f t="shared" si="0"/>
        <v>23.133829134450572</v>
      </c>
      <c r="BA6">
        <f t="shared" si="1"/>
        <v>0.11481756219721266</v>
      </c>
      <c r="BB6">
        <f t="shared" si="2"/>
        <v>15.953586584449974</v>
      </c>
      <c r="BC6">
        <f t="shared" si="3"/>
        <v>0.38955913513291945</v>
      </c>
      <c r="BD6">
        <v>0.88400000000000001</v>
      </c>
      <c r="BF6">
        <v>0.72</v>
      </c>
    </row>
    <row r="7" spans="1:58" x14ac:dyDescent="0.25">
      <c r="A7" t="s">
        <v>75</v>
      </c>
      <c r="B7">
        <v>8</v>
      </c>
      <c r="C7">
        <v>0.3</v>
      </c>
      <c r="D7">
        <v>1200</v>
      </c>
      <c r="E7">
        <v>4.5968718261222836</v>
      </c>
      <c r="F7">
        <v>1844.9612403100771</v>
      </c>
      <c r="G7">
        <v>28.288</v>
      </c>
      <c r="H7">
        <v>25</v>
      </c>
      <c r="I7">
        <v>102125</v>
      </c>
      <c r="J7">
        <v>1.8490000000000001E-5</v>
      </c>
      <c r="K7">
        <v>1007</v>
      </c>
      <c r="L7">
        <v>2.7307881000000001E-3</v>
      </c>
      <c r="M7">
        <v>1.1930000000000001</v>
      </c>
      <c r="N7">
        <v>4.0459016266171819</v>
      </c>
      <c r="O7">
        <v>136.08578571428569</v>
      </c>
      <c r="P7">
        <v>136</v>
      </c>
      <c r="Q7">
        <v>0.6</v>
      </c>
      <c r="R7">
        <v>21.94</v>
      </c>
      <c r="S7">
        <v>0.60899999999999999</v>
      </c>
      <c r="T7">
        <v>22.24</v>
      </c>
      <c r="U7">
        <v>13.164</v>
      </c>
      <c r="V7">
        <v>13.54416</v>
      </c>
      <c r="W7">
        <v>26.708159999999999</v>
      </c>
      <c r="X7">
        <v>33.580240397065182</v>
      </c>
      <c r="Y7">
        <v>2086.5749999999998</v>
      </c>
      <c r="Z7">
        <v>126.81566358265</v>
      </c>
      <c r="AA7">
        <v>1959.7593364173499</v>
      </c>
      <c r="AB7">
        <v>2.7307881000000002E-4</v>
      </c>
      <c r="AC7">
        <v>25.568516616314241</v>
      </c>
      <c r="AD7">
        <v>298.71851661631422</v>
      </c>
      <c r="AE7">
        <v>298.71361999999999</v>
      </c>
      <c r="AF7">
        <v>308.01038999999997</v>
      </c>
      <c r="AG7">
        <v>305.89389</v>
      </c>
      <c r="AH7">
        <v>307.62986000000001</v>
      </c>
      <c r="AI7">
        <v>307.67865</v>
      </c>
      <c r="AJ7">
        <v>670.98851999999999</v>
      </c>
      <c r="AK7">
        <v>3.9332843000000001E-3</v>
      </c>
      <c r="AL7">
        <v>5.7707953000000003E-4</v>
      </c>
      <c r="AM7">
        <v>5.7709134999999996E-4</v>
      </c>
      <c r="AN7">
        <v>168.2127620047431</v>
      </c>
      <c r="AO7">
        <v>29.740481017454481</v>
      </c>
      <c r="AP7">
        <v>786.28935884525015</v>
      </c>
      <c r="AQ7">
        <v>136</v>
      </c>
      <c r="AR7">
        <v>650.28935884525015</v>
      </c>
      <c r="AS7">
        <v>1.171837275018133</v>
      </c>
      <c r="AT7">
        <v>3.8252155539388131</v>
      </c>
      <c r="AU7">
        <v>2.0388398902493869</v>
      </c>
      <c r="AV7">
        <v>419.09222826451833</v>
      </c>
      <c r="AW7">
        <v>96.53521281108597</v>
      </c>
      <c r="AZ7">
        <f t="shared" si="0"/>
        <v>26.716826596006662</v>
      </c>
      <c r="BA7">
        <f t="shared" si="1"/>
        <v>0.10166797301204569</v>
      </c>
      <c r="BB7">
        <f t="shared" si="2"/>
        <v>18.981439566921715</v>
      </c>
      <c r="BC7">
        <f t="shared" si="3"/>
        <v>0.36176420429173151</v>
      </c>
      <c r="BD7">
        <v>0.88400000000000001</v>
      </c>
      <c r="BF7">
        <v>0.72</v>
      </c>
    </row>
    <row r="8" spans="1:58" x14ac:dyDescent="0.25">
      <c r="A8" t="s">
        <v>75</v>
      </c>
      <c r="B8">
        <v>8</v>
      </c>
      <c r="C8">
        <v>0.3</v>
      </c>
      <c r="D8">
        <v>1400</v>
      </c>
      <c r="E8">
        <v>4.5968718261222836</v>
      </c>
      <c r="F8">
        <v>2156.3936198972692</v>
      </c>
      <c r="G8">
        <v>28.288</v>
      </c>
      <c r="H8">
        <v>25.1</v>
      </c>
      <c r="I8">
        <v>102405</v>
      </c>
      <c r="J8">
        <v>1.8495000000000002E-5</v>
      </c>
      <c r="K8">
        <v>1007</v>
      </c>
      <c r="L8">
        <v>3.1867809750000002E-3</v>
      </c>
      <c r="M8">
        <v>1.196</v>
      </c>
      <c r="N8">
        <v>4.7096517742375603</v>
      </c>
      <c r="O8">
        <v>158.80968313953491</v>
      </c>
      <c r="P8">
        <v>159</v>
      </c>
      <c r="Q8">
        <v>0.6</v>
      </c>
      <c r="R8">
        <v>21.94</v>
      </c>
      <c r="S8">
        <v>0.60899999999999999</v>
      </c>
      <c r="T8">
        <v>22.24</v>
      </c>
      <c r="U8">
        <v>13.164</v>
      </c>
      <c r="V8">
        <v>13.54416</v>
      </c>
      <c r="W8">
        <v>26.708159999999999</v>
      </c>
      <c r="X8">
        <v>32.688180965642673</v>
      </c>
      <c r="Y8">
        <v>2086.5749999999998</v>
      </c>
      <c r="Z8">
        <v>107.8032009207423</v>
      </c>
      <c r="AA8">
        <v>1978.771799079258</v>
      </c>
      <c r="AB8">
        <v>3.1867809750000002E-4</v>
      </c>
      <c r="AC8">
        <v>25.632005172070819</v>
      </c>
      <c r="AD8">
        <v>298.7820051720708</v>
      </c>
      <c r="AE8">
        <v>298.7713</v>
      </c>
      <c r="AF8">
        <v>306.61137000000002</v>
      </c>
      <c r="AG8">
        <v>305.04459000000003</v>
      </c>
      <c r="AH8">
        <v>306.78242</v>
      </c>
      <c r="AI8">
        <v>306.78868</v>
      </c>
      <c r="AJ8">
        <v>868.76656000000003</v>
      </c>
      <c r="AK8">
        <v>3.9332843000000001E-3</v>
      </c>
      <c r="AL8">
        <v>5.7707953000000003E-4</v>
      </c>
      <c r="AM8">
        <v>5.7709134999999996E-4</v>
      </c>
      <c r="AN8">
        <v>181.15637940293519</v>
      </c>
      <c r="AO8">
        <v>32.028948330756613</v>
      </c>
      <c r="AP8">
        <v>1070.8122140441619</v>
      </c>
      <c r="AQ8">
        <v>159</v>
      </c>
      <c r="AR8">
        <v>911.81221404416169</v>
      </c>
      <c r="AS8">
        <v>1.232566103884295</v>
      </c>
      <c r="AT8">
        <v>3.9434122561440348</v>
      </c>
      <c r="AU8">
        <v>2.10183873252477</v>
      </c>
      <c r="AV8">
        <v>570.74291008553826</v>
      </c>
      <c r="AW8">
        <v>112.6548704397624</v>
      </c>
      <c r="AZ8">
        <f t="shared" si="0"/>
        <v>30.175845407912728</v>
      </c>
      <c r="BA8">
        <f t="shared" si="1"/>
        <v>5.7857126737576814E-2</v>
      </c>
      <c r="BB8">
        <f t="shared" si="2"/>
        <v>21.985624672238554</v>
      </c>
      <c r="BC8">
        <f t="shared" si="3"/>
        <v>0.31357019764753569</v>
      </c>
      <c r="BD8">
        <v>0.88400000000000001</v>
      </c>
      <c r="BF8">
        <v>0.72</v>
      </c>
    </row>
    <row r="9" spans="1:58" x14ac:dyDescent="0.25">
      <c r="A9" t="s">
        <v>75</v>
      </c>
      <c r="B9">
        <v>8</v>
      </c>
      <c r="C9">
        <v>0.3</v>
      </c>
      <c r="D9">
        <v>1600</v>
      </c>
      <c r="E9">
        <v>4.5968718261222836</v>
      </c>
      <c r="F9">
        <v>2455.426356589147</v>
      </c>
      <c r="G9">
        <v>28.288</v>
      </c>
      <c r="H9">
        <v>25</v>
      </c>
      <c r="I9">
        <v>102725</v>
      </c>
      <c r="J9">
        <v>1.8490000000000001E-5</v>
      </c>
      <c r="K9">
        <v>1007</v>
      </c>
      <c r="L9">
        <v>3.6410508000000001E-3</v>
      </c>
      <c r="M9">
        <v>1.2</v>
      </c>
      <c r="N9">
        <v>5.3630673783936649</v>
      </c>
      <c r="O9">
        <v>181.44771428571431</v>
      </c>
      <c r="P9">
        <v>181</v>
      </c>
      <c r="Q9">
        <v>0.79900000000000004</v>
      </c>
      <c r="R9">
        <v>29.2</v>
      </c>
      <c r="S9">
        <v>0.80300000000000005</v>
      </c>
      <c r="T9">
        <v>29.42</v>
      </c>
      <c r="U9">
        <v>23.3308</v>
      </c>
      <c r="V9">
        <v>23.62426</v>
      </c>
      <c r="W9">
        <v>46.955060000000003</v>
      </c>
      <c r="X9">
        <v>36.851702022204577</v>
      </c>
      <c r="Y9">
        <v>3668.3640624999998</v>
      </c>
      <c r="Z9">
        <v>196.54032519924621</v>
      </c>
      <c r="AA9">
        <v>3471.8237373007541</v>
      </c>
      <c r="AB9">
        <v>3.6410507999999999E-4</v>
      </c>
      <c r="AC9">
        <v>25.613867961934989</v>
      </c>
      <c r="AD9">
        <v>298.76386796193498</v>
      </c>
      <c r="AE9">
        <v>298.74874999999997</v>
      </c>
      <c r="AF9">
        <v>310.80714</v>
      </c>
      <c r="AG9">
        <v>308.59140000000002</v>
      </c>
      <c r="AH9">
        <v>311.52274999999997</v>
      </c>
      <c r="AI9">
        <v>311.63861000000003</v>
      </c>
      <c r="AJ9">
        <v>1082.1094000000001</v>
      </c>
      <c r="AK9">
        <v>3.9332843000000001E-3</v>
      </c>
      <c r="AL9">
        <v>5.7707953000000003E-4</v>
      </c>
      <c r="AM9">
        <v>5.7709134999999996E-4</v>
      </c>
      <c r="AN9">
        <v>194.47505805283669</v>
      </c>
      <c r="AO9">
        <v>34.383727509483883</v>
      </c>
      <c r="AP9">
        <v>1400.0381971979909</v>
      </c>
      <c r="AQ9">
        <v>181</v>
      </c>
      <c r="AR9">
        <v>1219.0381971979909</v>
      </c>
      <c r="AS9">
        <v>1.293804671873279</v>
      </c>
      <c r="AT9">
        <v>4.0454039885087818</v>
      </c>
      <c r="AU9">
        <v>2.1562003258751812</v>
      </c>
      <c r="AV9">
        <v>746.22035910652937</v>
      </c>
      <c r="AW9">
        <v>128.71361708144789</v>
      </c>
      <c r="AZ9">
        <f t="shared" si="0"/>
        <v>33.532156613000339</v>
      </c>
      <c r="BA9">
        <f t="shared" si="1"/>
        <v>2.4766683491446926E-2</v>
      </c>
      <c r="BB9">
        <f t="shared" si="2"/>
        <v>24.969695943887153</v>
      </c>
      <c r="BC9">
        <f t="shared" si="3"/>
        <v>0.27379322276795343</v>
      </c>
      <c r="BD9">
        <v>0.88400000000000001</v>
      </c>
      <c r="BF9">
        <v>0.72</v>
      </c>
    </row>
    <row r="10" spans="1:58" x14ac:dyDescent="0.25">
      <c r="A10" t="s">
        <v>75</v>
      </c>
      <c r="B10">
        <v>8</v>
      </c>
      <c r="C10">
        <v>0.3</v>
      </c>
      <c r="D10">
        <v>1800</v>
      </c>
      <c r="E10">
        <v>4.5968718261222836</v>
      </c>
      <c r="F10">
        <v>2766.6937010002698</v>
      </c>
      <c r="G10">
        <v>28.288</v>
      </c>
      <c r="H10">
        <v>25.1</v>
      </c>
      <c r="I10">
        <v>103025</v>
      </c>
      <c r="J10">
        <v>1.8495000000000002E-5</v>
      </c>
      <c r="K10">
        <v>1007</v>
      </c>
      <c r="L10">
        <v>4.0972898250000002E-3</v>
      </c>
      <c r="M10">
        <v>1.2030000000000001</v>
      </c>
      <c r="N10">
        <v>6.0200322643264563</v>
      </c>
      <c r="O10">
        <v>204.18387832225909</v>
      </c>
      <c r="P10">
        <v>204</v>
      </c>
      <c r="Q10">
        <v>0.79900000000000004</v>
      </c>
      <c r="R10">
        <v>29.2</v>
      </c>
      <c r="S10">
        <v>0.80300000000000005</v>
      </c>
      <c r="T10">
        <v>29.42</v>
      </c>
      <c r="U10">
        <v>23.3308</v>
      </c>
      <c r="V10">
        <v>23.62426</v>
      </c>
      <c r="W10">
        <v>46.955060000000003</v>
      </c>
      <c r="X10">
        <v>36.058478851707157</v>
      </c>
      <c r="Y10">
        <v>3668.3640624999998</v>
      </c>
      <c r="Z10">
        <v>179.63435976643461</v>
      </c>
      <c r="AA10">
        <v>3488.7297027335658</v>
      </c>
      <c r="AB10">
        <v>4.0972898250000002E-4</v>
      </c>
      <c r="AC10">
        <v>25.55186583432425</v>
      </c>
      <c r="AD10">
        <v>298.70186583432422</v>
      </c>
      <c r="AE10">
        <v>298.68579</v>
      </c>
      <c r="AF10">
        <v>309.66534999999999</v>
      </c>
      <c r="AG10">
        <v>307.65953999999999</v>
      </c>
      <c r="AH10">
        <v>310.66359</v>
      </c>
      <c r="AI10">
        <v>310.51177999999999</v>
      </c>
      <c r="AJ10">
        <v>1325.1626000000001</v>
      </c>
      <c r="AK10">
        <v>3.9332843000000001E-3</v>
      </c>
      <c r="AL10">
        <v>5.7707953000000003E-4</v>
      </c>
      <c r="AM10">
        <v>5.7709134999999996E-4</v>
      </c>
      <c r="AN10">
        <v>211.59726232398529</v>
      </c>
      <c r="AO10">
        <v>37.410980525451329</v>
      </c>
      <c r="AP10">
        <v>1729.1922314704721</v>
      </c>
      <c r="AQ10">
        <v>204</v>
      </c>
      <c r="AR10">
        <v>1525.1922314704721</v>
      </c>
      <c r="AS10">
        <v>1.304890608496249</v>
      </c>
      <c r="AT10">
        <v>4.0019680532419244</v>
      </c>
      <c r="AU10">
        <v>2.1330489723779462</v>
      </c>
      <c r="AV10">
        <v>921.65945937376136</v>
      </c>
      <c r="AW10">
        <v>144.84197627969459</v>
      </c>
      <c r="AZ10">
        <f t="shared" si="0"/>
        <v>36.801180331263197</v>
      </c>
      <c r="BA10">
        <f t="shared" si="1"/>
        <v>1.6300032386835587E-2</v>
      </c>
      <c r="BB10">
        <f t="shared" si="2"/>
        <v>27.936292500087273</v>
      </c>
      <c r="BC10">
        <f t="shared" si="3"/>
        <v>0.25325954819383212</v>
      </c>
      <c r="BD10">
        <v>0.88400000000000001</v>
      </c>
      <c r="BF10">
        <v>0.72</v>
      </c>
    </row>
    <row r="11" spans="1:58" x14ac:dyDescent="0.25">
      <c r="A11" t="s">
        <v>75</v>
      </c>
      <c r="B11">
        <v>8</v>
      </c>
      <c r="C11">
        <v>0.3</v>
      </c>
      <c r="D11">
        <v>2000</v>
      </c>
      <c r="E11">
        <v>4.5968718261222836</v>
      </c>
      <c r="F11">
        <v>3078.6248535640261</v>
      </c>
      <c r="G11">
        <v>28.288</v>
      </c>
      <c r="H11">
        <v>25.1</v>
      </c>
      <c r="I11">
        <v>103425</v>
      </c>
      <c r="J11">
        <v>1.8495000000000002E-5</v>
      </c>
      <c r="K11">
        <v>1007</v>
      </c>
      <c r="L11">
        <v>4.5525442500000003E-3</v>
      </c>
      <c r="M11">
        <v>1.208</v>
      </c>
      <c r="N11">
        <v>6.6612387913766824</v>
      </c>
      <c r="O11">
        <v>226.87097591362129</v>
      </c>
      <c r="P11">
        <v>227</v>
      </c>
      <c r="Q11">
        <v>0.79900000000000004</v>
      </c>
      <c r="R11">
        <v>29.2</v>
      </c>
      <c r="S11">
        <v>0.80300000000000005</v>
      </c>
      <c r="T11">
        <v>29.42</v>
      </c>
      <c r="U11">
        <v>23.3308</v>
      </c>
      <c r="V11">
        <v>23.62426</v>
      </c>
      <c r="W11">
        <v>46.955060000000003</v>
      </c>
      <c r="X11">
        <v>35.324881050041007</v>
      </c>
      <c r="Y11">
        <v>3668.3640624999998</v>
      </c>
      <c r="Z11">
        <v>163.9991898195241</v>
      </c>
      <c r="AA11">
        <v>3504.3648726804759</v>
      </c>
      <c r="AB11">
        <v>4.5525442500000003E-4</v>
      </c>
      <c r="AC11">
        <v>25.55141817063171</v>
      </c>
      <c r="AD11">
        <v>298.70141817063171</v>
      </c>
      <c r="AE11">
        <v>298.68358999999998</v>
      </c>
      <c r="AF11">
        <v>308.40059000000002</v>
      </c>
      <c r="AG11">
        <v>306.77140000000003</v>
      </c>
      <c r="AH11">
        <v>309.67362000000003</v>
      </c>
      <c r="AI11">
        <v>309.65773999999999</v>
      </c>
      <c r="AJ11">
        <v>1624.4317000000001</v>
      </c>
      <c r="AK11">
        <v>3.9332843000000001E-3</v>
      </c>
      <c r="AL11">
        <v>5.7707953000000003E-4</v>
      </c>
      <c r="AM11">
        <v>5.7709134999999996E-4</v>
      </c>
      <c r="AN11">
        <v>226.89472780808379</v>
      </c>
      <c r="AO11">
        <v>40.115614682948632</v>
      </c>
      <c r="AP11">
        <v>2103.6684440798472</v>
      </c>
      <c r="AQ11">
        <v>227</v>
      </c>
      <c r="AR11">
        <v>1876.6684440798469</v>
      </c>
      <c r="AS11">
        <v>1.2950180940693581</v>
      </c>
      <c r="AT11">
        <v>3.996937223347115</v>
      </c>
      <c r="AU11">
        <v>2.1303675400440119</v>
      </c>
      <c r="AV11">
        <v>1121.255280694558</v>
      </c>
      <c r="AW11">
        <v>160.93552919966069</v>
      </c>
      <c r="AZ11">
        <f t="shared" si="0"/>
        <v>39.994568370105583</v>
      </c>
      <c r="BA11">
        <f t="shared" si="1"/>
        <v>3.0174363224826873E-3</v>
      </c>
      <c r="BB11">
        <f t="shared" si="2"/>
        <v>30.887450596894759</v>
      </c>
      <c r="BC11">
        <f t="shared" si="3"/>
        <v>0.23003920440925851</v>
      </c>
      <c r="BD11">
        <v>0.88400000000000001</v>
      </c>
      <c r="BF11">
        <v>0.72</v>
      </c>
    </row>
    <row r="12" spans="1:58" x14ac:dyDescent="0.25">
      <c r="A12" t="s">
        <v>75</v>
      </c>
      <c r="B12">
        <v>8</v>
      </c>
      <c r="C12">
        <v>0.3</v>
      </c>
      <c r="D12">
        <v>2500</v>
      </c>
      <c r="E12">
        <v>4.5968718261222836</v>
      </c>
      <c r="F12">
        <v>3852.504822165738</v>
      </c>
      <c r="G12">
        <v>28.288</v>
      </c>
      <c r="H12">
        <v>25</v>
      </c>
      <c r="I12">
        <v>104425</v>
      </c>
      <c r="J12">
        <v>1.8491E-5</v>
      </c>
      <c r="K12">
        <v>1007</v>
      </c>
      <c r="L12">
        <v>5.689449562499998E-3</v>
      </c>
      <c r="M12">
        <v>1.22</v>
      </c>
      <c r="N12">
        <v>8.242864903759223</v>
      </c>
      <c r="O12">
        <v>283.52738683554799</v>
      </c>
      <c r="P12">
        <v>284</v>
      </c>
      <c r="Q12">
        <v>0.79900000000000004</v>
      </c>
      <c r="R12">
        <v>29.2</v>
      </c>
      <c r="S12">
        <v>0.80300000000000005</v>
      </c>
      <c r="T12">
        <v>29.42</v>
      </c>
      <c r="U12">
        <v>23.3308</v>
      </c>
      <c r="V12">
        <v>23.62426</v>
      </c>
      <c r="W12">
        <v>46.955060000000003</v>
      </c>
      <c r="X12">
        <v>33.913530208808773</v>
      </c>
      <c r="Y12">
        <v>3668.3640624999998</v>
      </c>
      <c r="Z12">
        <v>133.91906934034111</v>
      </c>
      <c r="AA12">
        <v>3534.4449931596591</v>
      </c>
      <c r="AB12">
        <v>5.689449562499998E-4</v>
      </c>
      <c r="AC12">
        <v>25.529705471246029</v>
      </c>
      <c r="AD12">
        <v>298.679705471246</v>
      </c>
      <c r="AE12">
        <v>298.65316999999999</v>
      </c>
      <c r="AF12">
        <v>306.50643000000002</v>
      </c>
      <c r="AG12">
        <v>305.47660999999999</v>
      </c>
      <c r="AH12">
        <v>308.47453000000002</v>
      </c>
      <c r="AI12">
        <v>308.10708</v>
      </c>
      <c r="AJ12">
        <v>2356.8038000000001</v>
      </c>
      <c r="AK12">
        <v>3.9332843000000001E-3</v>
      </c>
      <c r="AL12">
        <v>5.7707953000000003E-4</v>
      </c>
      <c r="AM12">
        <v>5.7709134999999996E-4</v>
      </c>
      <c r="AN12">
        <v>251.54162909644359</v>
      </c>
      <c r="AO12">
        <v>44.473254918859347</v>
      </c>
      <c r="AP12">
        <v>3137.4404952076679</v>
      </c>
      <c r="AQ12">
        <v>284</v>
      </c>
      <c r="AR12">
        <v>2853.4404952076679</v>
      </c>
      <c r="AS12">
        <v>1.331226848500358</v>
      </c>
      <c r="AT12">
        <v>3.9105919859061049</v>
      </c>
      <c r="AU12">
        <v>2.0843455284879542</v>
      </c>
      <c r="AV12">
        <v>1672.255783945687</v>
      </c>
      <c r="AW12">
        <v>201.12590365172511</v>
      </c>
      <c r="AZ12">
        <f t="shared" si="0"/>
        <v>47.702434340024034</v>
      </c>
      <c r="BA12">
        <f t="shared" si="1"/>
        <v>-7.2609468928151691E-2</v>
      </c>
      <c r="BB12">
        <f t="shared" si="2"/>
        <v>38.207698104116204</v>
      </c>
      <c r="BC12">
        <f t="shared" si="3"/>
        <v>0.14088370248983434</v>
      </c>
      <c r="BD12">
        <v>0.88400000000000001</v>
      </c>
      <c r="BF12">
        <v>0.72</v>
      </c>
    </row>
    <row r="13" spans="1:58" x14ac:dyDescent="0.25">
      <c r="A13" t="s">
        <v>75</v>
      </c>
      <c r="B13">
        <v>8</v>
      </c>
      <c r="C13">
        <v>0.3</v>
      </c>
      <c r="D13">
        <v>3000</v>
      </c>
      <c r="E13">
        <v>4.5968718261222836</v>
      </c>
      <c r="F13">
        <v>4612.1536603392642</v>
      </c>
      <c r="G13">
        <v>28.288</v>
      </c>
      <c r="H13">
        <v>25</v>
      </c>
      <c r="I13">
        <v>105725</v>
      </c>
      <c r="J13">
        <v>1.8491E-5</v>
      </c>
      <c r="K13">
        <v>1007</v>
      </c>
      <c r="L13">
        <v>6.8273394750000002E-3</v>
      </c>
      <c r="M13">
        <v>1.2350000000000001</v>
      </c>
      <c r="N13">
        <v>9.7712989628368483</v>
      </c>
      <c r="O13">
        <v>340.23286420265782</v>
      </c>
      <c r="P13">
        <v>340</v>
      </c>
      <c r="Q13">
        <v>0.79900000000000004</v>
      </c>
      <c r="R13">
        <v>29.2</v>
      </c>
      <c r="S13">
        <v>0.80300000000000005</v>
      </c>
      <c r="T13">
        <v>29.42</v>
      </c>
      <c r="U13">
        <v>23.3308</v>
      </c>
      <c r="V13">
        <v>23.62426</v>
      </c>
      <c r="W13">
        <v>46.955060000000003</v>
      </c>
      <c r="X13">
        <v>32.87238795518207</v>
      </c>
      <c r="Y13">
        <v>3668.3640624999998</v>
      </c>
      <c r="Z13">
        <v>111.7292044887954</v>
      </c>
      <c r="AA13">
        <v>3556.6348580112049</v>
      </c>
      <c r="AB13">
        <v>6.8273394750000005E-4</v>
      </c>
      <c r="AC13">
        <v>25.436080473856229</v>
      </c>
      <c r="AD13">
        <v>298.58608047385621</v>
      </c>
      <c r="AE13">
        <v>298.54858000000002</v>
      </c>
      <c r="AF13">
        <v>305.23984999999999</v>
      </c>
      <c r="AG13">
        <v>304.32240999999999</v>
      </c>
      <c r="AH13">
        <v>307.12626</v>
      </c>
      <c r="AI13">
        <v>307.13801000000001</v>
      </c>
      <c r="AJ13">
        <v>3427.7357000000002</v>
      </c>
      <c r="AK13">
        <v>3.9332843000000001E-3</v>
      </c>
      <c r="AL13">
        <v>5.7707953000000003E-4</v>
      </c>
      <c r="AM13">
        <v>5.7709134999999996E-4</v>
      </c>
      <c r="AN13">
        <v>291.89687794256662</v>
      </c>
      <c r="AO13">
        <v>51.60817439797075</v>
      </c>
      <c r="AP13">
        <v>4428.6469907407409</v>
      </c>
      <c r="AQ13">
        <v>340</v>
      </c>
      <c r="AR13">
        <v>4088.6469907407409</v>
      </c>
      <c r="AS13">
        <v>1.29200363690256</v>
      </c>
      <c r="AT13">
        <v>3.9154644214551788</v>
      </c>
      <c r="AU13">
        <v>2.0869425366356111</v>
      </c>
      <c r="AV13">
        <v>2360.4688460648149</v>
      </c>
      <c r="AW13">
        <v>241.35108438207021</v>
      </c>
      <c r="AZ13">
        <f t="shared" si="0"/>
        <v>55.090649241975683</v>
      </c>
      <c r="BA13">
        <f t="shared" si="1"/>
        <v>-6.7479132610857584E-2</v>
      </c>
      <c r="BB13">
        <f t="shared" si="2"/>
        <v>45.459189299875817</v>
      </c>
      <c r="BC13">
        <f t="shared" si="3"/>
        <v>0.11914750269361811</v>
      </c>
      <c r="BD13">
        <v>0.88400000000000001</v>
      </c>
      <c r="BF13">
        <v>0.72</v>
      </c>
    </row>
    <row r="14" spans="1:58" x14ac:dyDescent="0.25">
      <c r="A14" t="s">
        <v>75</v>
      </c>
      <c r="B14">
        <v>8</v>
      </c>
      <c r="C14">
        <v>0.3</v>
      </c>
      <c r="D14">
        <v>3500</v>
      </c>
      <c r="E14">
        <v>4.5968718261222836</v>
      </c>
      <c r="F14">
        <v>5385.3676563373174</v>
      </c>
      <c r="G14">
        <v>28.288</v>
      </c>
      <c r="H14">
        <v>25</v>
      </c>
      <c r="I14">
        <v>107125</v>
      </c>
      <c r="J14">
        <v>1.8491E-5</v>
      </c>
      <c r="K14">
        <v>1007</v>
      </c>
      <c r="L14">
        <v>7.9652293874999999E-3</v>
      </c>
      <c r="M14">
        <v>1.252</v>
      </c>
      <c r="N14">
        <v>11.2450585108792</v>
      </c>
      <c r="O14">
        <v>396.93834156976749</v>
      </c>
      <c r="P14">
        <v>397</v>
      </c>
      <c r="Q14">
        <v>1.0029999999999999</v>
      </c>
      <c r="R14">
        <v>36.700000000000003</v>
      </c>
      <c r="S14">
        <v>0.997</v>
      </c>
      <c r="T14">
        <v>36.57</v>
      </c>
      <c r="U14">
        <v>36.810099999999998</v>
      </c>
      <c r="V14">
        <v>36.460290000000001</v>
      </c>
      <c r="W14">
        <v>73.270389999999992</v>
      </c>
      <c r="X14">
        <v>35.880226180710189</v>
      </c>
      <c r="Y14">
        <v>5724.2492187499993</v>
      </c>
      <c r="Z14">
        <v>175.83526058947621</v>
      </c>
      <c r="AA14">
        <v>5548.4139581605232</v>
      </c>
      <c r="AB14">
        <v>7.9652293874999996E-4</v>
      </c>
      <c r="AC14">
        <v>25.472397456931908</v>
      </c>
      <c r="AD14">
        <v>298.62239745693188</v>
      </c>
      <c r="AE14">
        <v>298.56957999999997</v>
      </c>
      <c r="AF14">
        <v>307.34469999999999</v>
      </c>
      <c r="AG14">
        <v>306.52312000000001</v>
      </c>
      <c r="AH14">
        <v>310.73683</v>
      </c>
      <c r="AI14">
        <v>310.65816999999998</v>
      </c>
      <c r="AJ14">
        <v>4595.4835999999996</v>
      </c>
      <c r="AK14">
        <v>3.9332843000000001E-3</v>
      </c>
      <c r="AL14">
        <v>5.7707953000000003E-4</v>
      </c>
      <c r="AM14">
        <v>5.7709134999999996E-4</v>
      </c>
      <c r="AN14">
        <v>309.32314128705048</v>
      </c>
      <c r="AO14">
        <v>54.689185898080197</v>
      </c>
      <c r="AP14">
        <v>5871.5143560295328</v>
      </c>
      <c r="AQ14">
        <v>397</v>
      </c>
      <c r="AR14">
        <v>5474.5143560295328</v>
      </c>
      <c r="AS14">
        <v>1.2776706146942911</v>
      </c>
      <c r="AT14">
        <v>3.8787082267267992</v>
      </c>
      <c r="AU14">
        <v>2.0673514848453838</v>
      </c>
      <c r="AV14">
        <v>3129.5171517637409</v>
      </c>
      <c r="AW14">
        <v>281.57626511241517</v>
      </c>
      <c r="AZ14">
        <f t="shared" si="0"/>
        <v>62.223217603092174</v>
      </c>
      <c r="BA14">
        <f t="shared" si="1"/>
        <v>-0.13776090430478413</v>
      </c>
      <c r="BB14">
        <f t="shared" si="2"/>
        <v>52.653997623711241</v>
      </c>
      <c r="BC14">
        <f t="shared" si="3"/>
        <v>3.7213724083619955E-2</v>
      </c>
      <c r="BD14">
        <v>0.88400000000000001</v>
      </c>
      <c r="BF14">
        <v>0.72</v>
      </c>
    </row>
    <row r="15" spans="1:58" x14ac:dyDescent="0.25">
      <c r="A15" t="s">
        <v>75</v>
      </c>
      <c r="B15">
        <v>8</v>
      </c>
      <c r="C15">
        <v>0.3</v>
      </c>
      <c r="D15">
        <v>4000</v>
      </c>
      <c r="E15">
        <v>4.5968718261222836</v>
      </c>
      <c r="F15">
        <v>6160.2473944246103</v>
      </c>
      <c r="G15">
        <v>28.288</v>
      </c>
      <c r="H15">
        <v>24.9</v>
      </c>
      <c r="I15">
        <v>108725</v>
      </c>
      <c r="J15">
        <v>1.8485999999999999E-5</v>
      </c>
      <c r="K15">
        <v>1007</v>
      </c>
      <c r="L15">
        <v>9.1006577999999984E-3</v>
      </c>
      <c r="M15">
        <v>1.2709999999999999</v>
      </c>
      <c r="N15">
        <v>12.65595712616282</v>
      </c>
      <c r="O15">
        <v>453.5211528239202</v>
      </c>
      <c r="P15">
        <v>454</v>
      </c>
      <c r="Q15">
        <v>1.0029999999999999</v>
      </c>
      <c r="R15">
        <v>36.700000000000003</v>
      </c>
      <c r="S15">
        <v>0.997</v>
      </c>
      <c r="T15">
        <v>36.57</v>
      </c>
      <c r="U15">
        <v>36.810099999999998</v>
      </c>
      <c r="V15">
        <v>36.460290000000001</v>
      </c>
      <c r="W15">
        <v>73.270389999999992</v>
      </c>
      <c r="X15">
        <v>35.026813857930868</v>
      </c>
      <c r="Y15">
        <v>5724.2492187499993</v>
      </c>
      <c r="Z15">
        <v>157.64648375408061</v>
      </c>
      <c r="AA15">
        <v>5566.6027349959186</v>
      </c>
      <c r="AB15">
        <v>9.1006577999999986E-4</v>
      </c>
      <c r="AC15">
        <v>25.395606776989698</v>
      </c>
      <c r="AD15">
        <v>298.5456067769897</v>
      </c>
      <c r="AE15">
        <v>298.48140999999998</v>
      </c>
      <c r="AF15">
        <v>306.30680000000001</v>
      </c>
      <c r="AG15">
        <v>305.56065000000001</v>
      </c>
      <c r="AH15">
        <v>309.78703000000002</v>
      </c>
      <c r="AI15">
        <v>309.53086000000002</v>
      </c>
      <c r="AJ15">
        <v>5819.5267000000003</v>
      </c>
      <c r="AK15">
        <v>3.9332843000000001E-3</v>
      </c>
      <c r="AL15">
        <v>5.7707953000000003E-4</v>
      </c>
      <c r="AM15">
        <v>5.7709134999999996E-4</v>
      </c>
      <c r="AN15">
        <v>341.90615778780477</v>
      </c>
      <c r="AO15">
        <v>60.449953227403078</v>
      </c>
      <c r="AP15">
        <v>7405.0625164171261</v>
      </c>
      <c r="AQ15">
        <v>454</v>
      </c>
      <c r="AR15">
        <v>6951.0625164171261</v>
      </c>
      <c r="AS15">
        <v>1.272450990974425</v>
      </c>
      <c r="AT15">
        <v>3.801954568280423</v>
      </c>
      <c r="AU15">
        <v>2.026441784893465</v>
      </c>
      <c r="AV15">
        <v>3946.898321250329</v>
      </c>
      <c r="AW15">
        <v>321.71443014705881</v>
      </c>
      <c r="AZ15">
        <f t="shared" si="0"/>
        <v>69.144000753813842</v>
      </c>
      <c r="BA15">
        <f t="shared" si="1"/>
        <v>-0.14382223744169237</v>
      </c>
      <c r="BB15">
        <f t="shared" si="2"/>
        <v>59.800634755417121</v>
      </c>
      <c r="BC15">
        <f t="shared" si="3"/>
        <v>1.0741422239705043E-2</v>
      </c>
      <c r="BD15">
        <v>0.88400000000000001</v>
      </c>
      <c r="BF15">
        <v>0.72</v>
      </c>
    </row>
    <row r="16" spans="1:58" x14ac:dyDescent="0.25">
      <c r="A16" t="s">
        <v>75</v>
      </c>
      <c r="B16">
        <v>8</v>
      </c>
      <c r="C16">
        <v>0.3</v>
      </c>
      <c r="D16">
        <v>4500</v>
      </c>
      <c r="E16">
        <v>4.5968718261222836</v>
      </c>
      <c r="F16">
        <v>6919.7273759939417</v>
      </c>
      <c r="G16">
        <v>28.288</v>
      </c>
      <c r="H16">
        <v>24.9</v>
      </c>
      <c r="I16">
        <v>110325</v>
      </c>
      <c r="J16">
        <v>1.8487000000000001E-5</v>
      </c>
      <c r="K16">
        <v>1007</v>
      </c>
      <c r="L16">
        <v>1.02387938625E-2</v>
      </c>
      <c r="M16">
        <v>1.29</v>
      </c>
      <c r="N16">
        <v>14.029004358409839</v>
      </c>
      <c r="O16">
        <v>510.2388968023256</v>
      </c>
      <c r="P16">
        <v>510</v>
      </c>
      <c r="Q16">
        <v>1.0029999999999999</v>
      </c>
      <c r="R16">
        <v>36.700000000000003</v>
      </c>
      <c r="S16">
        <v>0.997</v>
      </c>
      <c r="T16">
        <v>36.57</v>
      </c>
      <c r="U16">
        <v>36.810099999999998</v>
      </c>
      <c r="V16">
        <v>36.460290000000001</v>
      </c>
      <c r="W16">
        <v>73.270389999999992</v>
      </c>
      <c r="X16">
        <v>34.30790037135894</v>
      </c>
      <c r="Y16">
        <v>5724.2492187499993</v>
      </c>
      <c r="Z16">
        <v>142.3242806147731</v>
      </c>
      <c r="AA16">
        <v>5581.9249381352274</v>
      </c>
      <c r="AB16">
        <v>1.02387938625E-3</v>
      </c>
      <c r="AC16">
        <v>25.346296709991851</v>
      </c>
      <c r="AD16">
        <v>298.49629670999178</v>
      </c>
      <c r="AE16">
        <v>298.42108000000002</v>
      </c>
      <c r="AF16">
        <v>305.37970000000001</v>
      </c>
      <c r="AG16">
        <v>304.75623999999999</v>
      </c>
      <c r="AH16">
        <v>308.75594000000001</v>
      </c>
      <c r="AI16">
        <v>308.91399000000001</v>
      </c>
      <c r="AJ16">
        <v>7394.1117000000004</v>
      </c>
      <c r="AK16">
        <v>3.9332843000000001E-3</v>
      </c>
      <c r="AL16">
        <v>5.7707953000000003E-4</v>
      </c>
      <c r="AM16">
        <v>5.7709134999999996E-4</v>
      </c>
      <c r="AN16">
        <v>371.4211697576925</v>
      </c>
      <c r="AO16">
        <v>65.668288880173805</v>
      </c>
      <c r="AP16">
        <v>9029.1008665041973</v>
      </c>
      <c r="AQ16">
        <v>510</v>
      </c>
      <c r="AR16">
        <v>8519.1008665041973</v>
      </c>
      <c r="AS16">
        <v>1.2211204310727679</v>
      </c>
      <c r="AT16">
        <v>3.7096661240948681</v>
      </c>
      <c r="AU16">
        <v>1.9772520441425649</v>
      </c>
      <c r="AV16">
        <v>4812.5107618467373</v>
      </c>
      <c r="AW16">
        <v>361.948312446974</v>
      </c>
      <c r="AZ16">
        <f t="shared" si="0"/>
        <v>75.884795300627161</v>
      </c>
      <c r="BA16">
        <f t="shared" si="1"/>
        <v>-0.15557747269912292</v>
      </c>
      <c r="BB16">
        <f t="shared" si="2"/>
        <v>66.905421194253748</v>
      </c>
      <c r="BC16">
        <f t="shared" si="3"/>
        <v>-1.8839112990097284E-2</v>
      </c>
      <c r="BD16">
        <v>0.88400000000000001</v>
      </c>
      <c r="BF16">
        <v>0.72</v>
      </c>
    </row>
    <row r="17" spans="1:58" x14ac:dyDescent="0.25">
      <c r="A17" t="s">
        <v>75</v>
      </c>
      <c r="B17">
        <v>8</v>
      </c>
      <c r="C17">
        <v>0.3</v>
      </c>
      <c r="D17">
        <v>5000</v>
      </c>
      <c r="E17">
        <v>4.5968718261222836</v>
      </c>
      <c r="F17">
        <v>7693.1086709579704</v>
      </c>
      <c r="G17">
        <v>28.288</v>
      </c>
      <c r="H17">
        <v>24.9</v>
      </c>
      <c r="I17">
        <v>112025</v>
      </c>
      <c r="J17">
        <v>1.8487000000000001E-5</v>
      </c>
      <c r="K17">
        <v>1007</v>
      </c>
      <c r="L17">
        <v>1.1376437624999999E-2</v>
      </c>
      <c r="M17">
        <v>1.31</v>
      </c>
      <c r="N17">
        <v>15.349801206402629</v>
      </c>
      <c r="O17">
        <v>566.93210755813948</v>
      </c>
      <c r="P17">
        <v>567</v>
      </c>
      <c r="Q17">
        <v>1.0029999999999999</v>
      </c>
      <c r="R17">
        <v>36.700000000000003</v>
      </c>
      <c r="S17">
        <v>0.997</v>
      </c>
      <c r="T17">
        <v>36.57</v>
      </c>
      <c r="U17">
        <v>36.810099999999998</v>
      </c>
      <c r="V17">
        <v>36.460290000000001</v>
      </c>
      <c r="W17">
        <v>73.270389999999992</v>
      </c>
      <c r="X17">
        <v>33.683535181649653</v>
      </c>
      <c r="Y17">
        <v>5724.2492187499993</v>
      </c>
      <c r="Z17">
        <v>129.017185326499</v>
      </c>
      <c r="AA17">
        <v>5595.2320334235001</v>
      </c>
      <c r="AB17">
        <v>1.1376437625E-3</v>
      </c>
      <c r="AC17">
        <v>25.313794305636279</v>
      </c>
      <c r="AD17">
        <v>298.46379430563633</v>
      </c>
      <c r="AE17">
        <v>298.36899</v>
      </c>
      <c r="AF17">
        <v>304.54808000000003</v>
      </c>
      <c r="AG17">
        <v>304.09757999999999</v>
      </c>
      <c r="AH17">
        <v>308.11426999999998</v>
      </c>
      <c r="AI17">
        <v>308.02438999999998</v>
      </c>
      <c r="AJ17">
        <v>9074.4225999999999</v>
      </c>
      <c r="AK17">
        <v>3.9332843000000001E-3</v>
      </c>
      <c r="AL17">
        <v>5.7707953000000003E-4</v>
      </c>
      <c r="AM17">
        <v>5.7709134999999996E-4</v>
      </c>
      <c r="AN17">
        <v>397.6600173187785</v>
      </c>
      <c r="AO17">
        <v>70.307389614922783</v>
      </c>
      <c r="AP17">
        <v>10836.189941248629</v>
      </c>
      <c r="AQ17">
        <v>567</v>
      </c>
      <c r="AR17">
        <v>10269.189941248629</v>
      </c>
      <c r="AS17">
        <v>1.194146494923944</v>
      </c>
      <c r="AT17">
        <v>3.6513023583201352</v>
      </c>
      <c r="AU17">
        <v>1.9461441569846321</v>
      </c>
      <c r="AV17">
        <v>5775.6892386855188</v>
      </c>
      <c r="AW17">
        <v>402.1647916077489</v>
      </c>
      <c r="AZ17">
        <f t="shared" si="0"/>
        <v>82.469627511488767</v>
      </c>
      <c r="BA17">
        <f t="shared" si="1"/>
        <v>-0.17298662293080699</v>
      </c>
      <c r="BB17">
        <f t="shared" si="2"/>
        <v>73.97323362774398</v>
      </c>
      <c r="BC17">
        <f t="shared" si="3"/>
        <v>-5.2140237788648021E-2</v>
      </c>
      <c r="BD17">
        <v>0.88400000000000001</v>
      </c>
      <c r="BF17">
        <v>0.72</v>
      </c>
    </row>
    <row r="18" spans="1:58" x14ac:dyDescent="0.25">
      <c r="A18" t="s">
        <v>75</v>
      </c>
      <c r="B18">
        <v>8</v>
      </c>
      <c r="C18">
        <v>0.3</v>
      </c>
      <c r="D18">
        <v>6000</v>
      </c>
      <c r="E18">
        <v>4.5968718261222836</v>
      </c>
      <c r="F18">
        <v>9228.2998791682439</v>
      </c>
      <c r="G18">
        <v>28.288</v>
      </c>
      <c r="H18">
        <v>24.8</v>
      </c>
      <c r="I18">
        <v>116325</v>
      </c>
      <c r="J18">
        <v>1.8482999999999999E-5</v>
      </c>
      <c r="K18">
        <v>1007</v>
      </c>
      <c r="L18">
        <v>1.364877135E-2</v>
      </c>
      <c r="M18">
        <v>1.36</v>
      </c>
      <c r="N18">
        <v>17.738725407884449</v>
      </c>
      <c r="O18">
        <v>680.17132973421928</v>
      </c>
      <c r="P18">
        <v>680</v>
      </c>
      <c r="Q18">
        <v>1.2010000000000001</v>
      </c>
      <c r="R18">
        <v>43.92</v>
      </c>
      <c r="S18">
        <v>1.2010000000000001</v>
      </c>
      <c r="T18">
        <v>44.04</v>
      </c>
      <c r="U18">
        <v>52.747920000000008</v>
      </c>
      <c r="V18">
        <v>52.892040000000001</v>
      </c>
      <c r="W18">
        <v>105.63996</v>
      </c>
      <c r="X18">
        <v>36.073720633661132</v>
      </c>
      <c r="Y18">
        <v>8253.1218749999989</v>
      </c>
      <c r="Z18">
        <v>179.9592078652195</v>
      </c>
      <c r="AA18">
        <v>8073.1626671347794</v>
      </c>
      <c r="AB18">
        <v>1.3648771349999999E-3</v>
      </c>
      <c r="AC18">
        <v>25.275143820670539</v>
      </c>
      <c r="AD18">
        <v>298.42514382067048</v>
      </c>
      <c r="AE18">
        <v>298.29807</v>
      </c>
      <c r="AF18">
        <v>305.80817999999999</v>
      </c>
      <c r="AG18">
        <v>305.28555</v>
      </c>
      <c r="AH18">
        <v>310.70665000000002</v>
      </c>
      <c r="AI18">
        <v>310.73838000000001</v>
      </c>
      <c r="AJ18">
        <v>12420.733</v>
      </c>
      <c r="AK18">
        <v>3.9332843000000001E-3</v>
      </c>
      <c r="AL18">
        <v>5.7707953000000003E-4</v>
      </c>
      <c r="AM18">
        <v>5.7709134999999996E-4</v>
      </c>
      <c r="AN18">
        <v>454.8259821494733</v>
      </c>
      <c r="AO18">
        <v>80.414490120435019</v>
      </c>
      <c r="AP18">
        <v>14792.594524895851</v>
      </c>
      <c r="AQ18">
        <v>680</v>
      </c>
      <c r="AR18">
        <v>14112.594524895851</v>
      </c>
      <c r="AS18">
        <v>1.190959867255488</v>
      </c>
      <c r="AT18">
        <v>3.555799812740609</v>
      </c>
      <c r="AU18">
        <v>1.895241300190744</v>
      </c>
      <c r="AV18">
        <v>7884.4528817694909</v>
      </c>
      <c r="AW18">
        <v>482.49333109445712</v>
      </c>
      <c r="AZ18">
        <f t="shared" si="0"/>
        <v>95.242630385842133</v>
      </c>
      <c r="BA18">
        <f t="shared" si="1"/>
        <v>-0.18439637238511783</v>
      </c>
      <c r="BB18">
        <f t="shared" si="2"/>
        <v>88.012714648341372</v>
      </c>
      <c r="BC18">
        <f t="shared" si="3"/>
        <v>-9.4488251017032621E-2</v>
      </c>
      <c r="BD18">
        <v>0.88400000000000001</v>
      </c>
      <c r="BF18">
        <v>0.72</v>
      </c>
    </row>
    <row r="19" spans="1:58" x14ac:dyDescent="0.25">
      <c r="A19" t="s">
        <v>75</v>
      </c>
      <c r="B19">
        <v>8</v>
      </c>
      <c r="C19">
        <v>0.3</v>
      </c>
      <c r="D19">
        <v>7000</v>
      </c>
      <c r="E19">
        <v>4.5968718261222836</v>
      </c>
      <c r="F19">
        <v>10767.069033957639</v>
      </c>
      <c r="G19">
        <v>28.288</v>
      </c>
      <c r="H19">
        <v>24.6</v>
      </c>
      <c r="I19">
        <v>120525</v>
      </c>
      <c r="J19">
        <v>1.8474E-5</v>
      </c>
      <c r="K19">
        <v>1007</v>
      </c>
      <c r="L19">
        <v>1.5915812849999999E-2</v>
      </c>
      <c r="M19">
        <v>1.41</v>
      </c>
      <c r="N19">
        <v>19.951588185652739</v>
      </c>
      <c r="O19">
        <v>793.1468197674418</v>
      </c>
      <c r="P19">
        <v>793</v>
      </c>
      <c r="Q19">
        <v>1.2010000000000001</v>
      </c>
      <c r="R19">
        <v>43.92</v>
      </c>
      <c r="S19">
        <v>1.2010000000000001</v>
      </c>
      <c r="T19">
        <v>44.04</v>
      </c>
      <c r="U19">
        <v>52.747920000000008</v>
      </c>
      <c r="V19">
        <v>52.892040000000001</v>
      </c>
      <c r="W19">
        <v>105.63996</v>
      </c>
      <c r="X19">
        <v>34.998094157765678</v>
      </c>
      <c r="Y19">
        <v>8253.1218749999989</v>
      </c>
      <c r="Z19">
        <v>157.03438078445981</v>
      </c>
      <c r="AA19">
        <v>8096.0874942155388</v>
      </c>
      <c r="AB19">
        <v>1.5915812850000001E-3</v>
      </c>
      <c r="AC19">
        <v>25.246584138883421</v>
      </c>
      <c r="AD19">
        <v>298.39658413888338</v>
      </c>
      <c r="AE19">
        <v>298.23408000000001</v>
      </c>
      <c r="AF19">
        <v>304.61867999999998</v>
      </c>
      <c r="AG19">
        <v>304.19051999999999</v>
      </c>
      <c r="AH19">
        <v>309.74806999999998</v>
      </c>
      <c r="AI19">
        <v>309.44069999999999</v>
      </c>
      <c r="AJ19">
        <v>16229.278</v>
      </c>
      <c r="AK19">
        <v>3.9332843000000001E-3</v>
      </c>
      <c r="AL19">
        <v>5.7707953000000003E-4</v>
      </c>
      <c r="AM19">
        <v>5.7709134999999996E-4</v>
      </c>
      <c r="AN19">
        <v>510.50679808930528</v>
      </c>
      <c r="AO19">
        <v>90.259012199254826</v>
      </c>
      <c r="AP19">
        <v>19347.701256000521</v>
      </c>
      <c r="AQ19">
        <v>793</v>
      </c>
      <c r="AR19">
        <v>18554.701256000521</v>
      </c>
      <c r="AS19">
        <v>1.192147996725456</v>
      </c>
      <c r="AT19">
        <v>3.5054235223993291</v>
      </c>
      <c r="AU19">
        <v>1.868390737438842</v>
      </c>
      <c r="AV19">
        <v>10312.32476944828</v>
      </c>
      <c r="AW19">
        <v>562.63478683540723</v>
      </c>
      <c r="AZ19">
        <f t="shared" si="0"/>
        <v>107.57366262936785</v>
      </c>
      <c r="BA19">
        <f t="shared" si="1"/>
        <v>-0.19183292624441073</v>
      </c>
      <c r="BB19">
        <f t="shared" si="2"/>
        <v>101.94245298524918</v>
      </c>
      <c r="BC19">
        <f t="shared" si="3"/>
        <v>-0.12944348161269603</v>
      </c>
      <c r="BD19">
        <v>0.88400000000000001</v>
      </c>
      <c r="BF19">
        <v>0.72</v>
      </c>
    </row>
    <row r="20" spans="1:58" x14ac:dyDescent="0.25">
      <c r="A20" t="s">
        <v>75</v>
      </c>
      <c r="B20">
        <v>8</v>
      </c>
      <c r="C20">
        <v>0.3</v>
      </c>
      <c r="D20">
        <v>8000</v>
      </c>
      <c r="E20">
        <v>4.5968718261222836</v>
      </c>
      <c r="F20">
        <v>12311.587928639719</v>
      </c>
      <c r="G20">
        <v>28.288</v>
      </c>
      <c r="H20">
        <v>24.7</v>
      </c>
      <c r="I20">
        <v>125825</v>
      </c>
      <c r="J20">
        <v>1.8479E-5</v>
      </c>
      <c r="K20">
        <v>1007</v>
      </c>
      <c r="L20">
        <v>1.81944234E-2</v>
      </c>
      <c r="M20">
        <v>1.472</v>
      </c>
      <c r="N20">
        <v>21.847323924801419</v>
      </c>
      <c r="O20">
        <v>906.69884053156147</v>
      </c>
      <c r="P20">
        <v>907</v>
      </c>
      <c r="Q20">
        <v>1.2010000000000001</v>
      </c>
      <c r="R20">
        <v>43.92</v>
      </c>
      <c r="S20">
        <v>1.2010000000000001</v>
      </c>
      <c r="T20">
        <v>44.04</v>
      </c>
      <c r="U20">
        <v>52.747920000000008</v>
      </c>
      <c r="V20">
        <v>52.892040000000001</v>
      </c>
      <c r="W20">
        <v>105.63996</v>
      </c>
      <c r="X20">
        <v>34.23694512599949</v>
      </c>
      <c r="Y20">
        <v>8253.1218749999989</v>
      </c>
      <c r="Z20">
        <v>140.81201147042711</v>
      </c>
      <c r="AA20">
        <v>8112.3098635295719</v>
      </c>
      <c r="AB20">
        <v>1.8194423400000001E-3</v>
      </c>
      <c r="AC20">
        <v>25.192755102040799</v>
      </c>
      <c r="AD20">
        <v>298.34275510204083</v>
      </c>
      <c r="AE20">
        <v>298.14576</v>
      </c>
      <c r="AF20">
        <v>303.63556</v>
      </c>
      <c r="AG20">
        <v>303.19511</v>
      </c>
      <c r="AH20">
        <v>308.36970000000002</v>
      </c>
      <c r="AI20">
        <v>308.44306999999998</v>
      </c>
      <c r="AJ20">
        <v>20839.427</v>
      </c>
      <c r="AK20">
        <v>3.9332843000000001E-3</v>
      </c>
      <c r="AL20">
        <v>5.7707953000000003E-4</v>
      </c>
      <c r="AM20">
        <v>5.7709134999999996E-4</v>
      </c>
      <c r="AN20">
        <v>585.38001690498231</v>
      </c>
      <c r="AO20">
        <v>103.4968041263654</v>
      </c>
      <c r="AP20">
        <v>24071.588738465682</v>
      </c>
      <c r="AQ20">
        <v>907</v>
      </c>
      <c r="AR20">
        <v>23164.588738465682</v>
      </c>
      <c r="AS20">
        <v>1.1550983977853939</v>
      </c>
      <c r="AT20">
        <v>3.4286180443479708</v>
      </c>
      <c r="AU20">
        <v>1.827453417637469</v>
      </c>
      <c r="AV20">
        <v>12830.156797602211</v>
      </c>
      <c r="AW20">
        <v>643.18521634615388</v>
      </c>
      <c r="AZ20">
        <f t="shared" si="0"/>
        <v>119.53855323556741</v>
      </c>
      <c r="BA20">
        <f t="shared" si="1"/>
        <v>-0.15499753103115799</v>
      </c>
      <c r="BB20">
        <f t="shared" si="2"/>
        <v>115.77892794785475</v>
      </c>
      <c r="BC20">
        <f t="shared" si="3"/>
        <v>-0.11867152734970805</v>
      </c>
      <c r="BD20">
        <v>0.88400000000000001</v>
      </c>
      <c r="BF20">
        <v>0.72</v>
      </c>
    </row>
    <row r="21" spans="1:58" x14ac:dyDescent="0.25">
      <c r="A21" t="s">
        <v>75</v>
      </c>
      <c r="B21">
        <v>8</v>
      </c>
      <c r="C21">
        <v>0.3</v>
      </c>
      <c r="D21">
        <v>9000</v>
      </c>
      <c r="E21">
        <v>4.5968718261222836</v>
      </c>
      <c r="F21">
        <v>13844.69696969697</v>
      </c>
      <c r="G21">
        <v>28.288</v>
      </c>
      <c r="H21">
        <v>24.7</v>
      </c>
      <c r="I21">
        <v>130325</v>
      </c>
      <c r="J21">
        <v>1.8479999999999999E-5</v>
      </c>
      <c r="K21">
        <v>1007</v>
      </c>
      <c r="L21">
        <v>2.0469833999999999E-2</v>
      </c>
      <c r="M21">
        <v>1.5249999999999999</v>
      </c>
      <c r="N21">
        <v>23.72532870336028</v>
      </c>
      <c r="O21">
        <v>1020.091395348837</v>
      </c>
      <c r="P21">
        <v>1020</v>
      </c>
      <c r="Q21">
        <v>1.304</v>
      </c>
      <c r="R21">
        <v>47.67</v>
      </c>
      <c r="S21">
        <v>1.2989999999999999</v>
      </c>
      <c r="T21">
        <v>47.62</v>
      </c>
      <c r="U21">
        <v>62.161679999999997</v>
      </c>
      <c r="V21">
        <v>61.858379999999997</v>
      </c>
      <c r="W21">
        <v>124.02006</v>
      </c>
      <c r="X21">
        <v>35.083003329730992</v>
      </c>
      <c r="Y21">
        <v>9689.0671874999989</v>
      </c>
      <c r="Z21">
        <v>158.84404996655661</v>
      </c>
      <c r="AA21">
        <v>9530.2231375334432</v>
      </c>
      <c r="AB21">
        <v>2.0469834000000002E-3</v>
      </c>
      <c r="AC21">
        <v>25.18036188918418</v>
      </c>
      <c r="AD21">
        <v>298.33036188918408</v>
      </c>
      <c r="AE21">
        <v>298.10174000000001</v>
      </c>
      <c r="AF21">
        <v>303.80815000000001</v>
      </c>
      <c r="AG21">
        <v>303.20643000000001</v>
      </c>
      <c r="AH21">
        <v>309.09944999999999</v>
      </c>
      <c r="AI21">
        <v>309.02969000000002</v>
      </c>
      <c r="AJ21">
        <v>26392.429</v>
      </c>
      <c r="AK21">
        <v>3.9332843000000001E-3</v>
      </c>
      <c r="AL21">
        <v>5.7707953000000003E-4</v>
      </c>
      <c r="AM21">
        <v>5.7709134999999996E-4</v>
      </c>
      <c r="AN21">
        <v>669.6825836619754</v>
      </c>
      <c r="AO21">
        <v>118.4017308184813</v>
      </c>
      <c r="AP21">
        <v>29271.39964560758</v>
      </c>
      <c r="AQ21">
        <v>1020</v>
      </c>
      <c r="AR21">
        <v>28251.39964560758</v>
      </c>
      <c r="AS21">
        <v>1.109083201307753</v>
      </c>
      <c r="AT21">
        <v>3.369285796527675</v>
      </c>
      <c r="AU21">
        <v>1.7958293295492509</v>
      </c>
      <c r="AV21">
        <v>15601.65601110884</v>
      </c>
      <c r="AW21">
        <v>723.62252545248873</v>
      </c>
      <c r="AZ21">
        <f t="shared" si="0"/>
        <v>131.1922732835763</v>
      </c>
      <c r="BA21">
        <f t="shared" si="1"/>
        <v>-0.10802665110279391</v>
      </c>
      <c r="BB21">
        <f t="shared" si="2"/>
        <v>129.53437654052095</v>
      </c>
      <c r="BC21">
        <f t="shared" si="3"/>
        <v>-9.4024349518224803E-2</v>
      </c>
      <c r="BD21">
        <v>0.88400000000000001</v>
      </c>
      <c r="BF21">
        <v>0.72</v>
      </c>
    </row>
    <row r="22" spans="1:58" x14ac:dyDescent="0.25">
      <c r="A22" t="s">
        <v>75</v>
      </c>
      <c r="B22">
        <v>8</v>
      </c>
      <c r="C22">
        <v>0.3</v>
      </c>
      <c r="D22">
        <v>10000</v>
      </c>
      <c r="E22">
        <v>4.5968718261222836</v>
      </c>
      <c r="F22">
        <v>15377.640098840249</v>
      </c>
      <c r="G22">
        <v>28.288</v>
      </c>
      <c r="H22">
        <v>24.7</v>
      </c>
      <c r="I22">
        <v>136325</v>
      </c>
      <c r="J22">
        <v>1.8481000000000001E-5</v>
      </c>
      <c r="K22">
        <v>1007</v>
      </c>
      <c r="L22">
        <v>2.274549075E-2</v>
      </c>
      <c r="M22">
        <v>1.595</v>
      </c>
      <c r="N22">
        <v>25.20591022346062</v>
      </c>
      <c r="O22">
        <v>1133.496216777409</v>
      </c>
      <c r="P22">
        <v>1133</v>
      </c>
      <c r="Q22">
        <v>1.304</v>
      </c>
      <c r="R22">
        <v>47.67</v>
      </c>
      <c r="S22">
        <v>1.2989999999999999</v>
      </c>
      <c r="T22">
        <v>45.17</v>
      </c>
      <c r="U22">
        <v>62.161679999999997</v>
      </c>
      <c r="V22">
        <v>58.675829999999998</v>
      </c>
      <c r="W22">
        <v>120.83750999999999</v>
      </c>
      <c r="X22">
        <v>34.465517912670833</v>
      </c>
      <c r="Y22">
        <v>9440.4304687500007</v>
      </c>
      <c r="Z22">
        <v>145.68358327275331</v>
      </c>
      <c r="AA22">
        <v>9294.7468854772469</v>
      </c>
      <c r="AB22">
        <v>2.274549075E-3</v>
      </c>
      <c r="AC22">
        <v>25.18719407353208</v>
      </c>
      <c r="AD22">
        <v>298.33719407353198</v>
      </c>
      <c r="AE22">
        <v>298.07645000000002</v>
      </c>
      <c r="AF22">
        <v>303.10660999999999</v>
      </c>
      <c r="AG22">
        <v>302.44450999999998</v>
      </c>
      <c r="AH22">
        <v>308.00650000000002</v>
      </c>
      <c r="AI22">
        <v>308.22644000000003</v>
      </c>
      <c r="AJ22">
        <v>31105.33</v>
      </c>
      <c r="AK22">
        <v>3.9332843000000001E-3</v>
      </c>
      <c r="AL22">
        <v>5.7707953000000003E-4</v>
      </c>
      <c r="AM22">
        <v>5.7709134999999996E-4</v>
      </c>
      <c r="AN22">
        <v>744.81963981205649</v>
      </c>
      <c r="AO22">
        <v>131.68616991517649</v>
      </c>
      <c r="AP22">
        <v>34873.329614047921</v>
      </c>
      <c r="AQ22">
        <v>1133</v>
      </c>
      <c r="AR22">
        <v>33740.329614047921</v>
      </c>
      <c r="AS22">
        <v>1.1211367831187751</v>
      </c>
      <c r="AT22">
        <v>3.3429705622616752</v>
      </c>
      <c r="AU22">
        <v>1.7818033096854731</v>
      </c>
      <c r="AV22">
        <v>18587.484684287541</v>
      </c>
      <c r="AW22">
        <v>804.0685361283937</v>
      </c>
      <c r="AZ22">
        <f t="shared" si="0"/>
        <v>142.57636022103839</v>
      </c>
      <c r="BA22">
        <f t="shared" si="1"/>
        <v>-8.269805639329196E-2</v>
      </c>
      <c r="BB22">
        <f t="shared" si="2"/>
        <v>143.21824042980694</v>
      </c>
      <c r="BC22">
        <f t="shared" si="3"/>
        <v>-8.7572373940700401E-2</v>
      </c>
      <c r="BD22">
        <v>0.88400000000000001</v>
      </c>
      <c r="BF22">
        <v>0.72</v>
      </c>
    </row>
    <row r="23" spans="1:58" x14ac:dyDescent="0.25">
      <c r="A23" t="s">
        <v>75</v>
      </c>
      <c r="B23">
        <v>8</v>
      </c>
      <c r="C23">
        <v>0.3</v>
      </c>
      <c r="D23">
        <v>11000</v>
      </c>
      <c r="E23">
        <v>4.5968718261222836</v>
      </c>
      <c r="F23">
        <v>16928.568851364758</v>
      </c>
      <c r="G23">
        <v>28.288</v>
      </c>
      <c r="H23">
        <v>24.6</v>
      </c>
      <c r="I23">
        <v>141825</v>
      </c>
      <c r="J23">
        <v>1.8476999999999999E-5</v>
      </c>
      <c r="K23">
        <v>1007</v>
      </c>
      <c r="L23">
        <v>2.5014624524999991E-2</v>
      </c>
      <c r="M23">
        <v>1.66</v>
      </c>
      <c r="N23">
        <v>26.635058891888249</v>
      </c>
      <c r="O23">
        <v>1246.5759730066441</v>
      </c>
      <c r="P23">
        <v>1247</v>
      </c>
      <c r="Q23">
        <v>1.304</v>
      </c>
      <c r="R23">
        <v>47.67</v>
      </c>
      <c r="S23">
        <v>1.2989999999999999</v>
      </c>
      <c r="T23">
        <v>46.9</v>
      </c>
      <c r="U23">
        <v>62.161679999999997</v>
      </c>
      <c r="V23">
        <v>60.923099999999998</v>
      </c>
      <c r="W23">
        <v>123.08477999999999</v>
      </c>
      <c r="X23">
        <v>33.89203927325098</v>
      </c>
      <c r="Y23">
        <v>9615.9984374999985</v>
      </c>
      <c r="Z23">
        <v>133.46103303079809</v>
      </c>
      <c r="AA23">
        <v>9482.5374044691998</v>
      </c>
      <c r="AB23">
        <v>2.5014624525E-3</v>
      </c>
      <c r="AC23">
        <v>25.172504846839821</v>
      </c>
      <c r="AD23">
        <v>298.32250484683982</v>
      </c>
      <c r="AE23">
        <v>298.03377</v>
      </c>
      <c r="AF23">
        <v>302.48840999999999</v>
      </c>
      <c r="AG23">
        <v>301.87261000000001</v>
      </c>
      <c r="AH23">
        <v>307.28379999999999</v>
      </c>
      <c r="AI23">
        <v>307.4366</v>
      </c>
      <c r="AJ23">
        <v>37253.883000000002</v>
      </c>
      <c r="AK23">
        <v>3.9332843000000001E-3</v>
      </c>
      <c r="AL23">
        <v>5.7707953000000003E-4</v>
      </c>
      <c r="AM23">
        <v>5.7709134999999996E-4</v>
      </c>
      <c r="AN23">
        <v>835.22707650330756</v>
      </c>
      <c r="AO23">
        <v>147.670454476636</v>
      </c>
      <c r="AP23">
        <v>40891.215975184183</v>
      </c>
      <c r="AQ23">
        <v>1247</v>
      </c>
      <c r="AR23">
        <v>39644.215975184183</v>
      </c>
      <c r="AS23">
        <v>1.0976363450538611</v>
      </c>
      <c r="AT23">
        <v>3.3233666954537848</v>
      </c>
      <c r="AU23">
        <v>1.7713544486768671</v>
      </c>
      <c r="AV23">
        <v>21795.018114773171</v>
      </c>
      <c r="AW23">
        <v>884.2839552106899</v>
      </c>
      <c r="AZ23">
        <f t="shared" si="0"/>
        <v>153.72321765451369</v>
      </c>
      <c r="BA23">
        <f t="shared" si="1"/>
        <v>-4.0988315498381195E-2</v>
      </c>
      <c r="BB23">
        <f t="shared" si="2"/>
        <v>156.8380224282671</v>
      </c>
      <c r="BC23">
        <f t="shared" si="3"/>
        <v>-6.2081260493997911E-2</v>
      </c>
      <c r="BD23">
        <v>0.88400000000000001</v>
      </c>
      <c r="BF23">
        <v>0.72</v>
      </c>
    </row>
    <row r="24" spans="1:58" x14ac:dyDescent="0.25">
      <c r="A24" t="s">
        <v>75</v>
      </c>
      <c r="B24">
        <v>8</v>
      </c>
      <c r="C24">
        <v>0.3</v>
      </c>
      <c r="D24">
        <v>12000</v>
      </c>
      <c r="E24">
        <v>4.5968718261222836</v>
      </c>
      <c r="F24">
        <v>18456.599758336492</v>
      </c>
      <c r="G24">
        <v>28.288</v>
      </c>
      <c r="H24">
        <v>24.7</v>
      </c>
      <c r="I24">
        <v>148725</v>
      </c>
      <c r="J24">
        <v>1.8482999999999999E-5</v>
      </c>
      <c r="K24">
        <v>1007</v>
      </c>
      <c r="L24">
        <v>2.72975427E-2</v>
      </c>
      <c r="M24">
        <v>1.74</v>
      </c>
      <c r="N24">
        <v>27.729501787037758</v>
      </c>
      <c r="O24">
        <v>1360.342659468439</v>
      </c>
      <c r="P24">
        <v>1360</v>
      </c>
      <c r="Q24">
        <v>1.304</v>
      </c>
      <c r="R24">
        <v>47.67</v>
      </c>
      <c r="S24">
        <v>1.2989999999999999</v>
      </c>
      <c r="T24">
        <v>46.91</v>
      </c>
      <c r="U24">
        <v>62.161679999999997</v>
      </c>
      <c r="V24">
        <v>60.936089999999993</v>
      </c>
      <c r="W24">
        <v>123.09777</v>
      </c>
      <c r="X24">
        <v>33.393741695188233</v>
      </c>
      <c r="Y24">
        <v>9617.0132812499996</v>
      </c>
      <c r="Z24">
        <v>122.8408167495468</v>
      </c>
      <c r="AA24">
        <v>9494.1724645004524</v>
      </c>
      <c r="AB24">
        <v>2.7297542699999998E-3</v>
      </c>
      <c r="AC24">
        <v>25.179330581840119</v>
      </c>
      <c r="AD24">
        <v>298.32933058184011</v>
      </c>
      <c r="AE24">
        <v>298.03377</v>
      </c>
      <c r="AF24">
        <v>302.48840999999999</v>
      </c>
      <c r="AG24">
        <v>301.87261000000001</v>
      </c>
      <c r="AH24">
        <v>307.28379999999999</v>
      </c>
      <c r="AI24">
        <v>307.4366</v>
      </c>
      <c r="AJ24">
        <v>37253.883000000002</v>
      </c>
      <c r="AK24">
        <v>3.9332843000000001E-3</v>
      </c>
      <c r="AL24">
        <v>5.7707953000000003E-4</v>
      </c>
      <c r="AM24">
        <v>5.7709134999999996E-4</v>
      </c>
      <c r="AN24">
        <v>836.251898949066</v>
      </c>
      <c r="AO24">
        <v>168.851645916162</v>
      </c>
      <c r="AP24">
        <v>47320.084490973757</v>
      </c>
      <c r="AQ24">
        <v>1360</v>
      </c>
      <c r="AR24">
        <v>45960.084490973757</v>
      </c>
      <c r="AS24">
        <v>1.2702054304238231</v>
      </c>
      <c r="AT24">
        <v>3.326094330081693</v>
      </c>
      <c r="AU24">
        <v>1.7728082779335419</v>
      </c>
      <c r="AV24">
        <v>25221.605033689011</v>
      </c>
      <c r="AW24">
        <v>964.98666218891412</v>
      </c>
      <c r="AZ24">
        <f t="shared" si="0"/>
        <v>164.65877181753146</v>
      </c>
      <c r="BA24">
        <f t="shared" si="1"/>
        <v>2.4831704043396654E-2</v>
      </c>
      <c r="BB24">
        <f t="shared" si="2"/>
        <v>170.39982584536568</v>
      </c>
      <c r="BC24">
        <f t="shared" si="3"/>
        <v>-9.1688767426785066E-3</v>
      </c>
      <c r="BD24">
        <v>0.88400000000000001</v>
      </c>
      <c r="BF24">
        <v>0.72</v>
      </c>
    </row>
    <row r="25" spans="1:58" x14ac:dyDescent="0.25">
      <c r="A25" t="s">
        <v>75</v>
      </c>
      <c r="B25">
        <v>8</v>
      </c>
      <c r="C25">
        <v>0.3</v>
      </c>
      <c r="D25">
        <v>13000</v>
      </c>
      <c r="E25">
        <v>4.5968718261222801</v>
      </c>
      <c r="F25">
        <v>20002.614874125371</v>
      </c>
      <c r="G25">
        <v>28.288</v>
      </c>
      <c r="H25">
        <v>24.7</v>
      </c>
      <c r="I25">
        <v>155125</v>
      </c>
      <c r="J25">
        <v>1.8484000000000001E-5</v>
      </c>
      <c r="K25">
        <v>1007</v>
      </c>
      <c r="L25">
        <v>2.957393790000002E-2</v>
      </c>
      <c r="M25">
        <v>1.8149999999999999</v>
      </c>
      <c r="N25">
        <v>28.800517288527001</v>
      </c>
      <c r="O25">
        <v>1473.784280730898</v>
      </c>
      <c r="P25">
        <v>1474</v>
      </c>
      <c r="Q25">
        <v>1.304</v>
      </c>
      <c r="R25">
        <v>47.67</v>
      </c>
      <c r="S25">
        <v>1.2989999999999999</v>
      </c>
      <c r="T25">
        <v>46.91</v>
      </c>
      <c r="U25">
        <v>62.161679999999997</v>
      </c>
      <c r="V25">
        <v>60.936089999999993</v>
      </c>
      <c r="W25">
        <v>123.09777</v>
      </c>
      <c r="X25">
        <v>32.982081919971179</v>
      </c>
      <c r="Y25">
        <v>9617.0132812499996</v>
      </c>
      <c r="Z25">
        <v>114.0671119603458</v>
      </c>
      <c r="AA25">
        <v>9502.9461692896548</v>
      </c>
      <c r="AB25">
        <v>2.957393790000002E-3</v>
      </c>
      <c r="AC25">
        <v>25.193763395671329</v>
      </c>
      <c r="AD25">
        <v>298.34376339567132</v>
      </c>
      <c r="AE25">
        <v>297.99892999999997</v>
      </c>
      <c r="AF25">
        <v>301.69396999999998</v>
      </c>
      <c r="AG25">
        <v>300.72142000000002</v>
      </c>
      <c r="AH25">
        <v>306.32909000000001</v>
      </c>
      <c r="AI25">
        <v>305.91867999999999</v>
      </c>
      <c r="AJ25">
        <v>48786.694000000003</v>
      </c>
      <c r="AK25">
        <v>3.9332843000000001E-3</v>
      </c>
      <c r="AL25">
        <v>5.7707953000000003E-4</v>
      </c>
      <c r="AM25">
        <v>5.7709134999999996E-4</v>
      </c>
      <c r="AN25">
        <v>1138.2119926854971</v>
      </c>
      <c r="AO25">
        <v>185.23902466655599</v>
      </c>
      <c r="AP25">
        <v>53855.22014428801</v>
      </c>
      <c r="AQ25">
        <v>1474</v>
      </c>
      <c r="AR25">
        <v>52381.22014428801</v>
      </c>
      <c r="AS25">
        <v>1.103891568145364</v>
      </c>
      <c r="AT25">
        <v>3.3122843369481232</v>
      </c>
      <c r="AU25">
        <v>1.765447551593349</v>
      </c>
      <c r="AV25">
        <v>28704.832336905511</v>
      </c>
      <c r="AW25">
        <v>1045.4587775735299</v>
      </c>
      <c r="AZ25">
        <f t="shared" si="0"/>
        <v>175.40419799051611</v>
      </c>
      <c r="BA25">
        <f t="shared" si="1"/>
        <v>5.3092628260936379E-2</v>
      </c>
      <c r="BB25">
        <f t="shared" si="2"/>
        <v>183.90871102374504</v>
      </c>
      <c r="BC25">
        <f t="shared" si="3"/>
        <v>7.1816057399655018E-3</v>
      </c>
      <c r="BD25">
        <v>0.88400000000000001</v>
      </c>
      <c r="BF25">
        <v>0.72</v>
      </c>
    </row>
    <row r="26" spans="1:58" x14ac:dyDescent="0.25">
      <c r="A26" t="s">
        <v>75</v>
      </c>
      <c r="B26">
        <v>8</v>
      </c>
      <c r="C26">
        <v>0.3</v>
      </c>
      <c r="D26">
        <v>14000</v>
      </c>
      <c r="E26">
        <v>4.5968718261222801</v>
      </c>
      <c r="F26">
        <v>21534.89315661346</v>
      </c>
      <c r="G26">
        <v>28.288</v>
      </c>
      <c r="H26">
        <v>24.7</v>
      </c>
      <c r="I26">
        <v>161825</v>
      </c>
      <c r="J26">
        <v>1.8485E-5</v>
      </c>
      <c r="K26">
        <v>1007</v>
      </c>
      <c r="L26">
        <v>3.1850579250000018E-2</v>
      </c>
      <c r="M26">
        <v>1.893</v>
      </c>
      <c r="N26">
        <v>29.739556115364909</v>
      </c>
      <c r="O26">
        <v>1587.2381686046519</v>
      </c>
      <c r="P26">
        <v>1587</v>
      </c>
      <c r="Q26">
        <v>1.401</v>
      </c>
      <c r="R26">
        <v>51.19</v>
      </c>
      <c r="S26">
        <v>1.3959999999999999</v>
      </c>
      <c r="T26">
        <v>51.26</v>
      </c>
      <c r="U26">
        <v>71.717190000000002</v>
      </c>
      <c r="V26">
        <v>71.558959999999999</v>
      </c>
      <c r="W26">
        <v>143.27615</v>
      </c>
      <c r="X26">
        <v>33.868647215828403</v>
      </c>
      <c r="Y26">
        <v>11193.44921875</v>
      </c>
      <c r="Z26">
        <v>132.96247811095051</v>
      </c>
      <c r="AA26">
        <v>11060.486740639049</v>
      </c>
      <c r="AB26">
        <v>3.1850579250000031E-3</v>
      </c>
      <c r="AC26">
        <v>25.21685550222832</v>
      </c>
      <c r="AD26">
        <v>298.3668555022283</v>
      </c>
      <c r="AE26">
        <v>298.00065999999998</v>
      </c>
      <c r="AF26">
        <v>301.50718000000001</v>
      </c>
      <c r="AG26">
        <v>300.98676999999998</v>
      </c>
      <c r="AH26">
        <v>307.21622000000002</v>
      </c>
      <c r="AI26">
        <v>307.00792999999999</v>
      </c>
      <c r="AJ26">
        <v>55168.767999999996</v>
      </c>
      <c r="AK26">
        <v>3.9332843000000001E-3</v>
      </c>
      <c r="AL26">
        <v>5.7707953000000003E-4</v>
      </c>
      <c r="AM26">
        <v>5.7709134999999996E-4</v>
      </c>
      <c r="AN26">
        <v>1061.1395449143699</v>
      </c>
      <c r="AO26">
        <v>201.612402984657</v>
      </c>
      <c r="AP26">
        <v>60902.083647583138</v>
      </c>
      <c r="AQ26">
        <v>1587</v>
      </c>
      <c r="AR26">
        <v>59315.083647583138</v>
      </c>
      <c r="AS26">
        <v>1.1039232133583829</v>
      </c>
      <c r="AT26">
        <v>3.317588607849884</v>
      </c>
      <c r="AU26">
        <v>1.7682747279839881</v>
      </c>
      <c r="AV26">
        <v>32460.81058416182</v>
      </c>
      <c r="AW26">
        <v>1125.9395945277161</v>
      </c>
      <c r="AZ26">
        <f t="shared" si="0"/>
        <v>185.97708921632474</v>
      </c>
      <c r="BA26">
        <f t="shared" si="1"/>
        <v>7.7551348711032045E-2</v>
      </c>
      <c r="BB26">
        <f t="shared" si="2"/>
        <v>197.36894043482675</v>
      </c>
      <c r="BC26">
        <f t="shared" si="3"/>
        <v>2.1047626470446737E-2</v>
      </c>
      <c r="BD26">
        <v>0.88400000000000001</v>
      </c>
      <c r="BF26">
        <v>0.72</v>
      </c>
    </row>
    <row r="27" spans="1:58" x14ac:dyDescent="0.25">
      <c r="A27" t="s">
        <v>75</v>
      </c>
      <c r="B27">
        <v>8</v>
      </c>
      <c r="C27">
        <v>0.3</v>
      </c>
      <c r="D27">
        <v>15000</v>
      </c>
      <c r="E27">
        <v>4.5968718261222801</v>
      </c>
      <c r="F27">
        <v>23080.57448880234</v>
      </c>
      <c r="G27">
        <v>28.288</v>
      </c>
      <c r="H27">
        <v>24.7</v>
      </c>
      <c r="I27">
        <v>170325</v>
      </c>
      <c r="J27">
        <v>1.8485999999999999E-5</v>
      </c>
      <c r="K27">
        <v>1007</v>
      </c>
      <c r="L27">
        <v>3.4127466750000023E-2</v>
      </c>
      <c r="M27">
        <v>1.9330000000000001</v>
      </c>
      <c r="N27">
        <v>31.206133291553829</v>
      </c>
      <c r="O27">
        <v>1700.704323089702</v>
      </c>
      <c r="P27">
        <v>1701</v>
      </c>
      <c r="Q27">
        <v>1.401</v>
      </c>
      <c r="R27">
        <v>51.19</v>
      </c>
      <c r="S27">
        <v>1.3959999999999999</v>
      </c>
      <c r="T27">
        <v>51.26</v>
      </c>
      <c r="U27">
        <v>71.717190000000002</v>
      </c>
      <c r="V27">
        <v>71.558959999999999</v>
      </c>
      <c r="W27">
        <v>143.27615</v>
      </c>
      <c r="X27">
        <v>33.46530542857144</v>
      </c>
      <c r="Y27">
        <v>11193.44921875</v>
      </c>
      <c r="Z27">
        <v>124.3660545991431</v>
      </c>
      <c r="AA27">
        <v>11069.083164150859</v>
      </c>
      <c r="AB27">
        <v>3.412746675000002E-3</v>
      </c>
      <c r="AC27">
        <v>25.25580600000001</v>
      </c>
      <c r="AD27">
        <v>298.40580599999998</v>
      </c>
      <c r="AE27">
        <v>298.01724999999999</v>
      </c>
      <c r="AF27">
        <v>301.36320000000001</v>
      </c>
      <c r="AG27">
        <v>300.51431000000002</v>
      </c>
      <c r="AH27">
        <v>306.7953</v>
      </c>
      <c r="AI27">
        <v>306.24995000000001</v>
      </c>
      <c r="AJ27">
        <v>61606.968000000001</v>
      </c>
      <c r="AK27">
        <v>3.9332843000000001E-3</v>
      </c>
      <c r="AL27">
        <v>5.7707953000000003E-4</v>
      </c>
      <c r="AM27">
        <v>5.7709134999999996E-4</v>
      </c>
      <c r="AN27">
        <v>1273.324406163496</v>
      </c>
      <c r="AO27">
        <v>225.12727262334079</v>
      </c>
      <c r="AP27">
        <v>68631.650666666668</v>
      </c>
      <c r="AQ27">
        <v>1701</v>
      </c>
      <c r="AR27">
        <v>66930.650666666668</v>
      </c>
      <c r="AS27">
        <v>1.1140241582196779</v>
      </c>
      <c r="AT27">
        <v>3.3029640733264229</v>
      </c>
      <c r="AU27">
        <v>1.760479851082984</v>
      </c>
      <c r="AV27">
        <v>36580.669805333338</v>
      </c>
      <c r="AW27">
        <v>1206.4291130514709</v>
      </c>
      <c r="AZ27">
        <f t="shared" si="0"/>
        <v>196.39227453210438</v>
      </c>
      <c r="BA27">
        <f t="shared" si="1"/>
        <v>0.12763890290321589</v>
      </c>
      <c r="BB27">
        <f t="shared" si="2"/>
        <v>210.78415269236447</v>
      </c>
      <c r="BC27">
        <f t="shared" si="3"/>
        <v>6.3711161086083559E-2</v>
      </c>
      <c r="BD27">
        <v>0.88400000000000001</v>
      </c>
      <c r="BF27">
        <v>0.72</v>
      </c>
    </row>
    <row r="28" spans="1:58" x14ac:dyDescent="0.25">
      <c r="A28" t="s">
        <v>75</v>
      </c>
      <c r="B28">
        <v>8</v>
      </c>
      <c r="C28">
        <v>0.3</v>
      </c>
      <c r="D28">
        <v>16000</v>
      </c>
      <c r="E28">
        <v>4.5968718261222801</v>
      </c>
      <c r="F28">
        <v>24619.43002379407</v>
      </c>
      <c r="G28">
        <v>28.288</v>
      </c>
      <c r="H28">
        <v>24.8</v>
      </c>
      <c r="I28">
        <v>177325</v>
      </c>
      <c r="J28">
        <v>1.8491999999999998E-5</v>
      </c>
      <c r="K28">
        <v>1007</v>
      </c>
      <c r="L28">
        <v>3.6414446400000022E-2</v>
      </c>
      <c r="M28">
        <v>2.0739999999999998</v>
      </c>
      <c r="N28">
        <v>31.033640210405071</v>
      </c>
      <c r="O28">
        <v>1814.673408637874</v>
      </c>
      <c r="P28">
        <v>1815</v>
      </c>
      <c r="Q28">
        <v>1.401</v>
      </c>
      <c r="R28">
        <v>51.19</v>
      </c>
      <c r="S28">
        <v>1.3959999999999999</v>
      </c>
      <c r="T28">
        <v>51.26</v>
      </c>
      <c r="U28">
        <v>71.717190000000002</v>
      </c>
      <c r="V28">
        <v>71.558959999999999</v>
      </c>
      <c r="W28">
        <v>143.27615</v>
      </c>
      <c r="X28">
        <v>33.228794960183848</v>
      </c>
      <c r="Y28">
        <v>11193.44921875</v>
      </c>
      <c r="Z28">
        <v>119.3253069863983</v>
      </c>
      <c r="AA28">
        <v>11074.1239117636</v>
      </c>
      <c r="AB28">
        <v>3.641444640000002E-3</v>
      </c>
      <c r="AC28">
        <v>25.257615974560409</v>
      </c>
      <c r="AD28">
        <v>298.40761597456037</v>
      </c>
      <c r="AE28">
        <v>298.00628</v>
      </c>
      <c r="AF28">
        <v>301.02472999999998</v>
      </c>
      <c r="AG28">
        <v>300.03356000000002</v>
      </c>
      <c r="AH28">
        <v>306.00882000000001</v>
      </c>
      <c r="AI28">
        <v>305.67953</v>
      </c>
      <c r="AJ28">
        <v>69801.048999999999</v>
      </c>
      <c r="AK28">
        <v>3.9332843000000001E-3</v>
      </c>
      <c r="AL28">
        <v>5.7707953000000003E-4</v>
      </c>
      <c r="AM28">
        <v>5.7709134999999996E-4</v>
      </c>
      <c r="AN28">
        <v>1517.3244282338969</v>
      </c>
      <c r="AO28">
        <v>268.26715058598069</v>
      </c>
      <c r="AP28">
        <v>75673.698528494817</v>
      </c>
      <c r="AQ28">
        <v>1815</v>
      </c>
      <c r="AR28">
        <v>73858.698528494817</v>
      </c>
      <c r="AS28">
        <v>1.0841341156419411</v>
      </c>
      <c r="AT28">
        <v>3.345856363100888</v>
      </c>
      <c r="AU28">
        <v>1.7833414415327731</v>
      </c>
      <c r="AV28">
        <v>40334.081315687741</v>
      </c>
      <c r="AW28">
        <v>1287.2753959276019</v>
      </c>
      <c r="AZ28">
        <f t="shared" si="0"/>
        <v>206.66240821861035</v>
      </c>
      <c r="BA28">
        <f t="shared" si="1"/>
        <v>0.22963952997154519</v>
      </c>
      <c r="BB28">
        <f t="shared" si="2"/>
        <v>224.15748949120055</v>
      </c>
      <c r="BC28">
        <f t="shared" si="3"/>
        <v>0.16442438441840762</v>
      </c>
      <c r="BD28">
        <v>0.88400000000000001</v>
      </c>
      <c r="BF28">
        <v>0.72</v>
      </c>
    </row>
    <row r="29" spans="1:58" x14ac:dyDescent="0.25">
      <c r="A29" t="s">
        <v>75</v>
      </c>
      <c r="B29">
        <v>8</v>
      </c>
      <c r="C29">
        <v>0.3</v>
      </c>
      <c r="D29" t="s">
        <v>51</v>
      </c>
      <c r="E29">
        <v>1.204</v>
      </c>
    </row>
    <row r="30" spans="1:58" x14ac:dyDescent="0.25">
      <c r="A30" t="s">
        <v>76</v>
      </c>
    </row>
    <row r="31" spans="1:58" x14ac:dyDescent="0.25">
      <c r="A31" t="s">
        <v>77</v>
      </c>
      <c r="B31">
        <v>8</v>
      </c>
      <c r="C31">
        <v>0.4</v>
      </c>
      <c r="D31">
        <v>400</v>
      </c>
      <c r="E31">
        <v>4.4173984071880739</v>
      </c>
      <c r="F31">
        <v>0</v>
      </c>
      <c r="G31">
        <v>27.04</v>
      </c>
      <c r="H31">
        <v>25.2</v>
      </c>
      <c r="I31">
        <v>101395</v>
      </c>
      <c r="J31">
        <v>1.8499999999999999E-5</v>
      </c>
      <c r="K31">
        <v>1007</v>
      </c>
      <c r="L31">
        <v>9.0594500000000001E-4</v>
      </c>
      <c r="M31">
        <v>1.1850000000000001</v>
      </c>
      <c r="N31">
        <v>1.4136659551094799</v>
      </c>
      <c r="O31">
        <v>45.146760797342203</v>
      </c>
      <c r="P31">
        <v>45</v>
      </c>
      <c r="Q31">
        <v>0.59899999999999998</v>
      </c>
      <c r="R31">
        <v>21.69</v>
      </c>
      <c r="S31">
        <v>0.59799999999999998</v>
      </c>
      <c r="T31">
        <v>21.56</v>
      </c>
      <c r="U31">
        <v>12.99231</v>
      </c>
      <c r="V31">
        <v>12.89288</v>
      </c>
      <c r="W31">
        <v>25.885190000000001</v>
      </c>
      <c r="X31">
        <v>43.176819290621047</v>
      </c>
      <c r="Y31">
        <v>2022.28046875</v>
      </c>
      <c r="Z31">
        <v>331.34754954100629</v>
      </c>
      <c r="AA31">
        <v>1690.932919208994</v>
      </c>
      <c r="AB31">
        <v>9.0594500000000001E-5</v>
      </c>
      <c r="AC31">
        <v>25.798845927379801</v>
      </c>
      <c r="AD31">
        <v>298.94884592737981</v>
      </c>
      <c r="AE31">
        <v>298.94927999999999</v>
      </c>
      <c r="AF31">
        <v>322.46992999999998</v>
      </c>
      <c r="AG31">
        <v>316.40467000000001</v>
      </c>
      <c r="AH31">
        <v>317.76711</v>
      </c>
      <c r="AI31">
        <v>317.67725999999999</v>
      </c>
      <c r="AJ31">
        <v>110.01208</v>
      </c>
      <c r="AK31">
        <v>3.9153694000000003E-3</v>
      </c>
      <c r="AL31">
        <v>5.5608716000000004E-4</v>
      </c>
      <c r="AM31">
        <v>5.5606958999999999E-4</v>
      </c>
      <c r="AN31">
        <v>71.913060116031843</v>
      </c>
      <c r="AO31">
        <v>12.21802450817613</v>
      </c>
      <c r="AP31">
        <v>79.011449133137063</v>
      </c>
      <c r="AQ31">
        <v>45</v>
      </c>
      <c r="AR31">
        <v>34.011449133137063</v>
      </c>
      <c r="AS31">
        <v>0.71820702902024092</v>
      </c>
      <c r="AT31">
        <v>1.590745130270621</v>
      </c>
      <c r="AU31">
        <v>0.80968927130774615</v>
      </c>
      <c r="AV31">
        <v>17.31182760876677</v>
      </c>
      <c r="AW31">
        <v>33.503883136094679</v>
      </c>
      <c r="AZ31">
        <f t="shared" si="0"/>
        <v>11.111890182016548</v>
      </c>
      <c r="BA31">
        <f t="shared" si="1"/>
        <v>9.0532992908908677E-2</v>
      </c>
      <c r="BB31">
        <f t="shared" si="2"/>
        <v>7.0248245707471195</v>
      </c>
      <c r="BC31">
        <f t="shared" si="3"/>
        <v>0.42504415783040822</v>
      </c>
      <c r="BD31">
        <v>0.84499999999999997</v>
      </c>
      <c r="BF31">
        <v>0.72</v>
      </c>
    </row>
    <row r="32" spans="1:58" x14ac:dyDescent="0.25">
      <c r="A32" t="s">
        <v>77</v>
      </c>
      <c r="B32">
        <v>8</v>
      </c>
      <c r="C32">
        <v>0.4</v>
      </c>
      <c r="D32">
        <v>600</v>
      </c>
      <c r="E32">
        <v>4.4173984071880739</v>
      </c>
      <c r="F32">
        <v>0</v>
      </c>
      <c r="G32">
        <v>27.04</v>
      </c>
      <c r="H32">
        <v>25.2</v>
      </c>
      <c r="I32">
        <v>101525</v>
      </c>
      <c r="J32">
        <v>1.8499999999999999E-5</v>
      </c>
      <c r="K32">
        <v>1007</v>
      </c>
      <c r="L32">
        <v>1.3589175E-3</v>
      </c>
      <c r="M32">
        <v>1.1859999999999999</v>
      </c>
      <c r="N32">
        <v>2.1187109908997481</v>
      </c>
      <c r="O32">
        <v>67.720141196013302</v>
      </c>
      <c r="P32">
        <v>68</v>
      </c>
      <c r="Q32">
        <v>0.6</v>
      </c>
      <c r="R32">
        <v>21.94</v>
      </c>
      <c r="S32">
        <v>0.60899999999999999</v>
      </c>
      <c r="T32">
        <v>22.24</v>
      </c>
      <c r="U32">
        <v>13.164</v>
      </c>
      <c r="V32">
        <v>13.54416</v>
      </c>
      <c r="W32">
        <v>26.708159999999999</v>
      </c>
      <c r="X32">
        <v>38.590494055934073</v>
      </c>
      <c r="Y32">
        <v>2086.5749999999998</v>
      </c>
      <c r="Z32">
        <v>233.59919981412281</v>
      </c>
      <c r="AA32">
        <v>1852.975800185877</v>
      </c>
      <c r="AB32">
        <v>1.3589175E-4</v>
      </c>
      <c r="AC32">
        <v>25.818720814208781</v>
      </c>
      <c r="AD32">
        <v>298.96872081420878</v>
      </c>
      <c r="AE32">
        <v>298.96841000000001</v>
      </c>
      <c r="AF32">
        <v>316.28982000000002</v>
      </c>
      <c r="AG32">
        <v>311.90042</v>
      </c>
      <c r="AH32">
        <v>313.30592999999999</v>
      </c>
      <c r="AI32">
        <v>313.33940999999999</v>
      </c>
      <c r="AJ32">
        <v>217.03398999999999</v>
      </c>
      <c r="AK32">
        <v>3.9153694000000003E-3</v>
      </c>
      <c r="AL32">
        <v>5.5608716000000004E-4</v>
      </c>
      <c r="AM32">
        <v>5.5606958999999999E-4</v>
      </c>
      <c r="AN32">
        <v>102.8722760840822</v>
      </c>
      <c r="AO32">
        <v>17.477993404524479</v>
      </c>
      <c r="AP32">
        <v>218.71762123328679</v>
      </c>
      <c r="AQ32">
        <v>68</v>
      </c>
      <c r="AR32">
        <v>150.71762123328679</v>
      </c>
      <c r="AS32">
        <v>1.007757454181655</v>
      </c>
      <c r="AT32">
        <v>3.1342933951855132</v>
      </c>
      <c r="AU32">
        <v>1.5953553381494261</v>
      </c>
      <c r="AV32">
        <v>76.715269207742963</v>
      </c>
      <c r="AW32">
        <v>50.255824704142007</v>
      </c>
      <c r="AZ32">
        <f t="shared" si="0"/>
        <v>15.306109538874145</v>
      </c>
      <c r="BA32">
        <f t="shared" si="1"/>
        <v>0.12426391379047581</v>
      </c>
      <c r="BB32">
        <f t="shared" si="2"/>
        <v>10.338918356444639</v>
      </c>
      <c r="BC32">
        <f t="shared" si="3"/>
        <v>0.40846079311551681</v>
      </c>
      <c r="BD32">
        <v>0.84499999999999997</v>
      </c>
      <c r="BF32">
        <v>0.72</v>
      </c>
    </row>
    <row r="33" spans="1:58" x14ac:dyDescent="0.25">
      <c r="A33" t="s">
        <v>77</v>
      </c>
      <c r="B33">
        <v>8</v>
      </c>
      <c r="C33">
        <v>0.4</v>
      </c>
      <c r="D33">
        <v>800</v>
      </c>
      <c r="E33">
        <v>4.4173984071880739</v>
      </c>
      <c r="F33">
        <v>0</v>
      </c>
      <c r="G33">
        <v>27.04</v>
      </c>
      <c r="H33">
        <v>25.5</v>
      </c>
      <c r="I33">
        <v>101715</v>
      </c>
      <c r="J33">
        <v>1.8513999999999999E-5</v>
      </c>
      <c r="K33">
        <v>1007</v>
      </c>
      <c r="L33">
        <v>1.8132611600000001E-3</v>
      </c>
      <c r="M33">
        <v>1.1870000000000001</v>
      </c>
      <c r="N33">
        <v>2.824704079699706</v>
      </c>
      <c r="O33">
        <v>90.361851827242546</v>
      </c>
      <c r="P33">
        <v>90</v>
      </c>
      <c r="Q33">
        <v>0.6</v>
      </c>
      <c r="R33">
        <v>21.94</v>
      </c>
      <c r="S33">
        <v>0.60899999999999999</v>
      </c>
      <c r="T33">
        <v>22.24</v>
      </c>
      <c r="U33">
        <v>13.164</v>
      </c>
      <c r="V33">
        <v>13.54416</v>
      </c>
      <c r="W33">
        <v>26.708159999999999</v>
      </c>
      <c r="X33">
        <v>36.192162100063172</v>
      </c>
      <c r="Y33">
        <v>2086.5749999999998</v>
      </c>
      <c r="Z33">
        <v>182.48355083864641</v>
      </c>
      <c r="AA33">
        <v>1904.091449161353</v>
      </c>
      <c r="AB33">
        <v>1.8132611599999999E-4</v>
      </c>
      <c r="AC33">
        <v>25.909347607559301</v>
      </c>
      <c r="AD33">
        <v>299.05934760755929</v>
      </c>
      <c r="AE33">
        <v>299.05716000000001</v>
      </c>
      <c r="AF33">
        <v>312.45012000000003</v>
      </c>
      <c r="AG33">
        <v>309.12304999999998</v>
      </c>
      <c r="AH33">
        <v>310.59548999999998</v>
      </c>
      <c r="AI33">
        <v>310.48665999999997</v>
      </c>
      <c r="AJ33">
        <v>360.11941999999999</v>
      </c>
      <c r="AK33">
        <v>3.9153694000000003E-3</v>
      </c>
      <c r="AL33">
        <v>5.5608716000000004E-4</v>
      </c>
      <c r="AM33">
        <v>5.5606958999999999E-4</v>
      </c>
      <c r="AN33">
        <v>131.62256124519149</v>
      </c>
      <c r="AO33">
        <v>22.362665092097071</v>
      </c>
      <c r="AP33">
        <v>400.85095831657952</v>
      </c>
      <c r="AQ33">
        <v>91</v>
      </c>
      <c r="AR33">
        <v>309.85095831657952</v>
      </c>
      <c r="AS33">
        <v>1.113105642335477</v>
      </c>
      <c r="AT33">
        <v>3.6205663998669939</v>
      </c>
      <c r="AU33">
        <v>1.8428682975323001</v>
      </c>
      <c r="AV33">
        <v>157.71413778313891</v>
      </c>
      <c r="AW33">
        <v>67.058474852071029</v>
      </c>
      <c r="AZ33">
        <f t="shared" si="0"/>
        <v>19.210622202787381</v>
      </c>
      <c r="BA33">
        <f t="shared" si="1"/>
        <v>0.14095112887164854</v>
      </c>
      <c r="BB33">
        <f t="shared" si="2"/>
        <v>13.600635865310334</v>
      </c>
      <c r="BC33">
        <f t="shared" si="3"/>
        <v>0.39181507171447216</v>
      </c>
      <c r="BD33">
        <v>0.84499999999999997</v>
      </c>
      <c r="BF33">
        <v>0.72</v>
      </c>
    </row>
    <row r="34" spans="1:58" x14ac:dyDescent="0.25">
      <c r="A34" t="s">
        <v>77</v>
      </c>
      <c r="B34">
        <v>8</v>
      </c>
      <c r="C34">
        <v>0.4</v>
      </c>
      <c r="D34">
        <v>1000</v>
      </c>
      <c r="E34">
        <v>4.4173984071880739</v>
      </c>
      <c r="F34">
        <v>0</v>
      </c>
      <c r="G34">
        <v>27.04</v>
      </c>
      <c r="H34">
        <v>25.3</v>
      </c>
      <c r="I34">
        <v>101945</v>
      </c>
      <c r="J34">
        <v>1.8505E-5</v>
      </c>
      <c r="K34">
        <v>1007</v>
      </c>
      <c r="L34">
        <v>2.2654746250000001E-3</v>
      </c>
      <c r="M34">
        <v>1.19</v>
      </c>
      <c r="N34">
        <v>3.5202666218114471</v>
      </c>
      <c r="O34">
        <v>112.89740656146181</v>
      </c>
      <c r="P34">
        <v>113</v>
      </c>
      <c r="Q34">
        <v>0.6</v>
      </c>
      <c r="R34">
        <v>21.94</v>
      </c>
      <c r="S34">
        <v>0.60899999999999999</v>
      </c>
      <c r="T34">
        <v>22.24</v>
      </c>
      <c r="U34">
        <v>13.164</v>
      </c>
      <c r="V34">
        <v>13.54416</v>
      </c>
      <c r="W34">
        <v>26.708159999999999</v>
      </c>
      <c r="X34">
        <v>34.670748280712708</v>
      </c>
      <c r="Y34">
        <v>2086.5749999999998</v>
      </c>
      <c r="Z34">
        <v>150.0576581068301</v>
      </c>
      <c r="AA34">
        <v>1936.5173418931699</v>
      </c>
      <c r="AB34">
        <v>2.2654746250000009E-4</v>
      </c>
      <c r="AC34">
        <v>25.89277078774618</v>
      </c>
      <c r="AD34">
        <v>299.04277078774618</v>
      </c>
      <c r="AE34">
        <v>299.03557999999998</v>
      </c>
      <c r="AF34">
        <v>309.96307000000002</v>
      </c>
      <c r="AG34">
        <v>307.43441999999999</v>
      </c>
      <c r="AH34">
        <v>308.75394999999997</v>
      </c>
      <c r="AI34">
        <v>308.88243999999997</v>
      </c>
      <c r="AJ34">
        <v>547.76220000000001</v>
      </c>
      <c r="AK34">
        <v>3.9153694000000003E-3</v>
      </c>
      <c r="AL34">
        <v>5.5608716000000004E-4</v>
      </c>
      <c r="AM34">
        <v>5.5606958999999999E-4</v>
      </c>
      <c r="AN34">
        <v>152.11449050207281</v>
      </c>
      <c r="AO34">
        <v>25.84424261746468</v>
      </c>
      <c r="AP34">
        <v>619.94152686603445</v>
      </c>
      <c r="AQ34">
        <v>113</v>
      </c>
      <c r="AR34">
        <v>506.94152686603451</v>
      </c>
      <c r="AS34">
        <v>1.1317712811618521</v>
      </c>
      <c r="AT34">
        <v>3.7995413091150469</v>
      </c>
      <c r="AU34">
        <v>1.9339665263395589</v>
      </c>
      <c r="AV34">
        <v>258.03323717481152</v>
      </c>
      <c r="AW34">
        <v>83.782345599112446</v>
      </c>
      <c r="AZ34">
        <f t="shared" si="0"/>
        <v>22.91294747274836</v>
      </c>
      <c r="BA34">
        <f t="shared" si="1"/>
        <v>0.11342159211643708</v>
      </c>
      <c r="BB34">
        <f t="shared" si="2"/>
        <v>16.823952094577695</v>
      </c>
      <c r="BC34">
        <f t="shared" si="3"/>
        <v>0.34902514484179048</v>
      </c>
      <c r="BD34">
        <v>0.84499999999999997</v>
      </c>
      <c r="BF34">
        <v>0.72</v>
      </c>
    </row>
    <row r="35" spans="1:58" x14ac:dyDescent="0.25">
      <c r="A35" t="s">
        <v>77</v>
      </c>
      <c r="B35">
        <v>8</v>
      </c>
      <c r="C35">
        <v>0.4</v>
      </c>
      <c r="D35">
        <v>1200</v>
      </c>
      <c r="E35">
        <v>4.4173984071880739</v>
      </c>
      <c r="F35">
        <v>0</v>
      </c>
      <c r="G35">
        <v>27.04</v>
      </c>
      <c r="H35">
        <v>25.3</v>
      </c>
      <c r="I35">
        <v>102225</v>
      </c>
      <c r="J35">
        <v>1.8505E-5</v>
      </c>
      <c r="K35">
        <v>1007</v>
      </c>
      <c r="L35">
        <v>2.7185695500000009E-3</v>
      </c>
      <c r="M35">
        <v>1.1930000000000001</v>
      </c>
      <c r="N35">
        <v>4.2136971801733001</v>
      </c>
      <c r="O35">
        <v>135.47688787375421</v>
      </c>
      <c r="P35">
        <v>135</v>
      </c>
      <c r="Q35">
        <v>0.6</v>
      </c>
      <c r="R35">
        <v>21.94</v>
      </c>
      <c r="S35">
        <v>0.60899999999999999</v>
      </c>
      <c r="T35">
        <v>22.24</v>
      </c>
      <c r="U35">
        <v>13.164</v>
      </c>
      <c r="V35">
        <v>13.54416</v>
      </c>
      <c r="W35">
        <v>26.708159999999999</v>
      </c>
      <c r="X35">
        <v>33.534310235402721</v>
      </c>
      <c r="Y35">
        <v>2086.5749999999998</v>
      </c>
      <c r="Z35">
        <v>125.8367540471381</v>
      </c>
      <c r="AA35">
        <v>1960.7382459528619</v>
      </c>
      <c r="AB35">
        <v>2.7185695499999999E-4</v>
      </c>
      <c r="AC35">
        <v>25.907809975767361</v>
      </c>
      <c r="AD35">
        <v>299.05780997576733</v>
      </c>
      <c r="AE35">
        <v>299.05365</v>
      </c>
      <c r="AF35">
        <v>308.21645000000001</v>
      </c>
      <c r="AG35">
        <v>306.28840000000002</v>
      </c>
      <c r="AH35">
        <v>307.65183000000002</v>
      </c>
      <c r="AI35">
        <v>307.71769</v>
      </c>
      <c r="AJ35">
        <v>733.70135000000005</v>
      </c>
      <c r="AK35">
        <v>3.9153694000000003E-3</v>
      </c>
      <c r="AL35">
        <v>5.5608716000000004E-4</v>
      </c>
      <c r="AM35">
        <v>5.5606958999999999E-4</v>
      </c>
      <c r="AN35">
        <v>168.52117661970729</v>
      </c>
      <c r="AO35">
        <v>28.631737583744439</v>
      </c>
      <c r="AP35">
        <v>897.09067043618745</v>
      </c>
      <c r="AQ35">
        <v>136</v>
      </c>
      <c r="AR35">
        <v>761.09067043618745</v>
      </c>
      <c r="AS35">
        <v>1.222691862889699</v>
      </c>
      <c r="AT35">
        <v>3.966375569918168</v>
      </c>
      <c r="AU35">
        <v>2.0188851650883479</v>
      </c>
      <c r="AV35">
        <v>387.39515125201939</v>
      </c>
      <c r="AW35">
        <v>100.5388147189349</v>
      </c>
      <c r="AZ35">
        <f t="shared" si="0"/>
        <v>26.461734496050422</v>
      </c>
      <c r="BA35">
        <f t="shared" si="1"/>
        <v>7.5790129095274605E-2</v>
      </c>
      <c r="BB35">
        <f t="shared" si="2"/>
        <v>20.016992935699943</v>
      </c>
      <c r="BC35">
        <f t="shared" si="3"/>
        <v>0.30088095851142072</v>
      </c>
      <c r="BD35">
        <v>0.84499999999999997</v>
      </c>
      <c r="BF35">
        <v>0.72</v>
      </c>
    </row>
    <row r="36" spans="1:58" x14ac:dyDescent="0.25">
      <c r="A36" t="s">
        <v>77</v>
      </c>
      <c r="B36">
        <v>8</v>
      </c>
      <c r="C36">
        <v>0.4</v>
      </c>
      <c r="D36">
        <v>1400</v>
      </c>
      <c r="E36">
        <v>4.4173984071880739</v>
      </c>
      <c r="F36">
        <v>0</v>
      </c>
      <c r="G36">
        <v>27.04</v>
      </c>
      <c r="H36">
        <v>25.1</v>
      </c>
      <c r="I36">
        <v>102405</v>
      </c>
      <c r="J36">
        <v>1.8495000000000002E-5</v>
      </c>
      <c r="K36">
        <v>1007</v>
      </c>
      <c r="L36">
        <v>3.169950525E-3</v>
      </c>
      <c r="M36">
        <v>1.196</v>
      </c>
      <c r="N36">
        <v>4.900999085029488</v>
      </c>
      <c r="O36">
        <v>157.97095639534879</v>
      </c>
      <c r="P36">
        <v>158</v>
      </c>
      <c r="Q36">
        <v>0.6</v>
      </c>
      <c r="R36">
        <v>21.94</v>
      </c>
      <c r="S36">
        <v>0.60899999999999999</v>
      </c>
      <c r="T36">
        <v>22.24</v>
      </c>
      <c r="U36">
        <v>13.164</v>
      </c>
      <c r="V36">
        <v>13.54416</v>
      </c>
      <c r="W36">
        <v>26.708159999999999</v>
      </c>
      <c r="X36">
        <v>32.709609538932689</v>
      </c>
      <c r="Y36">
        <v>2086.5749999999998</v>
      </c>
      <c r="Z36">
        <v>108.25990810327229</v>
      </c>
      <c r="AA36">
        <v>1978.3150918967281</v>
      </c>
      <c r="AB36">
        <v>3.1699505249999999E-4</v>
      </c>
      <c r="AC36">
        <v>25.968601627630019</v>
      </c>
      <c r="AD36">
        <v>299.11860162763003</v>
      </c>
      <c r="AE36">
        <v>299.11142000000001</v>
      </c>
      <c r="AF36">
        <v>307.01540999999997</v>
      </c>
      <c r="AG36">
        <v>305.44655</v>
      </c>
      <c r="AH36">
        <v>306.78053999999997</v>
      </c>
      <c r="AI36">
        <v>306.87225999999998</v>
      </c>
      <c r="AJ36">
        <v>940.77287000000001</v>
      </c>
      <c r="AK36">
        <v>3.9153694000000003E-3</v>
      </c>
      <c r="AL36">
        <v>5.5608716000000004E-4</v>
      </c>
      <c r="AM36">
        <v>5.5606958999999999E-4</v>
      </c>
      <c r="AN36">
        <v>187.353165478455</v>
      </c>
      <c r="AO36">
        <v>31.831291337160408</v>
      </c>
      <c r="AP36">
        <v>1204.8945348683339</v>
      </c>
      <c r="AQ36">
        <v>159</v>
      </c>
      <c r="AR36">
        <v>1045.8945348683339</v>
      </c>
      <c r="AS36">
        <v>1.2807496615716969</v>
      </c>
      <c r="AT36">
        <v>4.0139059954202008</v>
      </c>
      <c r="AU36">
        <v>2.0430781516688818</v>
      </c>
      <c r="AV36">
        <v>532.36031824798204</v>
      </c>
      <c r="AW36">
        <v>117.2318981139053</v>
      </c>
      <c r="AZ36">
        <f t="shared" si="0"/>
        <v>29.887726617105066</v>
      </c>
      <c r="BA36">
        <f t="shared" si="1"/>
        <v>6.1058305786871749E-2</v>
      </c>
      <c r="BB36">
        <f t="shared" si="2"/>
        <v>23.18507467252758</v>
      </c>
      <c r="BC36">
        <f t="shared" si="3"/>
        <v>0.27162632433133754</v>
      </c>
      <c r="BD36">
        <v>0.84499999999999997</v>
      </c>
      <c r="BF36">
        <v>0.72</v>
      </c>
    </row>
    <row r="37" spans="1:58" x14ac:dyDescent="0.25">
      <c r="A37" t="s">
        <v>77</v>
      </c>
      <c r="B37">
        <v>8</v>
      </c>
      <c r="C37">
        <v>0.4</v>
      </c>
      <c r="D37">
        <v>1600</v>
      </c>
      <c r="E37">
        <v>4.4173984071880739</v>
      </c>
      <c r="F37">
        <v>0</v>
      </c>
      <c r="G37">
        <v>27.04</v>
      </c>
      <c r="H37">
        <v>25.5</v>
      </c>
      <c r="I37">
        <v>102875</v>
      </c>
      <c r="J37">
        <v>1.8515000000000001E-5</v>
      </c>
      <c r="K37">
        <v>1007</v>
      </c>
      <c r="L37">
        <v>3.6267182000000011E-3</v>
      </c>
      <c r="M37">
        <v>1.2</v>
      </c>
      <c r="N37">
        <v>5.5885080744575948</v>
      </c>
      <c r="O37">
        <v>180.73346511627909</v>
      </c>
      <c r="P37">
        <v>181</v>
      </c>
      <c r="Q37">
        <v>0.79900000000000004</v>
      </c>
      <c r="R37">
        <v>29.2</v>
      </c>
      <c r="S37">
        <v>0.80300000000000005</v>
      </c>
      <c r="T37">
        <v>29.42</v>
      </c>
      <c r="U37">
        <v>23.3308</v>
      </c>
      <c r="V37">
        <v>23.62426</v>
      </c>
      <c r="W37">
        <v>46.955060000000003</v>
      </c>
      <c r="X37">
        <v>32.1085184975516</v>
      </c>
      <c r="Y37">
        <v>3668.3640624999998</v>
      </c>
      <c r="Z37">
        <v>95.448854738317209</v>
      </c>
      <c r="AA37">
        <v>3572.9152077616832</v>
      </c>
      <c r="AB37">
        <v>3.6267181999999999E-4</v>
      </c>
      <c r="AC37">
        <v>26.02779373885479</v>
      </c>
      <c r="AD37">
        <v>299.17779373885469</v>
      </c>
      <c r="AE37">
        <v>299.16879</v>
      </c>
      <c r="AF37">
        <v>311.78073999999998</v>
      </c>
      <c r="AG37">
        <v>309.41550000000001</v>
      </c>
      <c r="AH37">
        <v>311.82571999999999</v>
      </c>
      <c r="AI37">
        <v>311.88481000000002</v>
      </c>
      <c r="AJ37">
        <v>1205.1833999999999</v>
      </c>
      <c r="AK37">
        <v>3.9153694000000003E-3</v>
      </c>
      <c r="AL37">
        <v>5.5608716000000004E-4</v>
      </c>
      <c r="AM37">
        <v>5.5606958999999999E-4</v>
      </c>
      <c r="AN37">
        <v>203.02863628375829</v>
      </c>
      <c r="AO37">
        <v>34.494552866670809</v>
      </c>
      <c r="AP37">
        <v>1549.5894590846051</v>
      </c>
      <c r="AQ37">
        <v>181</v>
      </c>
      <c r="AR37">
        <v>1368.5894590846051</v>
      </c>
      <c r="AS37">
        <v>1.2857706628589509</v>
      </c>
      <c r="AT37">
        <v>4.0193580150626707</v>
      </c>
      <c r="AU37">
        <v>2.045853229666899</v>
      </c>
      <c r="AV37">
        <v>696.61203467406381</v>
      </c>
      <c r="AW37">
        <v>134.12419378698229</v>
      </c>
      <c r="AZ37">
        <f t="shared" si="0"/>
        <v>33.211991782954605</v>
      </c>
      <c r="BA37">
        <f t="shared" si="1"/>
        <v>3.7181554104312925E-2</v>
      </c>
      <c r="BB37">
        <f t="shared" si="2"/>
        <v>26.331945243309168</v>
      </c>
      <c r="BC37">
        <f t="shared" si="3"/>
        <v>0.23663468417497546</v>
      </c>
      <c r="BD37">
        <v>0.84499999999999997</v>
      </c>
      <c r="BF37">
        <v>0.72</v>
      </c>
    </row>
    <row r="38" spans="1:58" x14ac:dyDescent="0.25">
      <c r="A38" t="s">
        <v>77</v>
      </c>
      <c r="B38">
        <v>8</v>
      </c>
      <c r="C38">
        <v>0.4</v>
      </c>
      <c r="D38">
        <v>1800</v>
      </c>
      <c r="E38">
        <v>4.4173984071880739</v>
      </c>
      <c r="F38">
        <v>0</v>
      </c>
      <c r="G38">
        <v>27.04</v>
      </c>
      <c r="H38">
        <v>24.4</v>
      </c>
      <c r="I38">
        <v>103175</v>
      </c>
      <c r="J38">
        <v>1.8461000000000002E-5</v>
      </c>
      <c r="K38">
        <v>1007</v>
      </c>
      <c r="L38">
        <v>4.0681582650000008E-3</v>
      </c>
      <c r="M38">
        <v>1.208</v>
      </c>
      <c r="N38">
        <v>6.227220197757064</v>
      </c>
      <c r="O38">
        <v>202.73213945182729</v>
      </c>
      <c r="P38">
        <v>203</v>
      </c>
      <c r="Q38">
        <v>0.8</v>
      </c>
      <c r="R38">
        <v>28.95</v>
      </c>
      <c r="S38">
        <v>0.80200000000000005</v>
      </c>
      <c r="T38">
        <v>28.9</v>
      </c>
      <c r="U38">
        <v>23.16</v>
      </c>
      <c r="V38">
        <v>23.177800000000001</v>
      </c>
      <c r="W38">
        <v>46.337800000000001</v>
      </c>
      <c r="X38">
        <v>34.714247389468987</v>
      </c>
      <c r="Y38">
        <v>3620.140625</v>
      </c>
      <c r="Z38">
        <v>150.98475461175269</v>
      </c>
      <c r="AA38">
        <v>3469.155870388247</v>
      </c>
      <c r="AB38">
        <v>4.068158265000001E-4</v>
      </c>
      <c r="AC38">
        <v>24.79394245723174</v>
      </c>
      <c r="AD38">
        <v>297.94394245723169</v>
      </c>
      <c r="AE38">
        <v>297.92612000000003</v>
      </c>
      <c r="AF38">
        <v>308.69380999999998</v>
      </c>
      <c r="AG38">
        <v>306.89192000000003</v>
      </c>
      <c r="AH38">
        <v>309.18569000000002</v>
      </c>
      <c r="AI38">
        <v>309.28284000000002</v>
      </c>
      <c r="AJ38">
        <v>1514.0983000000001</v>
      </c>
      <c r="AK38">
        <v>3.9153694000000003E-3</v>
      </c>
      <c r="AL38">
        <v>5.5608716000000004E-4</v>
      </c>
      <c r="AM38">
        <v>5.5606958999999999E-4</v>
      </c>
      <c r="AN38">
        <v>215.41879706430021</v>
      </c>
      <c r="AO38">
        <v>36.599640424238871</v>
      </c>
      <c r="AP38">
        <v>1900.5202177293929</v>
      </c>
      <c r="AQ38">
        <v>204</v>
      </c>
      <c r="AR38">
        <v>1696.5202177293929</v>
      </c>
      <c r="AS38">
        <v>1.255215871868685</v>
      </c>
      <c r="AT38">
        <v>3.9730547537145968</v>
      </c>
      <c r="AU38">
        <v>2.0222848696407301</v>
      </c>
      <c r="AV38">
        <v>863.52879082426125</v>
      </c>
      <c r="AW38">
        <v>150.4496399778107</v>
      </c>
      <c r="AZ38">
        <f t="shared" si="0"/>
        <v>36.449802882379601</v>
      </c>
      <c r="BA38">
        <f t="shared" si="1"/>
        <v>4.093962129749152E-3</v>
      </c>
      <c r="BB38">
        <f t="shared" si="2"/>
        <v>29.460387746269429</v>
      </c>
      <c r="BC38">
        <f t="shared" si="3"/>
        <v>0.19506346497440788</v>
      </c>
      <c r="BD38">
        <v>0.84499999999999997</v>
      </c>
      <c r="BF38">
        <v>0.72</v>
      </c>
    </row>
    <row r="39" spans="1:58" x14ac:dyDescent="0.25">
      <c r="A39" t="s">
        <v>77</v>
      </c>
      <c r="B39">
        <v>8</v>
      </c>
      <c r="C39">
        <v>0.4</v>
      </c>
      <c r="D39">
        <v>2000</v>
      </c>
      <c r="E39">
        <v>4.4173984071880739</v>
      </c>
      <c r="F39">
        <v>0</v>
      </c>
      <c r="G39">
        <v>27.04</v>
      </c>
      <c r="H39">
        <v>24.3</v>
      </c>
      <c r="I39">
        <v>103725</v>
      </c>
      <c r="J39">
        <v>1.8457E-5</v>
      </c>
      <c r="K39">
        <v>1007</v>
      </c>
      <c r="L39">
        <v>4.5191964500000013E-3</v>
      </c>
      <c r="M39">
        <v>1.2150000000000001</v>
      </c>
      <c r="N39">
        <v>6.8777796801568192</v>
      </c>
      <c r="O39">
        <v>225.20912541528239</v>
      </c>
      <c r="P39">
        <v>225</v>
      </c>
      <c r="Q39">
        <v>0.8</v>
      </c>
      <c r="R39">
        <v>28.95</v>
      </c>
      <c r="S39">
        <v>0.80200000000000005</v>
      </c>
      <c r="T39">
        <v>28.9</v>
      </c>
      <c r="U39">
        <v>23.16</v>
      </c>
      <c r="V39">
        <v>23.177800000000001</v>
      </c>
      <c r="W39">
        <v>46.337800000000001</v>
      </c>
      <c r="X39">
        <v>33.984310262125803</v>
      </c>
      <c r="Y39">
        <v>3620.140625</v>
      </c>
      <c r="Z39">
        <v>135.42760461668709</v>
      </c>
      <c r="AA39">
        <v>3484.7130203833131</v>
      </c>
      <c r="AB39">
        <v>4.5191964500000009E-4</v>
      </c>
      <c r="AC39">
        <v>24.81833102903418</v>
      </c>
      <c r="AD39">
        <v>297.96833102903418</v>
      </c>
      <c r="AE39">
        <v>297.95296999999999</v>
      </c>
      <c r="AF39">
        <v>307.65222999999997</v>
      </c>
      <c r="AG39">
        <v>306.24392</v>
      </c>
      <c r="AH39">
        <v>308.56238999999999</v>
      </c>
      <c r="AI39">
        <v>308.53795000000002</v>
      </c>
      <c r="AJ39">
        <v>1794.4105999999999</v>
      </c>
      <c r="AK39">
        <v>3.9153694000000003E-3</v>
      </c>
      <c r="AL39">
        <v>5.5608716000000004E-4</v>
      </c>
      <c r="AM39">
        <v>5.5606958999999999E-4</v>
      </c>
      <c r="AN39">
        <v>224.52326725700911</v>
      </c>
      <c r="AO39">
        <v>38.14648935222209</v>
      </c>
      <c r="AP39">
        <v>2349.668575943117</v>
      </c>
      <c r="AQ39">
        <v>227</v>
      </c>
      <c r="AR39">
        <v>2122.668575943117</v>
      </c>
      <c r="AS39">
        <v>1.3094375255825601</v>
      </c>
      <c r="AT39">
        <v>4.040041152180077</v>
      </c>
      <c r="AU39">
        <v>2.056380946459659</v>
      </c>
      <c r="AV39">
        <v>1080.438305155046</v>
      </c>
      <c r="AW39">
        <v>167.13004622781071</v>
      </c>
      <c r="AZ39">
        <f t="shared" si="0"/>
        <v>39.612700471397183</v>
      </c>
      <c r="BA39">
        <f t="shared" si="1"/>
        <v>-3.8436331732573534E-2</v>
      </c>
      <c r="BB39">
        <f t="shared" si="2"/>
        <v>32.572549527658978</v>
      </c>
      <c r="BC39">
        <f t="shared" si="3"/>
        <v>0.1461193393996667</v>
      </c>
      <c r="BD39">
        <v>0.84499999999999997</v>
      </c>
      <c r="BF39">
        <v>0.72</v>
      </c>
    </row>
    <row r="40" spans="1:58" x14ac:dyDescent="0.25">
      <c r="A40" t="s">
        <v>77</v>
      </c>
      <c r="B40">
        <v>8</v>
      </c>
      <c r="C40">
        <v>0.4</v>
      </c>
      <c r="D40">
        <v>2500</v>
      </c>
      <c r="E40">
        <v>4.4173984071880739</v>
      </c>
      <c r="F40">
        <v>0</v>
      </c>
      <c r="G40">
        <v>27.04</v>
      </c>
      <c r="H40">
        <v>24.3</v>
      </c>
      <c r="I40">
        <v>104925</v>
      </c>
      <c r="J40">
        <v>1.8457E-5</v>
      </c>
      <c r="K40">
        <v>1007</v>
      </c>
      <c r="L40">
        <v>5.6489955625000001E-3</v>
      </c>
      <c r="M40">
        <v>1.2290000000000001</v>
      </c>
      <c r="N40">
        <v>8.4992903899415495</v>
      </c>
      <c r="O40">
        <v>281.51140676910302</v>
      </c>
      <c r="P40">
        <v>282</v>
      </c>
      <c r="Q40">
        <v>0.8</v>
      </c>
      <c r="R40">
        <v>28.95</v>
      </c>
      <c r="S40">
        <v>0.80200000000000005</v>
      </c>
      <c r="T40">
        <v>28.9</v>
      </c>
      <c r="U40">
        <v>23.16</v>
      </c>
      <c r="V40">
        <v>23.177800000000001</v>
      </c>
      <c r="W40">
        <v>46.337800000000001</v>
      </c>
      <c r="X40">
        <v>32.714644675731613</v>
      </c>
      <c r="Y40">
        <v>3620.140625</v>
      </c>
      <c r="Z40">
        <v>108.3672219738677</v>
      </c>
      <c r="AA40">
        <v>3511.7734030261322</v>
      </c>
      <c r="AB40">
        <v>5.6489955625000005E-4</v>
      </c>
      <c r="AC40">
        <v>24.869353701527601</v>
      </c>
      <c r="AD40">
        <v>298.01935370152762</v>
      </c>
      <c r="AE40">
        <v>297.9939</v>
      </c>
      <c r="AF40">
        <v>305.99801000000002</v>
      </c>
      <c r="AG40">
        <v>304.74036999999998</v>
      </c>
      <c r="AH40">
        <v>306.98763000000002</v>
      </c>
      <c r="AI40">
        <v>307.07337000000001</v>
      </c>
      <c r="AJ40">
        <v>2826.7701000000002</v>
      </c>
      <c r="AK40">
        <v>3.9153694000000003E-3</v>
      </c>
      <c r="AL40">
        <v>5.5608716000000004E-4</v>
      </c>
      <c r="AM40">
        <v>5.5606958999999999E-4</v>
      </c>
      <c r="AN40">
        <v>275.01864168376181</v>
      </c>
      <c r="AO40">
        <v>46.72565037387988</v>
      </c>
      <c r="AP40">
        <v>3585.962723593158</v>
      </c>
      <c r="AQ40">
        <v>284</v>
      </c>
      <c r="AR40">
        <v>3301.962723593158</v>
      </c>
      <c r="AS40">
        <v>1.268572468483786</v>
      </c>
      <c r="AT40">
        <v>4.0455207915613238</v>
      </c>
      <c r="AU40">
        <v>2.0591700829047141</v>
      </c>
      <c r="AV40">
        <v>1680.6990263089181</v>
      </c>
      <c r="AW40">
        <v>208.91255778476329</v>
      </c>
      <c r="AZ40">
        <f t="shared" si="0"/>
        <v>47.246971783305554</v>
      </c>
      <c r="BA40">
        <f t="shared" si="1"/>
        <v>-1.1157071228635016E-2</v>
      </c>
      <c r="BB40">
        <f t="shared" si="2"/>
        <v>40.292161210588354</v>
      </c>
      <c r="BC40">
        <f t="shared" si="3"/>
        <v>0.13768645512289995</v>
      </c>
      <c r="BD40">
        <v>0.84499999999999997</v>
      </c>
      <c r="BF40">
        <v>0.72</v>
      </c>
    </row>
    <row r="41" spans="1:58" x14ac:dyDescent="0.25">
      <c r="A41" t="s">
        <v>77</v>
      </c>
      <c r="B41">
        <v>8</v>
      </c>
      <c r="C41">
        <v>0.4</v>
      </c>
      <c r="D41">
        <v>3000</v>
      </c>
      <c r="E41">
        <v>4.4173984071880739</v>
      </c>
      <c r="F41">
        <v>0</v>
      </c>
      <c r="G41">
        <v>27.04</v>
      </c>
      <c r="H41">
        <v>24.3</v>
      </c>
      <c r="I41">
        <v>106275</v>
      </c>
      <c r="J41">
        <v>1.8457E-5</v>
      </c>
      <c r="K41">
        <v>1007</v>
      </c>
      <c r="L41">
        <v>6.7787946749999998E-3</v>
      </c>
      <c r="M41">
        <v>1.2450000000000001</v>
      </c>
      <c r="N41">
        <v>10.068075073964501</v>
      </c>
      <c r="O41">
        <v>337.81368812292362</v>
      </c>
      <c r="P41">
        <v>338</v>
      </c>
      <c r="Q41">
        <v>0.8</v>
      </c>
      <c r="R41">
        <v>28.95</v>
      </c>
      <c r="S41">
        <v>0.80200000000000005</v>
      </c>
      <c r="T41">
        <v>28.9</v>
      </c>
      <c r="U41">
        <v>23.16</v>
      </c>
      <c r="V41">
        <v>23.177800000000001</v>
      </c>
      <c r="W41">
        <v>46.337800000000001</v>
      </c>
      <c r="X41">
        <v>31.81783462421113</v>
      </c>
      <c r="Y41">
        <v>3620.140625</v>
      </c>
      <c r="Z41">
        <v>89.253509345811722</v>
      </c>
      <c r="AA41">
        <v>3530.8871156541882</v>
      </c>
      <c r="AB41">
        <v>6.7787946750000002E-4</v>
      </c>
      <c r="AC41">
        <v>24.868529116465819</v>
      </c>
      <c r="AD41">
        <v>298.0185291164658</v>
      </c>
      <c r="AE41">
        <v>297.98315000000002</v>
      </c>
      <c r="AF41">
        <v>304.57893000000001</v>
      </c>
      <c r="AG41">
        <v>303.78303</v>
      </c>
      <c r="AH41">
        <v>306.04392000000001</v>
      </c>
      <c r="AI41">
        <v>306.04572000000002</v>
      </c>
      <c r="AJ41">
        <v>3873.4693000000002</v>
      </c>
      <c r="AK41">
        <v>3.9153694000000003E-3</v>
      </c>
      <c r="AL41">
        <v>5.5608716000000004E-4</v>
      </c>
      <c r="AM41">
        <v>5.5606958999999999E-4</v>
      </c>
      <c r="AN41">
        <v>299.42030792335993</v>
      </c>
      <c r="AO41">
        <v>50.871491973092787</v>
      </c>
      <c r="AP41">
        <v>4973.4692101740293</v>
      </c>
      <c r="AQ41">
        <v>340</v>
      </c>
      <c r="AR41">
        <v>4633.4692101740293</v>
      </c>
      <c r="AS41">
        <v>1.2839831233912271</v>
      </c>
      <c r="AT41">
        <v>3.9683210477518029</v>
      </c>
      <c r="AU41">
        <v>2.0198754133056682</v>
      </c>
      <c r="AV41">
        <v>2358.4358279785811</v>
      </c>
      <c r="AW41">
        <v>250.69506934171599</v>
      </c>
      <c r="AZ41">
        <f t="shared" si="0"/>
        <v>54.564644053725196</v>
      </c>
      <c r="BA41">
        <f t="shared" si="1"/>
        <v>-7.2597675778524634E-2</v>
      </c>
      <c r="BB41">
        <f t="shared" si="2"/>
        <v>47.939265505657929</v>
      </c>
      <c r="BC41">
        <f t="shared" si="3"/>
        <v>5.763987557089513E-2</v>
      </c>
      <c r="BD41">
        <v>0.84499999999999997</v>
      </c>
      <c r="BF41">
        <v>0.72</v>
      </c>
    </row>
    <row r="42" spans="1:58" x14ac:dyDescent="0.25">
      <c r="A42" t="s">
        <v>77</v>
      </c>
      <c r="B42">
        <v>8</v>
      </c>
      <c r="C42">
        <v>0.4</v>
      </c>
      <c r="D42">
        <v>3500</v>
      </c>
      <c r="E42">
        <v>4.4173984071880739</v>
      </c>
      <c r="F42">
        <v>0</v>
      </c>
      <c r="G42">
        <v>27.04</v>
      </c>
      <c r="H42">
        <v>24.2</v>
      </c>
      <c r="I42">
        <v>107875</v>
      </c>
      <c r="J42">
        <v>1.8451999999999999E-5</v>
      </c>
      <c r="K42">
        <v>1007</v>
      </c>
      <c r="L42">
        <v>7.9064513500000013E-3</v>
      </c>
      <c r="M42">
        <v>1.264</v>
      </c>
      <c r="N42">
        <v>11.566390377476409</v>
      </c>
      <c r="O42">
        <v>394.00920348837212</v>
      </c>
      <c r="P42">
        <v>394</v>
      </c>
      <c r="Q42">
        <v>1.0029999999999999</v>
      </c>
      <c r="R42">
        <v>36.32</v>
      </c>
      <c r="S42">
        <v>1</v>
      </c>
      <c r="T42">
        <v>36.06</v>
      </c>
      <c r="U42">
        <v>36.428959999999996</v>
      </c>
      <c r="V42">
        <v>36.06</v>
      </c>
      <c r="W42">
        <v>72.488959999999992</v>
      </c>
      <c r="X42">
        <v>34.742032180059518</v>
      </c>
      <c r="Y42">
        <v>5663.1999999999989</v>
      </c>
      <c r="Z42">
        <v>151.5769318536085</v>
      </c>
      <c r="AA42">
        <v>5511.6230681463903</v>
      </c>
      <c r="AB42">
        <v>7.9064513500000009E-4</v>
      </c>
      <c r="AC42">
        <v>24.830872395833349</v>
      </c>
      <c r="AD42">
        <v>297.98087239583327</v>
      </c>
      <c r="AE42">
        <v>297.93126999999998</v>
      </c>
      <c r="AF42">
        <v>306.73505</v>
      </c>
      <c r="AG42">
        <v>305.82740000000001</v>
      </c>
      <c r="AH42">
        <v>309.18344000000002</v>
      </c>
      <c r="AI42">
        <v>309.30646000000002</v>
      </c>
      <c r="AJ42">
        <v>5345.8978999999999</v>
      </c>
      <c r="AK42">
        <v>3.9153694000000003E-3</v>
      </c>
      <c r="AL42">
        <v>5.5608716000000004E-4</v>
      </c>
      <c r="AM42">
        <v>5.5606958999999999E-4</v>
      </c>
      <c r="AN42">
        <v>330.15726957751292</v>
      </c>
      <c r="AO42">
        <v>56.093699875125729</v>
      </c>
      <c r="AP42">
        <v>6581.0941840277774</v>
      </c>
      <c r="AQ42">
        <v>397</v>
      </c>
      <c r="AR42">
        <v>6184.0941840277774</v>
      </c>
      <c r="AS42">
        <v>1.231054970957784</v>
      </c>
      <c r="AT42">
        <v>3.923658498838908</v>
      </c>
      <c r="AU42">
        <v>1.997142175909004</v>
      </c>
      <c r="AV42">
        <v>3147.7039396701389</v>
      </c>
      <c r="AW42">
        <v>292.39834874260362</v>
      </c>
      <c r="AZ42">
        <f t="shared" si="0"/>
        <v>61.629110694946903</v>
      </c>
      <c r="BA42">
        <f t="shared" si="1"/>
        <v>-9.8681506695831339E-2</v>
      </c>
      <c r="BB42">
        <f t="shared" si="2"/>
        <v>55.52659453221419</v>
      </c>
      <c r="BC42">
        <f t="shared" si="3"/>
        <v>1.0109965008084925E-2</v>
      </c>
      <c r="BD42">
        <v>0.84499999999999997</v>
      </c>
      <c r="BF42">
        <v>0.72</v>
      </c>
    </row>
    <row r="43" spans="1:58" x14ac:dyDescent="0.25">
      <c r="A43" t="s">
        <v>77</v>
      </c>
      <c r="B43">
        <v>8</v>
      </c>
      <c r="C43">
        <v>0.4</v>
      </c>
      <c r="D43">
        <v>4000</v>
      </c>
      <c r="E43">
        <v>4.4173984071880739</v>
      </c>
      <c r="F43">
        <v>0</v>
      </c>
      <c r="G43">
        <v>27.04</v>
      </c>
      <c r="H43">
        <v>24.3</v>
      </c>
      <c r="I43">
        <v>109625</v>
      </c>
      <c r="J43">
        <v>1.8457E-5</v>
      </c>
      <c r="K43">
        <v>1007</v>
      </c>
      <c r="L43">
        <v>9.0383929000000026E-3</v>
      </c>
      <c r="M43">
        <v>1.284</v>
      </c>
      <c r="N43">
        <v>13.0163587404837</v>
      </c>
      <c r="O43">
        <v>450.41825083056489</v>
      </c>
      <c r="P43">
        <v>450</v>
      </c>
      <c r="Q43">
        <v>1.0029999999999999</v>
      </c>
      <c r="R43">
        <v>36.32</v>
      </c>
      <c r="S43">
        <v>1</v>
      </c>
      <c r="T43">
        <v>36.06</v>
      </c>
      <c r="U43">
        <v>36.428959999999996</v>
      </c>
      <c r="V43">
        <v>36.06</v>
      </c>
      <c r="W43">
        <v>72.488959999999992</v>
      </c>
      <c r="X43">
        <v>33.878577329436887</v>
      </c>
      <c r="Y43">
        <v>5663.1999999999989</v>
      </c>
      <c r="Z43">
        <v>133.17411862228829</v>
      </c>
      <c r="AA43">
        <v>5530.0258813777109</v>
      </c>
      <c r="AB43">
        <v>9.0383929000000028E-4</v>
      </c>
      <c r="AC43">
        <v>24.78512195121953</v>
      </c>
      <c r="AD43">
        <v>297.93512195121951</v>
      </c>
      <c r="AE43">
        <v>297.87804999999997</v>
      </c>
      <c r="AF43">
        <v>305.68056999999999</v>
      </c>
      <c r="AG43">
        <v>304.87353000000002</v>
      </c>
      <c r="AH43">
        <v>308.25607000000002</v>
      </c>
      <c r="AI43">
        <v>308.24149999999997</v>
      </c>
      <c r="AJ43">
        <v>6787.8639999999996</v>
      </c>
      <c r="AK43">
        <v>3.9153694000000003E-3</v>
      </c>
      <c r="AL43">
        <v>5.5608716000000004E-4</v>
      </c>
      <c r="AM43">
        <v>5.5606958999999999E-4</v>
      </c>
      <c r="AN43">
        <v>366.56665310774008</v>
      </c>
      <c r="AO43">
        <v>62.279651906399778</v>
      </c>
      <c r="AP43">
        <v>8292.6526357199054</v>
      </c>
      <c r="AQ43">
        <v>454</v>
      </c>
      <c r="AR43">
        <v>7838.6526357199054</v>
      </c>
      <c r="AS43">
        <v>1.2216880944756561</v>
      </c>
      <c r="AT43">
        <v>3.836715321664494</v>
      </c>
      <c r="AU43">
        <v>1.9528880987272279</v>
      </c>
      <c r="AV43">
        <v>3989.8741915814321</v>
      </c>
      <c r="AW43">
        <v>334.26009245562142</v>
      </c>
      <c r="AZ43">
        <f t="shared" si="0"/>
        <v>68.483814249691292</v>
      </c>
      <c r="BA43">
        <f t="shared" si="1"/>
        <v>-9.9617806994421923E-2</v>
      </c>
      <c r="BB43">
        <f t="shared" si="2"/>
        <v>63.063124334129903</v>
      </c>
      <c r="BC43">
        <f t="shared" si="3"/>
        <v>-1.2579910191335161E-2</v>
      </c>
      <c r="BD43">
        <v>0.84499999999999997</v>
      </c>
      <c r="BF43">
        <v>0.72</v>
      </c>
    </row>
    <row r="44" spans="1:58" x14ac:dyDescent="0.25">
      <c r="A44" t="s">
        <v>77</v>
      </c>
      <c r="B44">
        <v>8</v>
      </c>
      <c r="C44">
        <v>0.4</v>
      </c>
      <c r="D44">
        <v>4500</v>
      </c>
      <c r="E44">
        <v>4.4173984071880739</v>
      </c>
      <c r="F44">
        <v>0</v>
      </c>
      <c r="G44">
        <v>27.04</v>
      </c>
      <c r="H44">
        <v>24.5</v>
      </c>
      <c r="I44">
        <v>111325</v>
      </c>
      <c r="J44">
        <v>1.8467000000000001E-5</v>
      </c>
      <c r="K44">
        <v>1007</v>
      </c>
      <c r="L44">
        <v>1.01737011375E-2</v>
      </c>
      <c r="M44">
        <v>1.3029999999999999</v>
      </c>
      <c r="N44">
        <v>14.43769546594228</v>
      </c>
      <c r="O44">
        <v>506.9950732973424</v>
      </c>
      <c r="P44">
        <v>507</v>
      </c>
      <c r="Q44">
        <v>1.0029999999999999</v>
      </c>
      <c r="R44">
        <v>36.32</v>
      </c>
      <c r="S44">
        <v>1</v>
      </c>
      <c r="T44">
        <v>36.06</v>
      </c>
      <c r="U44">
        <v>36.428959999999996</v>
      </c>
      <c r="V44">
        <v>36.06</v>
      </c>
      <c r="W44">
        <v>72.488959999999992</v>
      </c>
      <c r="X44">
        <v>33.402158852527798</v>
      </c>
      <c r="Y44">
        <v>5663.1999999999989</v>
      </c>
      <c r="Z44">
        <v>123.02021162392511</v>
      </c>
      <c r="AA44">
        <v>5540.1797883760737</v>
      </c>
      <c r="AB44">
        <v>1.01737011375E-3</v>
      </c>
      <c r="AC44">
        <v>24.992381607929541</v>
      </c>
      <c r="AD44">
        <v>298.14238160792951</v>
      </c>
      <c r="AE44">
        <v>298.06339000000003</v>
      </c>
      <c r="AF44">
        <v>304.88479000000001</v>
      </c>
      <c r="AG44">
        <v>304.37565999999998</v>
      </c>
      <c r="AH44">
        <v>307.58508999999998</v>
      </c>
      <c r="AI44">
        <v>307.71294999999998</v>
      </c>
      <c r="AJ44">
        <v>8113.5954000000002</v>
      </c>
      <c r="AK44">
        <v>3.9153694000000003E-3</v>
      </c>
      <c r="AL44">
        <v>5.5608716000000004E-4</v>
      </c>
      <c r="AM44">
        <v>5.5606958999999999E-4</v>
      </c>
      <c r="AN44">
        <v>389.03606888661261</v>
      </c>
      <c r="AO44">
        <v>66.097204270708943</v>
      </c>
      <c r="AP44">
        <v>10092.11704601077</v>
      </c>
      <c r="AQ44">
        <v>510</v>
      </c>
      <c r="AR44">
        <v>9582.1170460107696</v>
      </c>
      <c r="AS44">
        <v>1.243852638499914</v>
      </c>
      <c r="AT44">
        <v>3.730130441797141</v>
      </c>
      <c r="AU44">
        <v>1.8986363948747449</v>
      </c>
      <c r="AV44">
        <v>4877.2975764194816</v>
      </c>
      <c r="AW44">
        <v>376.24634384245581</v>
      </c>
      <c r="AZ44">
        <f t="shared" si="0"/>
        <v>75.160247730636954</v>
      </c>
      <c r="BA44">
        <f t="shared" si="1"/>
        <v>-0.13711689563766177</v>
      </c>
      <c r="BB44">
        <f t="shared" si="2"/>
        <v>70.555520232472873</v>
      </c>
      <c r="BC44">
        <f t="shared" si="3"/>
        <v>-6.7450900699284763E-2</v>
      </c>
      <c r="BD44">
        <v>0.84499999999999997</v>
      </c>
      <c r="BF44">
        <v>0.72</v>
      </c>
    </row>
    <row r="45" spans="1:58" x14ac:dyDescent="0.25">
      <c r="A45" t="s">
        <v>77</v>
      </c>
      <c r="B45">
        <v>8</v>
      </c>
      <c r="C45">
        <v>0.4</v>
      </c>
      <c r="D45">
        <v>5000</v>
      </c>
      <c r="E45">
        <v>4.4173984071880739</v>
      </c>
      <c r="F45">
        <v>0</v>
      </c>
      <c r="G45">
        <v>27.04</v>
      </c>
      <c r="H45">
        <v>24.5</v>
      </c>
      <c r="I45">
        <v>113425</v>
      </c>
      <c r="J45">
        <v>1.8468E-5</v>
      </c>
      <c r="K45">
        <v>1007</v>
      </c>
      <c r="L45">
        <v>1.13047245E-2</v>
      </c>
      <c r="M45">
        <v>1.3280000000000001</v>
      </c>
      <c r="N45">
        <v>15.740742880917161</v>
      </c>
      <c r="O45">
        <v>563.35836378737554</v>
      </c>
      <c r="P45">
        <v>563</v>
      </c>
      <c r="Q45">
        <v>1.0029999999999999</v>
      </c>
      <c r="R45">
        <v>36.32</v>
      </c>
      <c r="S45">
        <v>1</v>
      </c>
      <c r="T45">
        <v>36.06</v>
      </c>
      <c r="U45">
        <v>36.428959999999996</v>
      </c>
      <c r="V45">
        <v>36.06</v>
      </c>
      <c r="W45">
        <v>72.488959999999992</v>
      </c>
      <c r="X45">
        <v>32.771185519733187</v>
      </c>
      <c r="Y45">
        <v>5663.1999999999989</v>
      </c>
      <c r="Z45">
        <v>109.5722769820735</v>
      </c>
      <c r="AA45">
        <v>5553.6277230179257</v>
      </c>
      <c r="AB45">
        <v>1.1304724499999999E-3</v>
      </c>
      <c r="AC45">
        <v>24.88987159533071</v>
      </c>
      <c r="AD45">
        <v>298.03987159533068</v>
      </c>
      <c r="AE45">
        <v>297.94860999999997</v>
      </c>
      <c r="AF45">
        <v>304.05937999999998</v>
      </c>
      <c r="AG45">
        <v>303.65197000000001</v>
      </c>
      <c r="AH45">
        <v>307.02821</v>
      </c>
      <c r="AI45">
        <v>306.79082</v>
      </c>
      <c r="AJ45">
        <v>9965.7070999999996</v>
      </c>
      <c r="AK45">
        <v>3.9153694000000003E-3</v>
      </c>
      <c r="AL45">
        <v>5.5608716000000004E-4</v>
      </c>
      <c r="AM45">
        <v>5.5606958999999999E-4</v>
      </c>
      <c r="AN45">
        <v>419.74395092628089</v>
      </c>
      <c r="AO45">
        <v>71.314471548022411</v>
      </c>
      <c r="AP45">
        <v>12195.3369001297</v>
      </c>
      <c r="AQ45">
        <v>567</v>
      </c>
      <c r="AR45">
        <v>11628.3369001297</v>
      </c>
      <c r="AS45">
        <v>1.223730215804727</v>
      </c>
      <c r="AT45">
        <v>3.70295240423911</v>
      </c>
      <c r="AU45">
        <v>1.8848027737577071</v>
      </c>
      <c r="AV45">
        <v>5918.823482166018</v>
      </c>
      <c r="AW45">
        <v>418.07413091715989</v>
      </c>
      <c r="AZ45">
        <f t="shared" si="0"/>
        <v>81.68220800307833</v>
      </c>
      <c r="BA45">
        <f t="shared" si="1"/>
        <v>-0.14538054100386055</v>
      </c>
      <c r="BB45">
        <f t="shared" si="2"/>
        <v>78.008924967831945</v>
      </c>
      <c r="BC45">
        <f t="shared" si="3"/>
        <v>-9.3872299331301354E-2</v>
      </c>
      <c r="BD45">
        <v>0.84499999999999997</v>
      </c>
      <c r="BF45">
        <v>0.72</v>
      </c>
    </row>
    <row r="46" spans="1:58" x14ac:dyDescent="0.25">
      <c r="A46" t="s">
        <v>77</v>
      </c>
      <c r="B46">
        <v>8</v>
      </c>
      <c r="C46">
        <v>0.4</v>
      </c>
      <c r="D46">
        <v>6000</v>
      </c>
      <c r="E46">
        <v>4.4173984071880739</v>
      </c>
      <c r="F46">
        <v>0</v>
      </c>
      <c r="G46">
        <v>27.04</v>
      </c>
      <c r="H46">
        <v>24.4</v>
      </c>
      <c r="I46">
        <v>117825</v>
      </c>
      <c r="J46">
        <v>1.8464000000000001E-5</v>
      </c>
      <c r="K46">
        <v>1007</v>
      </c>
      <c r="L46">
        <v>1.3562731200000001E-2</v>
      </c>
      <c r="M46">
        <v>1.38</v>
      </c>
      <c r="N46">
        <v>18.173199125289429</v>
      </c>
      <c r="O46">
        <v>675.88361461794034</v>
      </c>
      <c r="P46">
        <v>676</v>
      </c>
      <c r="Q46">
        <v>1.2</v>
      </c>
      <c r="R46">
        <v>43.47</v>
      </c>
      <c r="S46">
        <v>1.2</v>
      </c>
      <c r="T46">
        <v>43.26</v>
      </c>
      <c r="U46">
        <v>52.163999999999987</v>
      </c>
      <c r="V46">
        <v>51.911999999999999</v>
      </c>
      <c r="W46">
        <v>104.07599999999999</v>
      </c>
      <c r="X46">
        <v>34.992130879600772</v>
      </c>
      <c r="Y46">
        <v>8130.9374999999991</v>
      </c>
      <c r="Z46">
        <v>156.90728543693101</v>
      </c>
      <c r="AA46">
        <v>7974.0302145630694</v>
      </c>
      <c r="AB46">
        <v>1.35627312E-3</v>
      </c>
      <c r="AC46">
        <v>24.853272489082968</v>
      </c>
      <c r="AD46">
        <v>298.00327248908297</v>
      </c>
      <c r="AE46">
        <v>297.87785000000002</v>
      </c>
      <c r="AF46">
        <v>305.30568</v>
      </c>
      <c r="AG46">
        <v>304.82560000000001</v>
      </c>
      <c r="AH46">
        <v>309.35395999999997</v>
      </c>
      <c r="AI46">
        <v>309.35212999999999</v>
      </c>
      <c r="AJ46">
        <v>14177.062</v>
      </c>
      <c r="AK46">
        <v>3.9153694000000003E-3</v>
      </c>
      <c r="AL46">
        <v>5.5608716000000004E-4</v>
      </c>
      <c r="AM46">
        <v>5.5606958999999999E-4</v>
      </c>
      <c r="AN46">
        <v>479.33865789117033</v>
      </c>
      <c r="AO46">
        <v>81.439608610466337</v>
      </c>
      <c r="AP46">
        <v>16601.119650655019</v>
      </c>
      <c r="AQ46">
        <v>680</v>
      </c>
      <c r="AR46">
        <v>15921.11965065502</v>
      </c>
      <c r="AS46">
        <v>1.170984485407133</v>
      </c>
      <c r="AT46">
        <v>3.595010891365495</v>
      </c>
      <c r="AU46">
        <v>1.829860543705037</v>
      </c>
      <c r="AV46">
        <v>8103.8499021834068</v>
      </c>
      <c r="AW46">
        <v>501.58029585798829</v>
      </c>
      <c r="AZ46">
        <f t="shared" si="0"/>
        <v>94.333254322664331</v>
      </c>
      <c r="BA46">
        <f t="shared" si="1"/>
        <v>-0.15832155792729274</v>
      </c>
      <c r="BB46">
        <f t="shared" si="2"/>
        <v>92.814345358597748</v>
      </c>
      <c r="BC46">
        <f t="shared" si="3"/>
        <v>-0.13967081794975092</v>
      </c>
      <c r="BD46">
        <v>0.84499999999999997</v>
      </c>
      <c r="BF46">
        <v>0.72</v>
      </c>
    </row>
    <row r="47" spans="1:58" x14ac:dyDescent="0.25">
      <c r="A47" t="s">
        <v>77</v>
      </c>
      <c r="B47">
        <v>8</v>
      </c>
      <c r="C47">
        <v>0.4</v>
      </c>
      <c r="D47">
        <v>7000</v>
      </c>
      <c r="E47">
        <v>4.4173984071880739</v>
      </c>
      <c r="F47">
        <v>0</v>
      </c>
      <c r="G47">
        <v>27.04</v>
      </c>
      <c r="H47">
        <v>24.4</v>
      </c>
      <c r="I47">
        <v>123125</v>
      </c>
      <c r="J47">
        <v>1.8464000000000001E-5</v>
      </c>
      <c r="K47">
        <v>1007</v>
      </c>
      <c r="L47">
        <v>1.5823186400000001E-2</v>
      </c>
      <c r="M47">
        <v>1.4419999999999999</v>
      </c>
      <c r="N47">
        <v>20.290465042798871</v>
      </c>
      <c r="O47">
        <v>788.53088372093032</v>
      </c>
      <c r="P47">
        <v>789</v>
      </c>
      <c r="Q47">
        <v>1.2010000000000001</v>
      </c>
      <c r="R47">
        <v>43.92</v>
      </c>
      <c r="S47">
        <v>1.2010000000000001</v>
      </c>
      <c r="T47">
        <v>44.04</v>
      </c>
      <c r="U47">
        <v>52.747920000000008</v>
      </c>
      <c r="V47">
        <v>52.892040000000001</v>
      </c>
      <c r="W47">
        <v>105.63996</v>
      </c>
      <c r="X47">
        <v>33.978555863368932</v>
      </c>
      <c r="Y47">
        <v>8253.1218749999989</v>
      </c>
      <c r="Z47">
        <v>135.304961115982</v>
      </c>
      <c r="AA47">
        <v>8117.8169138840167</v>
      </c>
      <c r="AB47">
        <v>1.5823186399999999E-3</v>
      </c>
      <c r="AC47">
        <v>24.739776089564192</v>
      </c>
      <c r="AD47">
        <v>297.88977608956418</v>
      </c>
      <c r="AE47">
        <v>297.73694</v>
      </c>
      <c r="AF47">
        <v>304.09078</v>
      </c>
      <c r="AG47">
        <v>303.57661999999999</v>
      </c>
      <c r="AH47">
        <v>308.14030000000002</v>
      </c>
      <c r="AI47">
        <v>307.92939999999999</v>
      </c>
      <c r="AJ47">
        <v>18993.178</v>
      </c>
      <c r="AK47">
        <v>3.9153694000000003E-3</v>
      </c>
      <c r="AL47">
        <v>5.5608716000000004E-4</v>
      </c>
      <c r="AM47">
        <v>5.5606958999999999E-4</v>
      </c>
      <c r="AN47">
        <v>566.40003045585365</v>
      </c>
      <c r="AO47">
        <v>96.23133047565247</v>
      </c>
      <c r="AP47">
        <v>21573.34359589497</v>
      </c>
      <c r="AQ47">
        <v>793</v>
      </c>
      <c r="AR47">
        <v>20780.34359589497</v>
      </c>
      <c r="AS47">
        <v>1.1358469654680741</v>
      </c>
      <c r="AT47">
        <v>3.5304539865200359</v>
      </c>
      <c r="AU47">
        <v>1.7970010791386981</v>
      </c>
      <c r="AV47">
        <v>10577.19489031054</v>
      </c>
      <c r="AW47">
        <v>585.17701183431961</v>
      </c>
      <c r="AZ47">
        <f t="shared" si="0"/>
        <v>106.54654994435266</v>
      </c>
      <c r="BA47">
        <f t="shared" si="1"/>
        <v>-0.10719190327842397</v>
      </c>
      <c r="BB47">
        <f t="shared" si="2"/>
        <v>107.50403593253832</v>
      </c>
      <c r="BC47">
        <f t="shared" si="3"/>
        <v>-0.11714173960982444</v>
      </c>
      <c r="BD47">
        <v>0.84499999999999997</v>
      </c>
      <c r="BF47">
        <v>0.72</v>
      </c>
    </row>
    <row r="48" spans="1:58" x14ac:dyDescent="0.25">
      <c r="A48" t="s">
        <v>77</v>
      </c>
      <c r="B48">
        <v>8</v>
      </c>
      <c r="C48">
        <v>0.4</v>
      </c>
      <c r="D48">
        <v>8000</v>
      </c>
      <c r="E48">
        <v>4.4173984071880739</v>
      </c>
      <c r="F48">
        <v>0</v>
      </c>
      <c r="G48">
        <v>27.04</v>
      </c>
      <c r="H48">
        <v>24.2</v>
      </c>
      <c r="I48">
        <v>128025</v>
      </c>
      <c r="J48">
        <v>1.8454999999999999E-5</v>
      </c>
      <c r="K48">
        <v>1007</v>
      </c>
      <c r="L48">
        <v>1.8074827000000002E-2</v>
      </c>
      <c r="M48">
        <v>1.5</v>
      </c>
      <c r="N48">
        <v>22.281591469428001</v>
      </c>
      <c r="O48">
        <v>900.73888704318927</v>
      </c>
      <c r="P48">
        <v>901</v>
      </c>
      <c r="Q48">
        <v>1.2010000000000001</v>
      </c>
      <c r="R48">
        <v>43.92</v>
      </c>
      <c r="S48">
        <v>1.2010000000000001</v>
      </c>
      <c r="T48">
        <v>44.04</v>
      </c>
      <c r="U48">
        <v>52.747920000000008</v>
      </c>
      <c r="V48">
        <v>52.892040000000001</v>
      </c>
      <c r="W48">
        <v>105.63996</v>
      </c>
      <c r="X48">
        <v>33.195327092230677</v>
      </c>
      <c r="Y48">
        <v>8253.1218749999989</v>
      </c>
      <c r="Z48">
        <v>118.6120063167125</v>
      </c>
      <c r="AA48">
        <v>8134.5098686832862</v>
      </c>
      <c r="AB48">
        <v>1.8074827E-3</v>
      </c>
      <c r="AC48">
        <v>24.66495149475347</v>
      </c>
      <c r="AD48">
        <v>297.81495149475347</v>
      </c>
      <c r="AE48">
        <v>297.62657000000002</v>
      </c>
      <c r="AF48">
        <v>303.18344999999999</v>
      </c>
      <c r="AG48">
        <v>302.72793999999999</v>
      </c>
      <c r="AH48">
        <v>307.15575999999999</v>
      </c>
      <c r="AI48">
        <v>307.08629999999999</v>
      </c>
      <c r="AJ48">
        <v>24172.423999999999</v>
      </c>
      <c r="AK48">
        <v>3.9153694000000003E-3</v>
      </c>
      <c r="AL48">
        <v>5.5608716000000004E-4</v>
      </c>
      <c r="AM48">
        <v>5.5606958999999999E-4</v>
      </c>
      <c r="AN48">
        <v>628.58749802825957</v>
      </c>
      <c r="AO48">
        <v>106.7969774064758</v>
      </c>
      <c r="AP48">
        <v>26670.979805979019</v>
      </c>
      <c r="AQ48">
        <v>907</v>
      </c>
      <c r="AR48">
        <v>25763.979805979019</v>
      </c>
      <c r="AS48">
        <v>1.1033638912663051</v>
      </c>
      <c r="AT48">
        <v>3.4283855528293992</v>
      </c>
      <c r="AU48">
        <v>1.745048246390164</v>
      </c>
      <c r="AV48">
        <v>13113.865721243321</v>
      </c>
      <c r="AW48">
        <v>668.44774408284025</v>
      </c>
      <c r="AZ48">
        <f t="shared" si="0"/>
        <v>118.39719984687005</v>
      </c>
      <c r="BA48">
        <f t="shared" si="1"/>
        <v>-0.10861938906981509</v>
      </c>
      <c r="BB48">
        <f t="shared" si="2"/>
        <v>122.09537504593843</v>
      </c>
      <c r="BC48">
        <f t="shared" si="3"/>
        <v>-0.14324747770001006</v>
      </c>
      <c r="BD48">
        <v>0.84499999999999997</v>
      </c>
      <c r="BF48">
        <v>0.72</v>
      </c>
    </row>
    <row r="49" spans="1:58" x14ac:dyDescent="0.25">
      <c r="A49" t="s">
        <v>77</v>
      </c>
      <c r="B49">
        <v>8</v>
      </c>
      <c r="C49">
        <v>0.4</v>
      </c>
      <c r="D49">
        <v>9000</v>
      </c>
      <c r="E49">
        <v>4.4173984071880739</v>
      </c>
      <c r="F49">
        <v>0</v>
      </c>
      <c r="G49">
        <v>27.04</v>
      </c>
      <c r="H49">
        <v>24.2</v>
      </c>
      <c r="I49">
        <v>133825</v>
      </c>
      <c r="J49">
        <v>1.8456000000000001E-5</v>
      </c>
      <c r="K49">
        <v>1007</v>
      </c>
      <c r="L49">
        <v>2.0335282199999999E-2</v>
      </c>
      <c r="M49">
        <v>1.5680000000000001</v>
      </c>
      <c r="N49">
        <v>23.981009568213381</v>
      </c>
      <c r="O49">
        <v>1013.386156146179</v>
      </c>
      <c r="P49">
        <v>1013</v>
      </c>
      <c r="Q49">
        <v>1.3</v>
      </c>
      <c r="R49">
        <v>47.09</v>
      </c>
      <c r="S49">
        <v>1.3</v>
      </c>
      <c r="T49">
        <v>46.87</v>
      </c>
      <c r="U49">
        <v>61.217000000000013</v>
      </c>
      <c r="V49">
        <v>60.930999999999997</v>
      </c>
      <c r="W49">
        <v>122.148</v>
      </c>
      <c r="X49">
        <v>33.926648551716589</v>
      </c>
      <c r="Y49">
        <v>9542.8125</v>
      </c>
      <c r="Z49">
        <v>134.1986605827357</v>
      </c>
      <c r="AA49">
        <v>9408.6138394172649</v>
      </c>
      <c r="AB49">
        <v>2.0335282200000001E-3</v>
      </c>
      <c r="AC49">
        <v>24.63130318129549</v>
      </c>
      <c r="AD49">
        <v>297.78130318129553</v>
      </c>
      <c r="AE49">
        <v>297.56785000000002</v>
      </c>
      <c r="AF49">
        <v>303.27622000000002</v>
      </c>
      <c r="AG49">
        <v>302.64037999999999</v>
      </c>
      <c r="AH49">
        <v>307.69002999999998</v>
      </c>
      <c r="AI49">
        <v>307.51396</v>
      </c>
      <c r="AJ49">
        <v>30001.204000000002</v>
      </c>
      <c r="AK49">
        <v>3.9153694000000003E-3</v>
      </c>
      <c r="AL49">
        <v>5.5608716000000004E-4</v>
      </c>
      <c r="AM49">
        <v>5.5606958999999999E-4</v>
      </c>
      <c r="AN49">
        <v>722.39880527803302</v>
      </c>
      <c r="AO49">
        <v>122.73551276114431</v>
      </c>
      <c r="AP49">
        <v>32485.474064136961</v>
      </c>
      <c r="AQ49">
        <v>1020</v>
      </c>
      <c r="AR49">
        <v>31465.474064136961</v>
      </c>
      <c r="AS49">
        <v>1.0828056788699869</v>
      </c>
      <c r="AT49">
        <v>3.3915084478981199</v>
      </c>
      <c r="AU49">
        <v>1.7262777999801431</v>
      </c>
      <c r="AV49">
        <v>16015.926298645711</v>
      </c>
      <c r="AW49">
        <v>752.04446005917168</v>
      </c>
      <c r="AZ49">
        <f t="shared" si="0"/>
        <v>129.93965024581843</v>
      </c>
      <c r="BA49">
        <f t="shared" si="1"/>
        <v>-5.8696438566188246E-2</v>
      </c>
      <c r="BB49">
        <f t="shared" si="2"/>
        <v>136.60126730642918</v>
      </c>
      <c r="BC49">
        <f t="shared" si="3"/>
        <v>-0.11297263712312043</v>
      </c>
      <c r="BD49">
        <v>0.84499999999999997</v>
      </c>
      <c r="BF49">
        <v>0.72</v>
      </c>
    </row>
    <row r="50" spans="1:58" x14ac:dyDescent="0.25">
      <c r="A50" t="s">
        <v>77</v>
      </c>
      <c r="B50">
        <v>8</v>
      </c>
      <c r="C50">
        <v>0.4</v>
      </c>
      <c r="D50">
        <v>10000</v>
      </c>
      <c r="E50">
        <v>4.4173984071880739</v>
      </c>
      <c r="F50">
        <v>0</v>
      </c>
      <c r="G50">
        <v>27.04</v>
      </c>
      <c r="H50">
        <v>24.2</v>
      </c>
      <c r="I50">
        <v>140125</v>
      </c>
      <c r="J50">
        <v>1.8457E-5</v>
      </c>
      <c r="K50">
        <v>1007</v>
      </c>
      <c r="L50">
        <v>2.259598225E-2</v>
      </c>
      <c r="M50">
        <v>1.6419999999999999</v>
      </c>
      <c r="N50">
        <v>25.446109352589929</v>
      </c>
      <c r="O50">
        <v>1126.0456270764121</v>
      </c>
      <c r="P50">
        <v>1126</v>
      </c>
      <c r="Q50">
        <v>1.304</v>
      </c>
      <c r="R50">
        <v>47.67</v>
      </c>
      <c r="S50">
        <v>1.2989999999999999</v>
      </c>
      <c r="T50">
        <v>45.17</v>
      </c>
      <c r="U50">
        <v>62.161679999999997</v>
      </c>
      <c r="V50">
        <v>58.675829999999998</v>
      </c>
      <c r="W50">
        <v>120.83750999999999</v>
      </c>
      <c r="X50">
        <v>33.353087702547107</v>
      </c>
      <c r="Y50">
        <v>9440.4304687500007</v>
      </c>
      <c r="Z50">
        <v>121.9743582043865</v>
      </c>
      <c r="AA50">
        <v>9318.4561105456141</v>
      </c>
      <c r="AB50">
        <v>2.2595982249999998E-3</v>
      </c>
      <c r="AC50">
        <v>24.63067623353643</v>
      </c>
      <c r="AD50">
        <v>297.78067623353638</v>
      </c>
      <c r="AE50">
        <v>297.53886</v>
      </c>
      <c r="AF50">
        <v>302.65823999999998</v>
      </c>
      <c r="AG50">
        <v>301.93315999999999</v>
      </c>
      <c r="AH50">
        <v>306.78073000000001</v>
      </c>
      <c r="AI50">
        <v>306.99130000000002</v>
      </c>
      <c r="AJ50">
        <v>35528.620000000003</v>
      </c>
      <c r="AK50">
        <v>3.9153694000000003E-3</v>
      </c>
      <c r="AL50">
        <v>5.5608716000000004E-4</v>
      </c>
      <c r="AM50">
        <v>5.5606958999999999E-4</v>
      </c>
      <c r="AN50">
        <v>809.64604801669236</v>
      </c>
      <c r="AO50">
        <v>137.5588139575022</v>
      </c>
      <c r="AP50">
        <v>38684.41904200249</v>
      </c>
      <c r="AQ50">
        <v>1133</v>
      </c>
      <c r="AR50">
        <v>37551.41904200249</v>
      </c>
      <c r="AS50">
        <v>1.0888241378922821</v>
      </c>
      <c r="AT50">
        <v>3.3659967983275041</v>
      </c>
      <c r="AU50">
        <v>1.7132923703487</v>
      </c>
      <c r="AV50">
        <v>19113.672292379269</v>
      </c>
      <c r="AW50">
        <v>835.65023113905329</v>
      </c>
      <c r="AZ50">
        <f t="shared" si="0"/>
        <v>141.21504198954085</v>
      </c>
      <c r="BA50">
        <f t="shared" si="1"/>
        <v>-2.6579380316322152E-2</v>
      </c>
      <c r="BB50">
        <f t="shared" si="2"/>
        <v>151.03166948110143</v>
      </c>
      <c r="BC50">
        <f t="shared" si="3"/>
        <v>-9.794251008707866E-2</v>
      </c>
      <c r="BD50">
        <v>0.84499999999999997</v>
      </c>
      <c r="BF50">
        <v>0.72</v>
      </c>
    </row>
    <row r="51" spans="1:58" x14ac:dyDescent="0.25">
      <c r="A51" t="s">
        <v>77</v>
      </c>
      <c r="B51">
        <v>8</v>
      </c>
      <c r="C51">
        <v>0.4</v>
      </c>
      <c r="D51">
        <v>11000</v>
      </c>
      <c r="E51">
        <v>4.4173984071880739</v>
      </c>
      <c r="F51">
        <v>0</v>
      </c>
      <c r="G51">
        <v>27.04</v>
      </c>
      <c r="H51">
        <v>24.2</v>
      </c>
      <c r="I51">
        <v>146625</v>
      </c>
      <c r="J51">
        <v>1.8457999999999998E-5</v>
      </c>
      <c r="K51">
        <v>1007</v>
      </c>
      <c r="L51">
        <v>2.485692715000001E-2</v>
      </c>
      <c r="M51">
        <v>1.718</v>
      </c>
      <c r="N51">
        <v>26.753930655485611</v>
      </c>
      <c r="O51">
        <v>1238.717299833887</v>
      </c>
      <c r="P51">
        <v>1239</v>
      </c>
      <c r="Q51">
        <v>1.304</v>
      </c>
      <c r="R51">
        <v>47.67</v>
      </c>
      <c r="S51">
        <v>1.2989999999999999</v>
      </c>
      <c r="T51">
        <v>46.9</v>
      </c>
      <c r="U51">
        <v>62.161679999999997</v>
      </c>
      <c r="V51">
        <v>60.923099999999998</v>
      </c>
      <c r="W51">
        <v>123.08477999999999</v>
      </c>
      <c r="X51">
        <v>32.849767637102232</v>
      </c>
      <c r="Y51">
        <v>9615.9984374999985</v>
      </c>
      <c r="Z51">
        <v>111.24709764955971</v>
      </c>
      <c r="AA51">
        <v>9504.7513398504379</v>
      </c>
      <c r="AB51">
        <v>2.485692715E-3</v>
      </c>
      <c r="AC51">
        <v>24.651380094786671</v>
      </c>
      <c r="AD51">
        <v>297.80138009478662</v>
      </c>
      <c r="AE51">
        <v>297.53023000000002</v>
      </c>
      <c r="AF51">
        <v>302.04516000000001</v>
      </c>
      <c r="AG51">
        <v>301.23034999999999</v>
      </c>
      <c r="AH51">
        <v>306.30617999999998</v>
      </c>
      <c r="AI51">
        <v>305.63458000000003</v>
      </c>
      <c r="AJ51">
        <v>41000.201000000001</v>
      </c>
      <c r="AK51">
        <v>3.9153694000000003E-3</v>
      </c>
      <c r="AL51">
        <v>5.5608716000000004E-4</v>
      </c>
      <c r="AM51">
        <v>5.5606958999999999E-4</v>
      </c>
      <c r="AN51">
        <v>971.37114889806776</v>
      </c>
      <c r="AO51">
        <v>165.03589868964519</v>
      </c>
      <c r="AP51">
        <v>45330.842338072682</v>
      </c>
      <c r="AQ51">
        <v>1247</v>
      </c>
      <c r="AR51">
        <v>44083.842338072682</v>
      </c>
      <c r="AS51">
        <v>1.1056248806700411</v>
      </c>
      <c r="AT51">
        <v>3.352953261417372</v>
      </c>
      <c r="AU51">
        <v>1.706653210061442</v>
      </c>
      <c r="AV51">
        <v>22438.67575007899</v>
      </c>
      <c r="AW51">
        <v>919.26505732248552</v>
      </c>
      <c r="AZ51">
        <f t="shared" si="0"/>
        <v>152.25546929515644</v>
      </c>
      <c r="BA51">
        <f t="shared" si="1"/>
        <v>7.7440299328588619E-2</v>
      </c>
      <c r="BB51">
        <f t="shared" si="2"/>
        <v>165.39449370672276</v>
      </c>
      <c r="BC51">
        <f t="shared" si="3"/>
        <v>-2.1728303958395753E-3</v>
      </c>
      <c r="BD51">
        <v>0.84499999999999997</v>
      </c>
      <c r="BF51">
        <v>0.72</v>
      </c>
    </row>
    <row r="52" spans="1:58" x14ac:dyDescent="0.25">
      <c r="A52" t="s">
        <v>77</v>
      </c>
      <c r="B52">
        <v>8</v>
      </c>
      <c r="C52">
        <v>0.4</v>
      </c>
      <c r="D52">
        <v>12000</v>
      </c>
      <c r="E52">
        <v>4.4173984071880739</v>
      </c>
      <c r="F52">
        <v>0</v>
      </c>
      <c r="G52">
        <v>27.04</v>
      </c>
      <c r="H52">
        <v>24.2</v>
      </c>
      <c r="I52">
        <v>153425</v>
      </c>
      <c r="J52">
        <v>1.8459000000000001E-5</v>
      </c>
      <c r="K52">
        <v>1007</v>
      </c>
      <c r="L52">
        <v>2.711811690000001E-2</v>
      </c>
      <c r="M52">
        <v>1.798</v>
      </c>
      <c r="N52">
        <v>27.889013865669291</v>
      </c>
      <c r="O52">
        <v>1351.401174418605</v>
      </c>
      <c r="P52">
        <v>1351</v>
      </c>
      <c r="Q52">
        <v>1.304</v>
      </c>
      <c r="R52">
        <v>47.67</v>
      </c>
      <c r="S52">
        <v>1.2989999999999999</v>
      </c>
      <c r="T52">
        <v>46.91</v>
      </c>
      <c r="U52">
        <v>62.161679999999997</v>
      </c>
      <c r="V52">
        <v>60.936089999999993</v>
      </c>
      <c r="W52">
        <v>123.09777</v>
      </c>
      <c r="X52">
        <v>32.394877791404028</v>
      </c>
      <c r="Y52">
        <v>9617.0132812499996</v>
      </c>
      <c r="Z52">
        <v>101.5520303681942</v>
      </c>
      <c r="AA52">
        <v>9515.4612508818063</v>
      </c>
      <c r="AB52">
        <v>2.71181169E-3</v>
      </c>
      <c r="AC52">
        <v>24.662125174685521</v>
      </c>
      <c r="AD52">
        <v>297.81212517468549</v>
      </c>
      <c r="AE52">
        <v>297.52181000000002</v>
      </c>
      <c r="AF52">
        <v>301.62076000000002</v>
      </c>
      <c r="AG52">
        <v>300.68072999999998</v>
      </c>
      <c r="AH52">
        <v>305.42363999999998</v>
      </c>
      <c r="AI52">
        <v>305.51790999999997</v>
      </c>
      <c r="AJ52">
        <v>48887.866000000002</v>
      </c>
      <c r="AK52">
        <v>3.9153694000000003E-3</v>
      </c>
      <c r="AL52">
        <v>5.5608716000000004E-4</v>
      </c>
      <c r="AM52">
        <v>5.5606958999999999E-4</v>
      </c>
      <c r="AN52">
        <v>1116.8951380229651</v>
      </c>
      <c r="AO52">
        <v>189.76041552687499</v>
      </c>
      <c r="AP52">
        <v>52059.278498702333</v>
      </c>
      <c r="AQ52">
        <v>1360</v>
      </c>
      <c r="AR52">
        <v>50699.278498702333</v>
      </c>
      <c r="AS52">
        <v>1.064871158391375</v>
      </c>
      <c r="AT52">
        <v>3.3289238393807241</v>
      </c>
      <c r="AU52">
        <v>1.6944222342447881</v>
      </c>
      <c r="AV52">
        <v>25805.932755839491</v>
      </c>
      <c r="AW52">
        <v>1002.888938609468</v>
      </c>
      <c r="AZ52">
        <f t="shared" si="0"/>
        <v>163.08661085267241</v>
      </c>
      <c r="BA52">
        <f t="shared" si="1"/>
        <v>0.14056569490608478</v>
      </c>
      <c r="BB52">
        <f t="shared" si="2"/>
        <v>179.69617626553608</v>
      </c>
      <c r="BC52">
        <f t="shared" si="3"/>
        <v>5.3036557879551832E-2</v>
      </c>
      <c r="BD52">
        <v>0.84499999999999997</v>
      </c>
      <c r="BF52">
        <v>0.72</v>
      </c>
    </row>
    <row r="53" spans="1:58" x14ac:dyDescent="0.25">
      <c r="A53" t="s">
        <v>77</v>
      </c>
      <c r="B53">
        <v>8</v>
      </c>
      <c r="C53">
        <v>0.4</v>
      </c>
      <c r="D53">
        <v>13000</v>
      </c>
      <c r="E53">
        <v>4.4173984071880739</v>
      </c>
      <c r="F53">
        <v>0</v>
      </c>
      <c r="G53">
        <v>27.04</v>
      </c>
      <c r="H53">
        <v>24.2</v>
      </c>
      <c r="I53">
        <v>161325</v>
      </c>
      <c r="J53">
        <v>1.8459999999999999E-5</v>
      </c>
      <c r="K53">
        <v>1008</v>
      </c>
      <c r="L53">
        <v>2.93795515E-2</v>
      </c>
      <c r="M53">
        <v>1.891</v>
      </c>
      <c r="N53">
        <v>28.728764542570079</v>
      </c>
      <c r="O53">
        <v>1464.0972508305649</v>
      </c>
      <c r="P53">
        <v>1464</v>
      </c>
      <c r="Q53">
        <v>1.401</v>
      </c>
      <c r="R53">
        <v>50.7</v>
      </c>
      <c r="S53">
        <v>1.4</v>
      </c>
      <c r="T53">
        <v>50.44</v>
      </c>
      <c r="U53">
        <v>71.03070000000001</v>
      </c>
      <c r="V53">
        <v>70.615999999999985</v>
      </c>
      <c r="W53">
        <v>141.64670000000001</v>
      </c>
      <c r="X53">
        <v>33.17939337857289</v>
      </c>
      <c r="Y53">
        <v>11066.1484375</v>
      </c>
      <c r="Z53">
        <v>118.272411077524</v>
      </c>
      <c r="AA53">
        <v>10947.87602642248</v>
      </c>
      <c r="AB53">
        <v>2.9379551500000002E-3</v>
      </c>
      <c r="AC53">
        <v>24.68323360065801</v>
      </c>
      <c r="AD53">
        <v>297.83323360065799</v>
      </c>
      <c r="AE53">
        <v>297.51544999999999</v>
      </c>
      <c r="AF53">
        <v>301.76398</v>
      </c>
      <c r="AG53">
        <v>300.81974000000002</v>
      </c>
      <c r="AH53">
        <v>306.20218999999997</v>
      </c>
      <c r="AI53">
        <v>305.87606</v>
      </c>
      <c r="AJ53">
        <v>54436.627</v>
      </c>
      <c r="AK53">
        <v>3.9153694000000003E-3</v>
      </c>
      <c r="AL53">
        <v>5.5608716000000004E-4</v>
      </c>
      <c r="AM53">
        <v>5.5606958999999999E-4</v>
      </c>
      <c r="AN53">
        <v>1193.9016146387251</v>
      </c>
      <c r="AO53">
        <v>202.84381118632211</v>
      </c>
      <c r="AP53">
        <v>59956.182808965663</v>
      </c>
      <c r="AQ53">
        <v>1474</v>
      </c>
      <c r="AR53">
        <v>58482.182808965663</v>
      </c>
      <c r="AS53">
        <v>1.101394155243411</v>
      </c>
      <c r="AT53">
        <v>3.3733136562291461</v>
      </c>
      <c r="AU53">
        <v>1.7170166510206351</v>
      </c>
      <c r="AV53">
        <v>29767.43104976352</v>
      </c>
      <c r="AW53">
        <v>1086.5218749999999</v>
      </c>
      <c r="AZ53">
        <f t="shared" si="0"/>
        <v>173.72943976106276</v>
      </c>
      <c r="BA53">
        <f t="shared" si="1"/>
        <v>0.14353098206440398</v>
      </c>
      <c r="BB53">
        <f t="shared" si="2"/>
        <v>193.94205357275712</v>
      </c>
      <c r="BC53">
        <f t="shared" si="3"/>
        <v>4.3884787815331915E-2</v>
      </c>
      <c r="BD53">
        <v>0.84499999999999997</v>
      </c>
      <c r="BF53">
        <v>0.72</v>
      </c>
    </row>
    <row r="54" spans="1:58" x14ac:dyDescent="0.25">
      <c r="A54" t="s">
        <v>77</v>
      </c>
      <c r="B54">
        <v>8</v>
      </c>
      <c r="C54">
        <v>0.4</v>
      </c>
      <c r="D54">
        <v>14000</v>
      </c>
      <c r="E54">
        <v>4.4173984071880739</v>
      </c>
      <c r="F54">
        <v>0</v>
      </c>
      <c r="G54">
        <v>27.04</v>
      </c>
      <c r="H54">
        <v>24.2</v>
      </c>
      <c r="I54">
        <v>168625</v>
      </c>
      <c r="J54">
        <v>1.8461000000000002E-5</v>
      </c>
      <c r="K54">
        <v>1008</v>
      </c>
      <c r="L54">
        <v>3.1641230950000002E-2</v>
      </c>
      <c r="M54">
        <v>1.976</v>
      </c>
      <c r="N54">
        <v>29.609409577279429</v>
      </c>
      <c r="O54">
        <v>1576.805529069768</v>
      </c>
      <c r="P54">
        <v>1577</v>
      </c>
      <c r="Q54">
        <v>1.401</v>
      </c>
      <c r="R54">
        <v>50.7</v>
      </c>
      <c r="S54">
        <v>1.4</v>
      </c>
      <c r="T54">
        <v>50.44</v>
      </c>
      <c r="U54">
        <v>71.03070000000001</v>
      </c>
      <c r="V54">
        <v>70.615999999999985</v>
      </c>
      <c r="W54">
        <v>141.64670000000001</v>
      </c>
      <c r="X54">
        <v>32.853007275886412</v>
      </c>
      <c r="Y54">
        <v>11066.1484375</v>
      </c>
      <c r="Z54">
        <v>111.316144070967</v>
      </c>
      <c r="AA54">
        <v>10954.83229342903</v>
      </c>
      <c r="AB54">
        <v>3.1641230950000001E-3</v>
      </c>
      <c r="AC54">
        <v>24.67562333713413</v>
      </c>
      <c r="AD54">
        <v>297.82562333713412</v>
      </c>
      <c r="AE54">
        <v>297.49103000000002</v>
      </c>
      <c r="AF54">
        <v>301.32567</v>
      </c>
      <c r="AG54">
        <v>300.31524000000002</v>
      </c>
      <c r="AH54">
        <v>305.46749999999997</v>
      </c>
      <c r="AI54">
        <v>305.74984000000001</v>
      </c>
      <c r="AJ54">
        <v>60251.500999999997</v>
      </c>
      <c r="AK54">
        <v>3.9153694000000003E-3</v>
      </c>
      <c r="AL54">
        <v>5.5608716000000004E-4</v>
      </c>
      <c r="AM54">
        <v>5.5606958999999999E-4</v>
      </c>
      <c r="AN54">
        <v>1342.281038871565</v>
      </c>
      <c r="AO54">
        <v>228.05346627346171</v>
      </c>
      <c r="AP54">
        <v>67323.639237298878</v>
      </c>
      <c r="AQ54">
        <v>1587</v>
      </c>
      <c r="AR54">
        <v>65736.639237298878</v>
      </c>
      <c r="AS54">
        <v>1.117376963559777</v>
      </c>
      <c r="AT54">
        <v>3.359200125562849</v>
      </c>
      <c r="AU54">
        <v>1.7098328639114899</v>
      </c>
      <c r="AV54">
        <v>33459.949371785129</v>
      </c>
      <c r="AW54">
        <v>1170.1638664940831</v>
      </c>
      <c r="AZ54">
        <f t="shared" si="0"/>
        <v>184.20138108491696</v>
      </c>
      <c r="BA54">
        <f t="shared" si="1"/>
        <v>0.1922886150564411</v>
      </c>
      <c r="BB54">
        <f t="shared" si="2"/>
        <v>208.13662064363695</v>
      </c>
      <c r="BC54">
        <f t="shared" si="3"/>
        <v>8.7334106143084136E-2</v>
      </c>
      <c r="BD54">
        <v>0.84499999999999997</v>
      </c>
      <c r="BF54">
        <v>0.72</v>
      </c>
    </row>
    <row r="55" spans="1:58" x14ac:dyDescent="0.25">
      <c r="A55" t="s">
        <v>77</v>
      </c>
      <c r="B55">
        <v>8</v>
      </c>
      <c r="C55">
        <v>0.4</v>
      </c>
      <c r="D55">
        <v>15000</v>
      </c>
      <c r="E55">
        <v>4.4173984071880739</v>
      </c>
      <c r="F55">
        <v>0</v>
      </c>
      <c r="G55">
        <v>27.04</v>
      </c>
      <c r="H55">
        <v>24.2</v>
      </c>
      <c r="I55">
        <v>176525</v>
      </c>
      <c r="J55">
        <v>1.8462999999999999E-5</v>
      </c>
      <c r="K55">
        <v>1007</v>
      </c>
      <c r="L55">
        <v>3.3904991624999999E-2</v>
      </c>
      <c r="M55">
        <v>2.069</v>
      </c>
      <c r="N55">
        <v>30.30166327618036</v>
      </c>
      <c r="O55">
        <v>1689.6175228405309</v>
      </c>
      <c r="P55">
        <v>1690</v>
      </c>
      <c r="Q55">
        <v>1.401</v>
      </c>
      <c r="R55">
        <v>50.7</v>
      </c>
      <c r="S55">
        <v>1.4</v>
      </c>
      <c r="T55">
        <v>50.44</v>
      </c>
      <c r="U55">
        <v>71.03070000000001</v>
      </c>
      <c r="V55">
        <v>70.615999999999985</v>
      </c>
      <c r="W55">
        <v>141.64670000000001</v>
      </c>
      <c r="X55">
        <v>32.473871790310163</v>
      </c>
      <c r="Y55">
        <v>11066.1484375</v>
      </c>
      <c r="Z55">
        <v>103.2356294668804</v>
      </c>
      <c r="AA55">
        <v>10962.912808033119</v>
      </c>
      <c r="AB55">
        <v>3.3904991624999999E-3</v>
      </c>
      <c r="AC55">
        <v>24.64252594437524</v>
      </c>
      <c r="AD55">
        <v>297.7925259443752</v>
      </c>
      <c r="AE55">
        <v>297.43525</v>
      </c>
      <c r="AF55">
        <v>300.67698000000001</v>
      </c>
      <c r="AG55">
        <v>299.74727000000001</v>
      </c>
      <c r="AH55">
        <v>305.12139999999999</v>
      </c>
      <c r="AI55">
        <v>304.62196</v>
      </c>
      <c r="AJ55">
        <v>67861.36</v>
      </c>
      <c r="AK55">
        <v>3.9153694000000003E-3</v>
      </c>
      <c r="AL55">
        <v>5.5608716000000004E-4</v>
      </c>
      <c r="AM55">
        <v>5.5606958999999999E-4</v>
      </c>
      <c r="AN55">
        <v>1529.605705329082</v>
      </c>
      <c r="AO55">
        <v>259.87991562871059</v>
      </c>
      <c r="AP55">
        <v>75241.270305797705</v>
      </c>
      <c r="AQ55">
        <v>1701</v>
      </c>
      <c r="AR55">
        <v>73540.270305797705</v>
      </c>
      <c r="AS55">
        <v>1.108749814412763</v>
      </c>
      <c r="AT55">
        <v>3.3689819711022588</v>
      </c>
      <c r="AU55">
        <v>1.7148118232910501</v>
      </c>
      <c r="AV55">
        <v>37431.997585651043</v>
      </c>
      <c r="AW55">
        <v>1253.8828263683431</v>
      </c>
      <c r="AZ55">
        <f t="shared" si="0"/>
        <v>194.51712227382438</v>
      </c>
      <c r="BA55">
        <f t="shared" si="1"/>
        <v>0.25151152291533668</v>
      </c>
      <c r="BB55">
        <f t="shared" si="2"/>
        <v>222.28371460051517</v>
      </c>
      <c r="BC55">
        <f t="shared" si="3"/>
        <v>0.14466758978754235</v>
      </c>
      <c r="BD55">
        <v>0.84499999999999997</v>
      </c>
      <c r="BF55">
        <v>0.72</v>
      </c>
    </row>
    <row r="56" spans="1:58" x14ac:dyDescent="0.25">
      <c r="A56" t="s">
        <v>77</v>
      </c>
      <c r="B56">
        <v>8</v>
      </c>
      <c r="C56">
        <v>0.4</v>
      </c>
      <c r="D56" t="s">
        <v>51</v>
      </c>
      <c r="E56">
        <v>1.204</v>
      </c>
    </row>
    <row r="57" spans="1:58" x14ac:dyDescent="0.25">
      <c r="A57" t="s">
        <v>78</v>
      </c>
    </row>
    <row r="58" spans="1:58" x14ac:dyDescent="0.25">
      <c r="A58" t="s">
        <v>79</v>
      </c>
      <c r="B58">
        <v>8</v>
      </c>
      <c r="C58">
        <v>0.5</v>
      </c>
      <c r="D58">
        <v>400</v>
      </c>
      <c r="E58">
        <v>4.2427889305334494</v>
      </c>
      <c r="F58">
        <v>610.30008110300071</v>
      </c>
      <c r="G58">
        <v>25.824000000000002</v>
      </c>
      <c r="H58">
        <v>25.1</v>
      </c>
      <c r="I58">
        <v>101425</v>
      </c>
      <c r="J58">
        <v>1.8495000000000002E-5</v>
      </c>
      <c r="K58">
        <v>1007</v>
      </c>
      <c r="L58">
        <v>9.0056778750000012E-4</v>
      </c>
      <c r="M58">
        <v>1.1850000000000001</v>
      </c>
      <c r="N58">
        <v>1.4714467480942079</v>
      </c>
      <c r="O58">
        <v>44.878793397009971</v>
      </c>
      <c r="P58">
        <v>45</v>
      </c>
      <c r="Q58">
        <v>0.6</v>
      </c>
      <c r="R58">
        <v>21.63</v>
      </c>
      <c r="S58">
        <v>0.6</v>
      </c>
      <c r="T58">
        <v>22.24</v>
      </c>
      <c r="U58">
        <v>12.978</v>
      </c>
      <c r="V58">
        <v>13.343999999999999</v>
      </c>
      <c r="W58">
        <v>26.321999999999999</v>
      </c>
      <c r="X58">
        <v>42.747991792767358</v>
      </c>
      <c r="Y58">
        <v>2056.40625</v>
      </c>
      <c r="Z58">
        <v>322.20794907925062</v>
      </c>
      <c r="AA58">
        <v>1734.198300920749</v>
      </c>
      <c r="AB58">
        <v>9.0056778750000012E-5</v>
      </c>
      <c r="AC58">
        <v>25.607883502892498</v>
      </c>
      <c r="AD58">
        <v>298.75788350289253</v>
      </c>
      <c r="AE58">
        <v>298.75720000000001</v>
      </c>
      <c r="AF58">
        <v>323.33676000000003</v>
      </c>
      <c r="AG58">
        <v>316.94891000000001</v>
      </c>
      <c r="AH58">
        <v>318.07729999999998</v>
      </c>
      <c r="AI58">
        <v>318.03156000000001</v>
      </c>
      <c r="AJ58">
        <v>123.91598</v>
      </c>
      <c r="AK58">
        <v>3.8923384000000001E-3</v>
      </c>
      <c r="AL58">
        <v>5.3502292999999999E-4</v>
      </c>
      <c r="AM58">
        <v>5.3504379999999997E-4</v>
      </c>
      <c r="AN58">
        <v>72.849339591958753</v>
      </c>
      <c r="AO58">
        <v>11.88786044682441</v>
      </c>
      <c r="AP58">
        <v>100.5220426890086</v>
      </c>
      <c r="AQ58">
        <v>45</v>
      </c>
      <c r="AR58">
        <v>55.522042689008572</v>
      </c>
      <c r="AS58">
        <v>0.81121129566185546</v>
      </c>
      <c r="AT58">
        <v>2.3021321915208288</v>
      </c>
      <c r="AU58">
        <v>1.1188362450791229</v>
      </c>
      <c r="AV58">
        <v>48.853712746858157</v>
      </c>
      <c r="AW58">
        <v>34.873287929832728</v>
      </c>
      <c r="AZ58">
        <f t="shared" si="0"/>
        <v>11.004455097629215</v>
      </c>
      <c r="BA58">
        <f t="shared" si="1"/>
        <v>7.4311551111047758E-2</v>
      </c>
      <c r="BB58">
        <f t="shared" si="2"/>
        <v>7.4130632656120135</v>
      </c>
      <c r="BC58">
        <f t="shared" si="3"/>
        <v>0.37641737142092241</v>
      </c>
      <c r="BD58">
        <v>0.80700000000000005</v>
      </c>
      <c r="BF58">
        <v>0.72</v>
      </c>
    </row>
    <row r="59" spans="1:58" x14ac:dyDescent="0.25">
      <c r="A59" t="s">
        <v>79</v>
      </c>
      <c r="B59">
        <v>8</v>
      </c>
      <c r="C59">
        <v>0.5</v>
      </c>
      <c r="D59">
        <v>600</v>
      </c>
      <c r="E59">
        <v>4.2427889305334494</v>
      </c>
      <c r="F59">
        <v>908.66900964224556</v>
      </c>
      <c r="G59">
        <v>25.824000000000002</v>
      </c>
      <c r="H59">
        <v>25.1</v>
      </c>
      <c r="I59">
        <v>101565</v>
      </c>
      <c r="J59">
        <v>1.8495000000000002E-5</v>
      </c>
      <c r="K59">
        <v>1007</v>
      </c>
      <c r="L59">
        <v>1.3508516812499999E-3</v>
      </c>
      <c r="M59">
        <v>1.1859999999999999</v>
      </c>
      <c r="N59">
        <v>2.2053091018022379</v>
      </c>
      <c r="O59">
        <v>67.31819009551495</v>
      </c>
      <c r="P59">
        <v>67</v>
      </c>
      <c r="Q59">
        <v>0.6</v>
      </c>
      <c r="R59">
        <v>21.63</v>
      </c>
      <c r="S59">
        <v>0.6</v>
      </c>
      <c r="T59">
        <v>22.24</v>
      </c>
      <c r="U59">
        <v>12.978</v>
      </c>
      <c r="V59">
        <v>13.343999999999999</v>
      </c>
      <c r="W59">
        <v>26.321999999999999</v>
      </c>
      <c r="X59">
        <v>38.376775482362113</v>
      </c>
      <c r="Y59">
        <v>2056.40625</v>
      </c>
      <c r="Z59">
        <v>229.0442158555835</v>
      </c>
      <c r="AA59">
        <v>1827.3620341444171</v>
      </c>
      <c r="AB59">
        <v>1.3508516812499999E-4</v>
      </c>
      <c r="AC59">
        <v>25.64629312024945</v>
      </c>
      <c r="AD59">
        <v>298.7962931202494</v>
      </c>
      <c r="AE59">
        <v>298.79471000000001</v>
      </c>
      <c r="AF59">
        <v>315.92799000000002</v>
      </c>
      <c r="AG59">
        <v>311.67554999999999</v>
      </c>
      <c r="AH59">
        <v>312.81110000000001</v>
      </c>
      <c r="AI59">
        <v>312.84823999999998</v>
      </c>
      <c r="AJ59">
        <v>246.77235999999999</v>
      </c>
      <c r="AK59">
        <v>3.8923384000000001E-3</v>
      </c>
      <c r="AL59">
        <v>5.3502292999999999E-4</v>
      </c>
      <c r="AM59">
        <v>5.3504379999999997E-4</v>
      </c>
      <c r="AN59">
        <v>103.2964441504956</v>
      </c>
      <c r="AO59">
        <v>16.856346530968828</v>
      </c>
      <c r="AP59">
        <v>248.88598713701029</v>
      </c>
      <c r="AQ59">
        <v>68</v>
      </c>
      <c r="AR59">
        <v>180.88598713701029</v>
      </c>
      <c r="AS59">
        <v>1.008565088638818</v>
      </c>
      <c r="AT59">
        <v>3.3348007983900212</v>
      </c>
      <c r="AU59">
        <v>1.62071318801755</v>
      </c>
      <c r="AV59">
        <v>120.958589748587</v>
      </c>
      <c r="AW59">
        <v>52.309931894749091</v>
      </c>
      <c r="AZ59">
        <f t="shared" si="0"/>
        <v>15.158122729878134</v>
      </c>
      <c r="BA59">
        <f t="shared" si="1"/>
        <v>0.1007468491449605</v>
      </c>
      <c r="BB59">
        <f t="shared" si="2"/>
        <v>10.910315994719593</v>
      </c>
      <c r="BC59">
        <f t="shared" si="3"/>
        <v>0.35274728870369776</v>
      </c>
      <c r="BD59">
        <v>0.80700000000000005</v>
      </c>
      <c r="BF59">
        <v>0.72</v>
      </c>
    </row>
    <row r="60" spans="1:58" x14ac:dyDescent="0.25">
      <c r="A60" t="s">
        <v>79</v>
      </c>
      <c r="B60">
        <v>8</v>
      </c>
      <c r="C60">
        <v>0.5</v>
      </c>
      <c r="D60">
        <v>800</v>
      </c>
      <c r="E60">
        <v>4.2427889305334494</v>
      </c>
      <c r="F60">
        <v>1220.27027027027</v>
      </c>
      <c r="G60">
        <v>25.824000000000002</v>
      </c>
      <c r="H60">
        <v>25.2</v>
      </c>
      <c r="I60">
        <v>101775</v>
      </c>
      <c r="J60">
        <v>1.8499999999999999E-5</v>
      </c>
      <c r="K60">
        <v>1007</v>
      </c>
      <c r="L60">
        <v>1.8016225000000001E-3</v>
      </c>
      <c r="M60">
        <v>1.1879999999999999</v>
      </c>
      <c r="N60">
        <v>2.9362555295311652</v>
      </c>
      <c r="O60">
        <v>89.781852159468428</v>
      </c>
      <c r="P60">
        <v>90</v>
      </c>
      <c r="Q60">
        <v>0.6</v>
      </c>
      <c r="R60">
        <v>21.63</v>
      </c>
      <c r="S60">
        <v>0.6</v>
      </c>
      <c r="T60">
        <v>22.24</v>
      </c>
      <c r="U60">
        <v>12.978</v>
      </c>
      <c r="V60">
        <v>13.343999999999999</v>
      </c>
      <c r="W60">
        <v>26.321999999999999</v>
      </c>
      <c r="X60">
        <v>35.846650157971141</v>
      </c>
      <c r="Y60">
        <v>2056.40625</v>
      </c>
      <c r="Z60">
        <v>175.1196548168389</v>
      </c>
      <c r="AA60">
        <v>1881.2865951831609</v>
      </c>
      <c r="AB60">
        <v>1.8016224999999999E-4</v>
      </c>
      <c r="AC60">
        <v>25.719089460051819</v>
      </c>
      <c r="AD60">
        <v>298.86908946005178</v>
      </c>
      <c r="AE60">
        <v>298.86630000000002</v>
      </c>
      <c r="AF60">
        <v>312.21233000000001</v>
      </c>
      <c r="AG60">
        <v>308.97032999999999</v>
      </c>
      <c r="AH60">
        <v>310.12612999999999</v>
      </c>
      <c r="AI60">
        <v>310.11869999999999</v>
      </c>
      <c r="AJ60">
        <v>403.96120999999999</v>
      </c>
      <c r="AK60">
        <v>3.8923384000000001E-3</v>
      </c>
      <c r="AL60">
        <v>5.3502292999999999E-4</v>
      </c>
      <c r="AM60">
        <v>5.3504379999999997E-4</v>
      </c>
      <c r="AN60">
        <v>131.88349836594949</v>
      </c>
      <c r="AO60">
        <v>21.521301807195261</v>
      </c>
      <c r="AP60">
        <v>465.46709171813768</v>
      </c>
      <c r="AQ60">
        <v>91</v>
      </c>
      <c r="AR60">
        <v>374.46709171813768</v>
      </c>
      <c r="AS60">
        <v>1.1522569004042189</v>
      </c>
      <c r="AT60">
        <v>3.8844673762099911</v>
      </c>
      <c r="AU60">
        <v>1.8878511448380551</v>
      </c>
      <c r="AV60">
        <v>226.21700657501489</v>
      </c>
      <c r="AW60">
        <v>69.765431381660477</v>
      </c>
      <c r="AZ60">
        <f t="shared" si="0"/>
        <v>19.024884692455448</v>
      </c>
      <c r="BA60">
        <f t="shared" si="1"/>
        <v>0.11599749574187845</v>
      </c>
      <c r="BB60">
        <f t="shared" si="2"/>
        <v>14.352297784338042</v>
      </c>
      <c r="BC60">
        <f t="shared" si="3"/>
        <v>0.33311200628487964</v>
      </c>
      <c r="BD60">
        <v>0.80700000000000005</v>
      </c>
      <c r="BF60">
        <v>0.72</v>
      </c>
    </row>
    <row r="61" spans="1:58" x14ac:dyDescent="0.25">
      <c r="A61" t="s">
        <v>79</v>
      </c>
      <c r="B61">
        <v>8</v>
      </c>
      <c r="C61">
        <v>0.5</v>
      </c>
      <c r="D61">
        <v>1000</v>
      </c>
      <c r="E61">
        <v>4.2427889305334494</v>
      </c>
      <c r="F61">
        <v>1518.9690907452459</v>
      </c>
      <c r="G61">
        <v>25.824000000000002</v>
      </c>
      <c r="H61">
        <v>25.1</v>
      </c>
      <c r="I61">
        <v>102025</v>
      </c>
      <c r="J61">
        <v>1.8495000000000002E-5</v>
      </c>
      <c r="K61">
        <v>1007</v>
      </c>
      <c r="L61">
        <v>2.2514194687499999E-3</v>
      </c>
      <c r="M61">
        <v>1.1919999999999999</v>
      </c>
      <c r="N61">
        <v>3.6570142543868198</v>
      </c>
      <c r="O61">
        <v>112.19698349252489</v>
      </c>
      <c r="P61">
        <v>112</v>
      </c>
      <c r="Q61">
        <v>0.6</v>
      </c>
      <c r="R61">
        <v>21.63</v>
      </c>
      <c r="S61">
        <v>0.6</v>
      </c>
      <c r="T61">
        <v>22.24</v>
      </c>
      <c r="U61">
        <v>12.978</v>
      </c>
      <c r="V61">
        <v>13.343999999999999</v>
      </c>
      <c r="W61">
        <v>26.321999999999999</v>
      </c>
      <c r="X61">
        <v>34.297574239155132</v>
      </c>
      <c r="Y61">
        <v>2056.40625</v>
      </c>
      <c r="Z61">
        <v>142.10419975911319</v>
      </c>
      <c r="AA61">
        <v>1914.302050240887</v>
      </c>
      <c r="AB61">
        <v>2.25141946875E-4</v>
      </c>
      <c r="AC61">
        <v>25.693818561208271</v>
      </c>
      <c r="AD61">
        <v>298.84381856120831</v>
      </c>
      <c r="AE61">
        <v>298.83945</v>
      </c>
      <c r="AF61">
        <v>309.73863</v>
      </c>
      <c r="AG61">
        <v>307.22629000000001</v>
      </c>
      <c r="AH61">
        <v>308.33920999999998</v>
      </c>
      <c r="AI61">
        <v>308.40964000000002</v>
      </c>
      <c r="AJ61">
        <v>604.28809999999999</v>
      </c>
      <c r="AK61">
        <v>3.8923384000000001E-3</v>
      </c>
      <c r="AL61">
        <v>5.3502292999999999E-4</v>
      </c>
      <c r="AM61">
        <v>5.3504379999999997E-4</v>
      </c>
      <c r="AN61">
        <v>155.03946068872261</v>
      </c>
      <c r="AO61">
        <v>25.29998875407647</v>
      </c>
      <c r="AP61">
        <v>713.63268415474295</v>
      </c>
      <c r="AQ61">
        <v>113</v>
      </c>
      <c r="AR61">
        <v>600.63268415474295</v>
      </c>
      <c r="AS61">
        <v>1.180947770036747</v>
      </c>
      <c r="AT61">
        <v>3.9964173454553298</v>
      </c>
      <c r="AU61">
        <v>1.94225882989129</v>
      </c>
      <c r="AV61">
        <v>346.82548449920512</v>
      </c>
      <c r="AW61">
        <v>87.183219824581798</v>
      </c>
      <c r="AZ61">
        <f t="shared" si="0"/>
        <v>22.691414105789679</v>
      </c>
      <c r="BA61">
        <f t="shared" si="1"/>
        <v>0.10310576315439994</v>
      </c>
      <c r="BB61">
        <f t="shared" si="2"/>
        <v>17.753755983327853</v>
      </c>
      <c r="BC61">
        <f t="shared" si="3"/>
        <v>0.29827020257203585</v>
      </c>
      <c r="BD61">
        <v>0.80700000000000005</v>
      </c>
      <c r="BF61">
        <v>0.72</v>
      </c>
    </row>
    <row r="62" spans="1:58" x14ac:dyDescent="0.25">
      <c r="A62" t="s">
        <v>79</v>
      </c>
      <c r="B62">
        <v>8</v>
      </c>
      <c r="C62">
        <v>0.5</v>
      </c>
      <c r="D62">
        <v>1200</v>
      </c>
      <c r="E62">
        <v>4.2427889305334494</v>
      </c>
      <c r="F62">
        <v>1830.405405405405</v>
      </c>
      <c r="G62">
        <v>25.824000000000002</v>
      </c>
      <c r="H62">
        <v>25.2</v>
      </c>
      <c r="I62">
        <v>102325</v>
      </c>
      <c r="J62">
        <v>1.8499999999999999E-5</v>
      </c>
      <c r="K62">
        <v>1007</v>
      </c>
      <c r="L62">
        <v>2.7024337499999998E-3</v>
      </c>
      <c r="M62">
        <v>1.1950000000000001</v>
      </c>
      <c r="N62">
        <v>4.3785835595184386</v>
      </c>
      <c r="O62">
        <v>134.6727782392027</v>
      </c>
      <c r="P62">
        <v>135</v>
      </c>
      <c r="Q62">
        <v>0.6</v>
      </c>
      <c r="R62">
        <v>21.63</v>
      </c>
      <c r="S62">
        <v>0.6</v>
      </c>
      <c r="T62">
        <v>22.24</v>
      </c>
      <c r="U62">
        <v>12.978</v>
      </c>
      <c r="V62">
        <v>13.343999999999999</v>
      </c>
      <c r="W62">
        <v>26.321999999999999</v>
      </c>
      <c r="X62">
        <v>33.219510507074467</v>
      </c>
      <c r="Y62">
        <v>2056.40625</v>
      </c>
      <c r="Z62">
        <v>119.1274274372782</v>
      </c>
      <c r="AA62">
        <v>1937.2788225627221</v>
      </c>
      <c r="AB62">
        <v>2.70243375E-4</v>
      </c>
      <c r="AC62">
        <v>25.76967278765386</v>
      </c>
      <c r="AD62">
        <v>298.91967278765378</v>
      </c>
      <c r="AE62">
        <v>298.91345000000001</v>
      </c>
      <c r="AF62">
        <v>308.00918999999999</v>
      </c>
      <c r="AG62">
        <v>306.07828999999998</v>
      </c>
      <c r="AH62">
        <v>307.24000999999998</v>
      </c>
      <c r="AI62">
        <v>307.20495</v>
      </c>
      <c r="AJ62">
        <v>804.71374000000003</v>
      </c>
      <c r="AK62">
        <v>3.8923384000000001E-3</v>
      </c>
      <c r="AL62">
        <v>5.3502292999999999E-4</v>
      </c>
      <c r="AM62">
        <v>5.3504379999999997E-4</v>
      </c>
      <c r="AN62">
        <v>174.49493297344119</v>
      </c>
      <c r="AO62">
        <v>28.474814232842029</v>
      </c>
      <c r="AP62">
        <v>1011.3927199322781</v>
      </c>
      <c r="AQ62">
        <v>136</v>
      </c>
      <c r="AR62">
        <v>875.3927199322784</v>
      </c>
      <c r="AS62">
        <v>1.256835405758423</v>
      </c>
      <c r="AT62">
        <v>4.0477501259843303</v>
      </c>
      <c r="AU62">
        <v>1.967206561228384</v>
      </c>
      <c r="AV62">
        <v>491.5368618870873</v>
      </c>
      <c r="AW62">
        <v>104.6481470724907</v>
      </c>
      <c r="AZ62">
        <f t="shared" si="0"/>
        <v>26.205889753882314</v>
      </c>
      <c r="BA62">
        <f t="shared" si="1"/>
        <v>7.9681800920857374E-2</v>
      </c>
      <c r="BB62">
        <f t="shared" si="2"/>
        <v>21.123265574142419</v>
      </c>
      <c r="BC62">
        <f t="shared" si="3"/>
        <v>0.25817722983493763</v>
      </c>
      <c r="BD62">
        <v>0.80700000000000005</v>
      </c>
      <c r="BF62">
        <v>0.72</v>
      </c>
    </row>
    <row r="63" spans="1:58" x14ac:dyDescent="0.25">
      <c r="A63" t="s">
        <v>79</v>
      </c>
      <c r="B63">
        <v>8</v>
      </c>
      <c r="C63">
        <v>0.5</v>
      </c>
      <c r="D63">
        <v>1400</v>
      </c>
      <c r="E63">
        <v>4.2427889305334494</v>
      </c>
      <c r="F63">
        <v>2128.6936936936941</v>
      </c>
      <c r="G63">
        <v>25.824000000000002</v>
      </c>
      <c r="H63">
        <v>25.2</v>
      </c>
      <c r="I63">
        <v>102675</v>
      </c>
      <c r="J63">
        <v>1.8499999999999999E-5</v>
      </c>
      <c r="K63">
        <v>1007</v>
      </c>
      <c r="L63">
        <v>3.152839375E-3</v>
      </c>
      <c r="M63">
        <v>1.1990000000000001</v>
      </c>
      <c r="N63">
        <v>5.0913054594622951</v>
      </c>
      <c r="O63">
        <v>157.11824127906979</v>
      </c>
      <c r="P63">
        <v>157</v>
      </c>
      <c r="Q63">
        <v>0.6</v>
      </c>
      <c r="R63">
        <v>21.63</v>
      </c>
      <c r="S63">
        <v>0.6</v>
      </c>
      <c r="T63">
        <v>22.24</v>
      </c>
      <c r="U63">
        <v>12.978</v>
      </c>
      <c r="V63">
        <v>13.343999999999999</v>
      </c>
      <c r="W63">
        <v>26.321999999999999</v>
      </c>
      <c r="X63">
        <v>32.411998944545857</v>
      </c>
      <c r="Y63">
        <v>2056.40625</v>
      </c>
      <c r="Z63">
        <v>101.9169335051058</v>
      </c>
      <c r="AA63">
        <v>1954.489316494894</v>
      </c>
      <c r="AB63">
        <v>3.1528393750000002E-4</v>
      </c>
      <c r="AC63">
        <v>25.798164936102271</v>
      </c>
      <c r="AD63">
        <v>298.94816493610222</v>
      </c>
      <c r="AE63">
        <v>298.93975999999998</v>
      </c>
      <c r="AF63">
        <v>306.726</v>
      </c>
      <c r="AG63">
        <v>305.25202000000002</v>
      </c>
      <c r="AH63">
        <v>306.43299999999999</v>
      </c>
      <c r="AI63">
        <v>306.35090000000002</v>
      </c>
      <c r="AJ63">
        <v>1095.5542</v>
      </c>
      <c r="AK63">
        <v>3.8923384000000001E-3</v>
      </c>
      <c r="AL63">
        <v>5.3502292999999999E-4</v>
      </c>
      <c r="AM63">
        <v>5.3504379999999997E-4</v>
      </c>
      <c r="AN63">
        <v>189.17435729811029</v>
      </c>
      <c r="AO63">
        <v>30.870264195584689</v>
      </c>
      <c r="AP63">
        <v>1353.0365415335459</v>
      </c>
      <c r="AQ63">
        <v>159</v>
      </c>
      <c r="AR63">
        <v>1194.0365415335459</v>
      </c>
      <c r="AS63">
        <v>1.235024740477054</v>
      </c>
      <c r="AT63">
        <v>4.0631416228260582</v>
      </c>
      <c r="AU63">
        <v>1.974686828693464</v>
      </c>
      <c r="AV63">
        <v>657.57575918530347</v>
      </c>
      <c r="AW63">
        <v>122.0895049179058</v>
      </c>
      <c r="AZ63">
        <f t="shared" si="0"/>
        <v>29.598757739744237</v>
      </c>
      <c r="BA63">
        <f t="shared" si="1"/>
        <v>4.1188713118377296E-2</v>
      </c>
      <c r="BB63">
        <f t="shared" si="2"/>
        <v>24.466436653962784</v>
      </c>
      <c r="BC63">
        <f t="shared" si="3"/>
        <v>0.20744323731890285</v>
      </c>
      <c r="BD63">
        <v>0.80700000000000005</v>
      </c>
      <c r="BF63">
        <v>0.72</v>
      </c>
    </row>
    <row r="64" spans="1:58" x14ac:dyDescent="0.25">
      <c r="A64" t="s">
        <v>79</v>
      </c>
      <c r="B64">
        <v>8</v>
      </c>
      <c r="C64">
        <v>0.5</v>
      </c>
      <c r="D64">
        <v>1600</v>
      </c>
      <c r="E64">
        <v>4.2427889305334494</v>
      </c>
      <c r="F64">
        <v>2440.54054054054</v>
      </c>
      <c r="G64">
        <v>25.824000000000002</v>
      </c>
      <c r="H64">
        <v>25.2</v>
      </c>
      <c r="I64">
        <v>103075</v>
      </c>
      <c r="J64">
        <v>1.8499999999999999E-5</v>
      </c>
      <c r="K64">
        <v>1007</v>
      </c>
      <c r="L64">
        <v>3.6032450000000001E-3</v>
      </c>
      <c r="M64">
        <v>1.204</v>
      </c>
      <c r="N64">
        <v>5.7944710449884118</v>
      </c>
      <c r="O64">
        <v>179.56370431893691</v>
      </c>
      <c r="P64">
        <v>180</v>
      </c>
      <c r="Q64">
        <v>0.79900000000000004</v>
      </c>
      <c r="R64">
        <v>28.86</v>
      </c>
      <c r="S64">
        <v>0.79900000000000004</v>
      </c>
      <c r="T64">
        <v>29.67</v>
      </c>
      <c r="U64">
        <v>23.059139999999999</v>
      </c>
      <c r="V64">
        <v>23.706330000000001</v>
      </c>
      <c r="W64">
        <v>46.765470000000001</v>
      </c>
      <c r="X64">
        <v>36.499880697460988</v>
      </c>
      <c r="Y64">
        <v>3653.5523437500001</v>
      </c>
      <c r="Z64">
        <v>189.04195730498611</v>
      </c>
      <c r="AA64">
        <v>3464.510386445013</v>
      </c>
      <c r="AB64">
        <v>3.6032449999999998E-4</v>
      </c>
      <c r="AC64">
        <v>25.776607942378831</v>
      </c>
      <c r="AD64">
        <v>298.92660794237878</v>
      </c>
      <c r="AE64">
        <v>298.91561999999999</v>
      </c>
      <c r="AF64">
        <v>311.21548999999999</v>
      </c>
      <c r="AG64">
        <v>308.96091999999999</v>
      </c>
      <c r="AH64">
        <v>311.0086</v>
      </c>
      <c r="AI64">
        <v>310.90215999999998</v>
      </c>
      <c r="AJ64">
        <v>1380.8586</v>
      </c>
      <c r="AK64">
        <v>3.8923384000000001E-3</v>
      </c>
      <c r="AL64">
        <v>5.3502292999999999E-4</v>
      </c>
      <c r="AM64">
        <v>5.3504379999999997E-4</v>
      </c>
      <c r="AN64">
        <v>206.5995507104025</v>
      </c>
      <c r="AO64">
        <v>33.713780261818449</v>
      </c>
      <c r="AP64">
        <v>1749.543767438842</v>
      </c>
      <c r="AQ64">
        <v>181</v>
      </c>
      <c r="AR64">
        <v>1568.543767438842</v>
      </c>
      <c r="AS64">
        <v>1.266997046213741</v>
      </c>
      <c r="AT64">
        <v>4.0950982639861593</v>
      </c>
      <c r="AU64">
        <v>1.9902177562972729</v>
      </c>
      <c r="AV64">
        <v>850.27827097527745</v>
      </c>
      <c r="AW64">
        <v>139.53086276332101</v>
      </c>
      <c r="AZ64">
        <f t="shared" si="0"/>
        <v>32.890882315399949</v>
      </c>
      <c r="BA64">
        <f t="shared" si="1"/>
        <v>2.4408355871929591E-2</v>
      </c>
      <c r="BB64">
        <f t="shared" si="2"/>
        <v>27.787224297121742</v>
      </c>
      <c r="BC64">
        <f t="shared" si="3"/>
        <v>0.1757903124085036</v>
      </c>
      <c r="BD64">
        <v>0.80700000000000005</v>
      </c>
      <c r="BF64">
        <v>0.72</v>
      </c>
    </row>
    <row r="65" spans="1:58" x14ac:dyDescent="0.25">
      <c r="A65" t="s">
        <v>79</v>
      </c>
      <c r="B65">
        <v>8</v>
      </c>
      <c r="C65">
        <v>0.5</v>
      </c>
      <c r="D65">
        <v>1800</v>
      </c>
      <c r="E65">
        <v>4.2427889305334494</v>
      </c>
      <c r="F65">
        <v>2737.3491806230868</v>
      </c>
      <c r="G65">
        <v>25.824000000000002</v>
      </c>
      <c r="H65">
        <v>25.4</v>
      </c>
      <c r="I65">
        <v>103525</v>
      </c>
      <c r="J65">
        <v>1.8510000000000001E-5</v>
      </c>
      <c r="K65">
        <v>1007</v>
      </c>
      <c r="L65">
        <v>4.0558417874999994E-3</v>
      </c>
      <c r="M65">
        <v>1.208</v>
      </c>
      <c r="N65">
        <v>6.5007065586802044</v>
      </c>
      <c r="O65">
        <v>202.11836150332221</v>
      </c>
      <c r="P65">
        <v>202</v>
      </c>
      <c r="Q65">
        <v>0.79900000000000004</v>
      </c>
      <c r="R65">
        <v>28.86</v>
      </c>
      <c r="S65">
        <v>0.79900000000000004</v>
      </c>
      <c r="T65">
        <v>29.67</v>
      </c>
      <c r="U65">
        <v>23.059139999999999</v>
      </c>
      <c r="V65">
        <v>23.706330000000001</v>
      </c>
      <c r="W65">
        <v>46.765470000000001</v>
      </c>
      <c r="X65">
        <v>35.592175705898804</v>
      </c>
      <c r="Y65">
        <v>3653.5523437500001</v>
      </c>
      <c r="Z65">
        <v>169.69604081982109</v>
      </c>
      <c r="AA65">
        <v>3483.856302930179</v>
      </c>
      <c r="AB65">
        <v>4.0558417874999989E-4</v>
      </c>
      <c r="AC65">
        <v>25.773894324853259</v>
      </c>
      <c r="AD65">
        <v>298.92389432485322</v>
      </c>
      <c r="AE65">
        <v>298.91005999999999</v>
      </c>
      <c r="AF65">
        <v>309.66021000000001</v>
      </c>
      <c r="AG65">
        <v>307.97935999999999</v>
      </c>
      <c r="AH65">
        <v>310.07702999999998</v>
      </c>
      <c r="AI65">
        <v>309.80004000000002</v>
      </c>
      <c r="AJ65">
        <v>1733.4804999999999</v>
      </c>
      <c r="AK65">
        <v>3.8923384000000001E-3</v>
      </c>
      <c r="AL65">
        <v>5.3502292999999999E-4</v>
      </c>
      <c r="AM65">
        <v>5.3504379999999997E-4</v>
      </c>
      <c r="AN65">
        <v>218.28795190201859</v>
      </c>
      <c r="AO65">
        <v>35.621142538411647</v>
      </c>
      <c r="AP65">
        <v>2204.6741682974562</v>
      </c>
      <c r="AQ65">
        <v>204</v>
      </c>
      <c r="AR65">
        <v>2000.6741682974559</v>
      </c>
      <c r="AS65">
        <v>1.271819422426417</v>
      </c>
      <c r="AT65">
        <v>4.1294675061801183</v>
      </c>
      <c r="AU65">
        <v>2.0069212080035368</v>
      </c>
      <c r="AV65">
        <v>1071.471645792564</v>
      </c>
      <c r="AW65">
        <v>157.05707045771379</v>
      </c>
      <c r="AZ65">
        <f t="shared" si="0"/>
        <v>36.097388704015266</v>
      </c>
      <c r="BA65">
        <f t="shared" si="1"/>
        <v>-1.3369761093150363E-2</v>
      </c>
      <c r="BB65">
        <f t="shared" si="2"/>
        <v>31.088565414428466</v>
      </c>
      <c r="BC65">
        <f t="shared" si="3"/>
        <v>0.12724401299300067</v>
      </c>
      <c r="BD65">
        <v>0.80700000000000005</v>
      </c>
      <c r="BF65">
        <v>0.72</v>
      </c>
    </row>
    <row r="66" spans="1:58" x14ac:dyDescent="0.25">
      <c r="A66" t="s">
        <v>79</v>
      </c>
      <c r="B66">
        <v>8</v>
      </c>
      <c r="C66">
        <v>0.5</v>
      </c>
      <c r="D66">
        <v>2000</v>
      </c>
      <c r="E66">
        <v>4.2427889305334494</v>
      </c>
      <c r="F66">
        <v>3049.0275526742298</v>
      </c>
      <c r="G66">
        <v>25.824000000000002</v>
      </c>
      <c r="H66">
        <v>25.4</v>
      </c>
      <c r="I66">
        <v>104025</v>
      </c>
      <c r="J66">
        <v>1.8510000000000001E-5</v>
      </c>
      <c r="K66">
        <v>1007</v>
      </c>
      <c r="L66">
        <v>4.5064908750000014E-3</v>
      </c>
      <c r="M66">
        <v>1.214</v>
      </c>
      <c r="N66">
        <v>7.1873087341073498</v>
      </c>
      <c r="O66">
        <v>224.5759572259137</v>
      </c>
      <c r="P66">
        <v>225</v>
      </c>
      <c r="Q66">
        <v>0.79900000000000004</v>
      </c>
      <c r="R66">
        <v>28.86</v>
      </c>
      <c r="S66">
        <v>0.79900000000000004</v>
      </c>
      <c r="T66">
        <v>29.67</v>
      </c>
      <c r="U66">
        <v>23.059139999999999</v>
      </c>
      <c r="V66">
        <v>23.706330000000001</v>
      </c>
      <c r="W66">
        <v>46.765470000000001</v>
      </c>
      <c r="X66">
        <v>34.835556992027577</v>
      </c>
      <c r="Y66">
        <v>3653.5523437500001</v>
      </c>
      <c r="Z66">
        <v>153.5702261710837</v>
      </c>
      <c r="AA66">
        <v>3499.9821175789161</v>
      </c>
      <c r="AB66">
        <v>4.5064908749999999E-4</v>
      </c>
      <c r="AC66">
        <v>25.772733785822041</v>
      </c>
      <c r="AD66">
        <v>298.922733785822</v>
      </c>
      <c r="AE66">
        <v>298.90575999999999</v>
      </c>
      <c r="AF66">
        <v>308.70526000000001</v>
      </c>
      <c r="AG66">
        <v>307.29696999999999</v>
      </c>
      <c r="AH66">
        <v>309.36088999999998</v>
      </c>
      <c r="AI66">
        <v>309.149</v>
      </c>
      <c r="AJ66">
        <v>2057.8256000000001</v>
      </c>
      <c r="AK66">
        <v>3.8923384000000001E-3</v>
      </c>
      <c r="AL66">
        <v>5.3502292999999999E-4</v>
      </c>
      <c r="AM66">
        <v>5.3504379999999997E-4</v>
      </c>
      <c r="AN66">
        <v>230.67456937628239</v>
      </c>
      <c r="AO66">
        <v>37.642442673279277</v>
      </c>
      <c r="AP66">
        <v>2677.024132730015</v>
      </c>
      <c r="AQ66">
        <v>227</v>
      </c>
      <c r="AR66">
        <v>2450.024132730015</v>
      </c>
      <c r="AS66">
        <v>1.300899421569065</v>
      </c>
      <c r="AT66">
        <v>4.1063640644121282</v>
      </c>
      <c r="AU66">
        <v>1.995692935304294</v>
      </c>
      <c r="AV66">
        <v>1301.0337285067869</v>
      </c>
      <c r="AW66">
        <v>174.50785606412651</v>
      </c>
      <c r="AZ66">
        <f t="shared" si="0"/>
        <v>39.229705881976003</v>
      </c>
      <c r="BA66">
        <f t="shared" si="1"/>
        <v>-4.2166849332109214E-2</v>
      </c>
      <c r="BB66">
        <f t="shared" si="2"/>
        <v>34.372726028820423</v>
      </c>
      <c r="BC66">
        <f t="shared" si="3"/>
        <v>8.6862499143284394E-2</v>
      </c>
      <c r="BD66">
        <v>0.80700000000000005</v>
      </c>
      <c r="BF66">
        <v>0.72</v>
      </c>
    </row>
    <row r="67" spans="1:58" x14ac:dyDescent="0.25">
      <c r="A67" t="s">
        <v>79</v>
      </c>
      <c r="B67">
        <v>8</v>
      </c>
      <c r="C67">
        <v>0.5</v>
      </c>
      <c r="D67">
        <v>2500</v>
      </c>
      <c r="E67">
        <v>4.2427889305334494</v>
      </c>
      <c r="F67">
        <v>3808.9255156264071</v>
      </c>
      <c r="G67">
        <v>25.824000000000002</v>
      </c>
      <c r="H67">
        <v>25.3</v>
      </c>
      <c r="I67">
        <v>105325</v>
      </c>
      <c r="J67">
        <v>1.8505E-5</v>
      </c>
      <c r="K67">
        <v>1007</v>
      </c>
      <c r="L67">
        <v>5.631591953125E-3</v>
      </c>
      <c r="M67">
        <v>1.23</v>
      </c>
      <c r="N67">
        <v>8.8648738444684341</v>
      </c>
      <c r="O67">
        <v>280.64411726536542</v>
      </c>
      <c r="P67">
        <v>281</v>
      </c>
      <c r="Q67">
        <v>0.79900000000000004</v>
      </c>
      <c r="R67">
        <v>28.86</v>
      </c>
      <c r="S67">
        <v>0.79900000000000004</v>
      </c>
      <c r="T67">
        <v>29.67</v>
      </c>
      <c r="U67">
        <v>23.059139999999999</v>
      </c>
      <c r="V67">
        <v>23.706330000000001</v>
      </c>
      <c r="W67">
        <v>46.765470000000001</v>
      </c>
      <c r="X67">
        <v>33.488672491235739</v>
      </c>
      <c r="Y67">
        <v>3653.5523437500001</v>
      </c>
      <c r="Z67">
        <v>124.8640768057073</v>
      </c>
      <c r="AA67">
        <v>3528.6882669442921</v>
      </c>
      <c r="AB67">
        <v>5.6315919531250004E-4</v>
      </c>
      <c r="AC67">
        <v>25.766202070552168</v>
      </c>
      <c r="AD67">
        <v>298.91620207055212</v>
      </c>
      <c r="AE67">
        <v>298.89026000000001</v>
      </c>
      <c r="AF67">
        <v>306.93783999999999</v>
      </c>
      <c r="AG67">
        <v>305.79811000000001</v>
      </c>
      <c r="AH67">
        <v>307.68095</v>
      </c>
      <c r="AI67">
        <v>307.75310000000002</v>
      </c>
      <c r="AJ67">
        <v>3125.7791999999999</v>
      </c>
      <c r="AK67">
        <v>3.8923384000000001E-3</v>
      </c>
      <c r="AL67">
        <v>5.3502292999999999E-4</v>
      </c>
      <c r="AM67">
        <v>5.3504379999999997E-4</v>
      </c>
      <c r="AN67">
        <v>275.99475669756811</v>
      </c>
      <c r="AO67">
        <v>45.037980715450551</v>
      </c>
      <c r="AP67">
        <v>4002.8266871165652</v>
      </c>
      <c r="AQ67">
        <v>284</v>
      </c>
      <c r="AR67">
        <v>3718.8266871165652</v>
      </c>
      <c r="AS67">
        <v>1.2805852336328061</v>
      </c>
      <c r="AT67">
        <v>4.0177802149947732</v>
      </c>
      <c r="AU67">
        <v>1.95264118448746</v>
      </c>
      <c r="AV67">
        <v>1945.37376993865</v>
      </c>
      <c r="AW67">
        <v>218.0758965739235</v>
      </c>
      <c r="AZ67">
        <f t="shared" si="0"/>
        <v>46.790165396863735</v>
      </c>
      <c r="BA67">
        <f t="shared" si="1"/>
        <v>-3.8904601262731257E-2</v>
      </c>
      <c r="BB67">
        <f t="shared" si="2"/>
        <v>42.518974979977763</v>
      </c>
      <c r="BC67">
        <f t="shared" si="3"/>
        <v>5.5930698833676358E-2</v>
      </c>
      <c r="BD67">
        <v>0.80700000000000005</v>
      </c>
      <c r="BF67">
        <v>0.72</v>
      </c>
    </row>
    <row r="68" spans="1:58" x14ac:dyDescent="0.25">
      <c r="A68" t="s">
        <v>79</v>
      </c>
      <c r="B68">
        <v>8</v>
      </c>
      <c r="C68">
        <v>0.5</v>
      </c>
      <c r="D68">
        <v>3000</v>
      </c>
      <c r="E68">
        <v>4.2427889305334494</v>
      </c>
      <c r="F68">
        <v>4567.9996397370069</v>
      </c>
      <c r="G68">
        <v>25.824000000000002</v>
      </c>
      <c r="H68">
        <v>25.3</v>
      </c>
      <c r="I68">
        <v>106875</v>
      </c>
      <c r="J68">
        <v>1.8505E-5</v>
      </c>
      <c r="K68">
        <v>1007</v>
      </c>
      <c r="L68">
        <v>6.7579103437500013E-3</v>
      </c>
      <c r="M68">
        <v>1.248</v>
      </c>
      <c r="N68">
        <v>10.48441810451556</v>
      </c>
      <c r="O68">
        <v>336.77294071843858</v>
      </c>
      <c r="P68">
        <v>337</v>
      </c>
      <c r="Q68">
        <v>0.79900000000000004</v>
      </c>
      <c r="R68">
        <v>28.86</v>
      </c>
      <c r="S68">
        <v>0.79900000000000004</v>
      </c>
      <c r="T68">
        <v>29.67</v>
      </c>
      <c r="U68">
        <v>23.059139999999999</v>
      </c>
      <c r="V68">
        <v>23.706330000000001</v>
      </c>
      <c r="W68">
        <v>46.765470000000001</v>
      </c>
      <c r="X68">
        <v>32.540235331122041</v>
      </c>
      <c r="Y68">
        <v>3653.5523437500001</v>
      </c>
      <c r="Z68">
        <v>104.65003561220411</v>
      </c>
      <c r="AA68">
        <v>3548.902308137795</v>
      </c>
      <c r="AB68">
        <v>6.7579103437500016E-4</v>
      </c>
      <c r="AC68">
        <v>25.709342473979191</v>
      </c>
      <c r="AD68">
        <v>298.85934247397921</v>
      </c>
      <c r="AE68">
        <v>298.82254</v>
      </c>
      <c r="AF68">
        <v>305.55126000000001</v>
      </c>
      <c r="AG68">
        <v>304.69920000000002</v>
      </c>
      <c r="AH68">
        <v>306.58605999999997</v>
      </c>
      <c r="AI68">
        <v>306.63976000000002</v>
      </c>
      <c r="AJ68">
        <v>4400.1445000000003</v>
      </c>
      <c r="AK68">
        <v>3.8923384000000001E-3</v>
      </c>
      <c r="AL68">
        <v>5.3502292999999999E-4</v>
      </c>
      <c r="AM68">
        <v>5.3504379999999997E-4</v>
      </c>
      <c r="AN68">
        <v>312.96192964047731</v>
      </c>
      <c r="AO68">
        <v>51.070438875269453</v>
      </c>
      <c r="AP68">
        <v>5555.8351347744874</v>
      </c>
      <c r="AQ68">
        <v>340</v>
      </c>
      <c r="AR68">
        <v>5215.8351347744874</v>
      </c>
      <c r="AS68">
        <v>1.2626483368385939</v>
      </c>
      <c r="AT68">
        <v>3.9423691514248511</v>
      </c>
      <c r="AU68">
        <v>1.915991407592478</v>
      </c>
      <c r="AV68">
        <v>2700.1358755003998</v>
      </c>
      <c r="AW68">
        <v>261.69107588870833</v>
      </c>
      <c r="AZ68">
        <f t="shared" ref="AZ68:AZ131" si="4" xml:space="preserve"> 0.126*D68^0.7898*(E68/B68)^0.2409*BF68^(1/3)</f>
        <v>54.037086901660821</v>
      </c>
      <c r="BA68">
        <f t="shared" ref="BA68:BA131" si="5">(AO68-AZ68)/AO68</f>
        <v>-5.8089338798064445E-2</v>
      </c>
      <c r="BB68">
        <f t="shared" ref="BB68:BB131" si="6">0.01175*D68^0.95314*(E68/B68)^(-1.33383)*BF68^(1/3)</f>
        <v>50.58870930105207</v>
      </c>
      <c r="BC68">
        <f t="shared" ref="BC68:BC131" si="7">(AO68-BB68)/AO68</f>
        <v>9.4326499796471737E-3</v>
      </c>
      <c r="BD68">
        <v>0.80700000000000005</v>
      </c>
      <c r="BF68">
        <v>0.72</v>
      </c>
    </row>
    <row r="69" spans="1:58" x14ac:dyDescent="0.25">
      <c r="A69" t="s">
        <v>79</v>
      </c>
      <c r="B69">
        <v>8</v>
      </c>
      <c r="C69">
        <v>0.5</v>
      </c>
      <c r="D69">
        <v>3500</v>
      </c>
      <c r="E69">
        <v>4.2427889305334494</v>
      </c>
      <c r="F69">
        <v>5331.1070250392086</v>
      </c>
      <c r="G69">
        <v>25.824000000000002</v>
      </c>
      <c r="H69">
        <v>25</v>
      </c>
      <c r="I69">
        <v>108675</v>
      </c>
      <c r="J69">
        <v>1.8491E-5</v>
      </c>
      <c r="K69">
        <v>1007</v>
      </c>
      <c r="L69">
        <v>7.8782639031250001E-3</v>
      </c>
      <c r="M69">
        <v>1.27</v>
      </c>
      <c r="N69">
        <v>12.01083760075014</v>
      </c>
      <c r="O69">
        <v>392.60451344476741</v>
      </c>
      <c r="P69">
        <v>393</v>
      </c>
      <c r="Q69">
        <v>1</v>
      </c>
      <c r="R69">
        <v>36.15</v>
      </c>
      <c r="S69">
        <v>1</v>
      </c>
      <c r="T69">
        <v>37.14</v>
      </c>
      <c r="U69">
        <v>36.15</v>
      </c>
      <c r="V69">
        <v>37.14</v>
      </c>
      <c r="W69">
        <v>73.289999999999992</v>
      </c>
      <c r="X69">
        <v>35.345042111091672</v>
      </c>
      <c r="Y69">
        <v>5725.7812499999991</v>
      </c>
      <c r="Z69">
        <v>164.42888251369669</v>
      </c>
      <c r="AA69">
        <v>5561.3523674863027</v>
      </c>
      <c r="AB69">
        <v>7.8782639031250003E-4</v>
      </c>
      <c r="AC69">
        <v>25.70892594859242</v>
      </c>
      <c r="AD69">
        <v>298.8589259485924</v>
      </c>
      <c r="AE69">
        <v>298.81063999999998</v>
      </c>
      <c r="AF69">
        <v>307.77012000000002</v>
      </c>
      <c r="AG69">
        <v>306.99767000000003</v>
      </c>
      <c r="AH69">
        <v>309.96420999999998</v>
      </c>
      <c r="AI69">
        <v>309.80651</v>
      </c>
      <c r="AJ69">
        <v>5687.2253000000001</v>
      </c>
      <c r="AK69">
        <v>3.8923384000000001E-3</v>
      </c>
      <c r="AL69">
        <v>5.3502292999999999E-4</v>
      </c>
      <c r="AM69">
        <v>5.3504379999999997E-4</v>
      </c>
      <c r="AN69">
        <v>331.29333090851571</v>
      </c>
      <c r="AO69">
        <v>54.061833736084807</v>
      </c>
      <c r="AP69">
        <v>7332.1844145246841</v>
      </c>
      <c r="AQ69">
        <v>397</v>
      </c>
      <c r="AR69">
        <v>6935.1844145246841</v>
      </c>
      <c r="AS69">
        <v>1.2892375504316109</v>
      </c>
      <c r="AT69">
        <v>3.89182650050159</v>
      </c>
      <c r="AU69">
        <v>1.891427679243773</v>
      </c>
      <c r="AV69">
        <v>3563.441625458996</v>
      </c>
      <c r="AW69">
        <v>305.07527505905358</v>
      </c>
      <c r="AZ69">
        <f t="shared" si="4"/>
        <v>61.033250890739737</v>
      </c>
      <c r="BA69">
        <f t="shared" si="5"/>
        <v>-0.12895265796361061</v>
      </c>
      <c r="BB69">
        <f t="shared" si="6"/>
        <v>58.595364773288885</v>
      </c>
      <c r="BC69">
        <f t="shared" si="7"/>
        <v>-8.3858254962929035E-2</v>
      </c>
      <c r="BD69">
        <v>0.80700000000000005</v>
      </c>
      <c r="BF69">
        <v>0.72</v>
      </c>
    </row>
    <row r="70" spans="1:58" x14ac:dyDescent="0.25">
      <c r="A70" t="s">
        <v>79</v>
      </c>
      <c r="B70">
        <v>8</v>
      </c>
      <c r="C70">
        <v>0.5</v>
      </c>
      <c r="D70">
        <v>4000</v>
      </c>
      <c r="E70">
        <v>4.2427889305334494</v>
      </c>
      <c r="F70">
        <v>6087.4637406987003</v>
      </c>
      <c r="G70">
        <v>25.824000000000002</v>
      </c>
      <c r="H70">
        <v>25.2</v>
      </c>
      <c r="I70">
        <v>110625</v>
      </c>
      <c r="J70">
        <v>1.8501000000000001E-5</v>
      </c>
      <c r="K70">
        <v>1007</v>
      </c>
      <c r="L70">
        <v>9.0085994249999995E-3</v>
      </c>
      <c r="M70">
        <v>1.292</v>
      </c>
      <c r="N70">
        <v>13.500232679191081</v>
      </c>
      <c r="O70">
        <v>448.93352616279071</v>
      </c>
      <c r="P70">
        <v>449</v>
      </c>
      <c r="Q70">
        <v>1.0029999999999999</v>
      </c>
      <c r="R70">
        <v>36.32</v>
      </c>
      <c r="S70">
        <v>1</v>
      </c>
      <c r="T70">
        <v>36.06</v>
      </c>
      <c r="U70">
        <v>36.428959999999996</v>
      </c>
      <c r="V70">
        <v>36.06</v>
      </c>
      <c r="W70">
        <v>72.488959999999992</v>
      </c>
      <c r="X70">
        <v>34.480833662194158</v>
      </c>
      <c r="Y70">
        <v>5663.1999999999989</v>
      </c>
      <c r="Z70">
        <v>146.01000784234421</v>
      </c>
      <c r="AA70">
        <v>5517.1899921576551</v>
      </c>
      <c r="AB70">
        <v>9.0085994249999998E-4</v>
      </c>
      <c r="AC70">
        <v>25.651661404893431</v>
      </c>
      <c r="AD70">
        <v>298.80166140489342</v>
      </c>
      <c r="AE70">
        <v>298.74110000000002</v>
      </c>
      <c r="AF70">
        <v>306.51564000000002</v>
      </c>
      <c r="AG70">
        <v>305.81011000000001</v>
      </c>
      <c r="AH70">
        <v>308.73750000000001</v>
      </c>
      <c r="AI70">
        <v>308.61198999999999</v>
      </c>
      <c r="AJ70">
        <v>7683.2969999999996</v>
      </c>
      <c r="AK70">
        <v>3.8923384000000001E-3</v>
      </c>
      <c r="AL70">
        <v>5.3502292999999999E-4</v>
      </c>
      <c r="AM70">
        <v>5.3504379999999997E-4</v>
      </c>
      <c r="AN70">
        <v>374.55401025355332</v>
      </c>
      <c r="AO70">
        <v>61.121292638103377</v>
      </c>
      <c r="AP70">
        <v>9272.8022888713476</v>
      </c>
      <c r="AQ70">
        <v>454</v>
      </c>
      <c r="AR70">
        <v>8818.8022888713476</v>
      </c>
      <c r="AS70">
        <v>1.206878022399934</v>
      </c>
      <c r="AT70">
        <v>3.8186961471015661</v>
      </c>
      <c r="AU70">
        <v>1.8558863274913611</v>
      </c>
      <c r="AV70">
        <v>4506.5819123914753</v>
      </c>
      <c r="AW70">
        <v>348.84601243029738</v>
      </c>
      <c r="AZ70">
        <f t="shared" si="4"/>
        <v>67.821679883479732</v>
      </c>
      <c r="BA70">
        <f t="shared" si="5"/>
        <v>-0.10962443620178434</v>
      </c>
      <c r="BB70">
        <f t="shared" si="6"/>
        <v>66.548413516658371</v>
      </c>
      <c r="BC70">
        <f t="shared" si="7"/>
        <v>-8.8792639100235507E-2</v>
      </c>
      <c r="BD70">
        <v>0.80700000000000005</v>
      </c>
      <c r="BF70">
        <v>0.72</v>
      </c>
    </row>
    <row r="71" spans="1:58" x14ac:dyDescent="0.25">
      <c r="A71" t="s">
        <v>79</v>
      </c>
      <c r="B71">
        <v>8</v>
      </c>
      <c r="C71">
        <v>0.5</v>
      </c>
      <c r="D71">
        <v>4500</v>
      </c>
      <c r="E71">
        <v>4.2427889305334494</v>
      </c>
      <c r="F71">
        <v>6846.7019800731478</v>
      </c>
      <c r="G71">
        <v>25.824000000000002</v>
      </c>
      <c r="H71">
        <v>25.2</v>
      </c>
      <c r="I71">
        <v>112525</v>
      </c>
      <c r="J71">
        <v>1.8501000000000001E-5</v>
      </c>
      <c r="K71">
        <v>1007</v>
      </c>
      <c r="L71">
        <v>1.0134674353124999E-2</v>
      </c>
      <c r="M71">
        <v>1.3140000000000001</v>
      </c>
      <c r="N71">
        <v>14.93347655951616</v>
      </c>
      <c r="O71">
        <v>505.05021693313972</v>
      </c>
      <c r="P71">
        <v>505</v>
      </c>
      <c r="Q71">
        <v>1.0029999999999999</v>
      </c>
      <c r="R71">
        <v>36.32</v>
      </c>
      <c r="S71">
        <v>1</v>
      </c>
      <c r="T71">
        <v>36.06</v>
      </c>
      <c r="U71">
        <v>36.428959999999996</v>
      </c>
      <c r="V71">
        <v>36.06</v>
      </c>
      <c r="W71">
        <v>72.488959999999992</v>
      </c>
      <c r="X71">
        <v>33.802469586720477</v>
      </c>
      <c r="Y71">
        <v>5663.1999999999989</v>
      </c>
      <c r="Z71">
        <v>131.55203430177349</v>
      </c>
      <c r="AA71">
        <v>5531.6479656982256</v>
      </c>
      <c r="AB71">
        <v>1.0134674353124999E-3</v>
      </c>
      <c r="AC71">
        <v>25.587357739753291</v>
      </c>
      <c r="AD71">
        <v>298.73735773975329</v>
      </c>
      <c r="AE71">
        <v>298.66210999999998</v>
      </c>
      <c r="AF71">
        <v>305.60807999999997</v>
      </c>
      <c r="AG71">
        <v>304.97681999999998</v>
      </c>
      <c r="AH71">
        <v>307.7688</v>
      </c>
      <c r="AI71">
        <v>307.79588999999999</v>
      </c>
      <c r="AJ71">
        <v>9170.3961999999992</v>
      </c>
      <c r="AK71">
        <v>3.8923384000000001E-3</v>
      </c>
      <c r="AL71">
        <v>5.3502292999999999E-4</v>
      </c>
      <c r="AM71">
        <v>5.3504379999999997E-4</v>
      </c>
      <c r="AN71">
        <v>413.9707055668772</v>
      </c>
      <c r="AO71">
        <v>67.553474120933402</v>
      </c>
      <c r="AP71">
        <v>11360.137418755799</v>
      </c>
      <c r="AQ71">
        <v>510</v>
      </c>
      <c r="AR71">
        <v>10850.137418755799</v>
      </c>
      <c r="AS71">
        <v>1.238783709122165</v>
      </c>
      <c r="AT71">
        <v>3.7451150671594289</v>
      </c>
      <c r="AU71">
        <v>1.820125922639483</v>
      </c>
      <c r="AV71">
        <v>5521.0267855153197</v>
      </c>
      <c r="AW71">
        <v>392.45176398408472</v>
      </c>
      <c r="AZ71">
        <f t="shared" si="4"/>
        <v>74.433562403006363</v>
      </c>
      <c r="BA71">
        <f t="shared" si="5"/>
        <v>-0.10184655003466309</v>
      </c>
      <c r="BB71">
        <f t="shared" si="6"/>
        <v>74.45488922236008</v>
      </c>
      <c r="BC71">
        <f t="shared" si="7"/>
        <v>-0.10216225281133358</v>
      </c>
      <c r="BD71">
        <v>0.80700000000000005</v>
      </c>
      <c r="BF71">
        <v>0.72</v>
      </c>
    </row>
    <row r="72" spans="1:58" x14ac:dyDescent="0.25">
      <c r="A72" t="s">
        <v>79</v>
      </c>
      <c r="B72">
        <v>8</v>
      </c>
      <c r="C72">
        <v>0.5</v>
      </c>
      <c r="D72">
        <v>5000</v>
      </c>
      <c r="E72">
        <v>4.2427889305334494</v>
      </c>
      <c r="F72">
        <v>7609.6420073545323</v>
      </c>
      <c r="G72">
        <v>25.824000000000002</v>
      </c>
      <c r="H72">
        <v>25</v>
      </c>
      <c r="I72">
        <v>114925</v>
      </c>
      <c r="J72">
        <v>1.8491999999999998E-5</v>
      </c>
      <c r="K72">
        <v>1007</v>
      </c>
      <c r="L72">
        <v>1.1255271375000001E-2</v>
      </c>
      <c r="M72">
        <v>1.343</v>
      </c>
      <c r="N72">
        <v>16.22655960221249</v>
      </c>
      <c r="O72">
        <v>560.8939223421927</v>
      </c>
      <c r="P72">
        <v>561</v>
      </c>
      <c r="Q72">
        <v>1.0029999999999999</v>
      </c>
      <c r="R72">
        <v>36.32</v>
      </c>
      <c r="S72">
        <v>1</v>
      </c>
      <c r="T72">
        <v>36.06</v>
      </c>
      <c r="U72">
        <v>36.428959999999996</v>
      </c>
      <c r="V72">
        <v>36.06</v>
      </c>
      <c r="W72">
        <v>72.488959999999992</v>
      </c>
      <c r="X72">
        <v>33.198376496797543</v>
      </c>
      <c r="Y72">
        <v>5663.1999999999989</v>
      </c>
      <c r="Z72">
        <v>118.676998276246</v>
      </c>
      <c r="AA72">
        <v>5544.5230017237527</v>
      </c>
      <c r="AB72">
        <v>1.1255271375E-3</v>
      </c>
      <c r="AC72">
        <v>25.539738791423051</v>
      </c>
      <c r="AD72">
        <v>298.689738791423</v>
      </c>
      <c r="AE72">
        <v>298.60122999999999</v>
      </c>
      <c r="AF72">
        <v>304.87759999999997</v>
      </c>
      <c r="AG72">
        <v>304.35856999999999</v>
      </c>
      <c r="AH72">
        <v>307.25263999999999</v>
      </c>
      <c r="AI72">
        <v>307.13492000000002</v>
      </c>
      <c r="AJ72">
        <v>11453</v>
      </c>
      <c r="AK72">
        <v>3.8923384000000001E-3</v>
      </c>
      <c r="AL72">
        <v>5.3502292999999999E-4</v>
      </c>
      <c r="AM72">
        <v>5.3504379999999997E-4</v>
      </c>
      <c r="AN72">
        <v>442.69938223746601</v>
      </c>
      <c r="AO72">
        <v>72.241539942735272</v>
      </c>
      <c r="AP72">
        <v>13667.389538661469</v>
      </c>
      <c r="AQ72">
        <v>567</v>
      </c>
      <c r="AR72">
        <v>13100.389538661469</v>
      </c>
      <c r="AS72">
        <v>1.1933458079683461</v>
      </c>
      <c r="AT72">
        <v>3.7086742535802828</v>
      </c>
      <c r="AU72">
        <v>1.8024156872400181</v>
      </c>
      <c r="AV72">
        <v>6642.351315789474</v>
      </c>
      <c r="AW72">
        <v>435.84539091542752</v>
      </c>
      <c r="AZ72">
        <f t="shared" si="4"/>
        <v>80.892465235105632</v>
      </c>
      <c r="BA72">
        <f t="shared" si="5"/>
        <v>-0.11975001223988042</v>
      </c>
      <c r="BB72">
        <f t="shared" si="6"/>
        <v>82.320218853154344</v>
      </c>
      <c r="BC72">
        <f t="shared" si="7"/>
        <v>-0.13951362219587624</v>
      </c>
      <c r="BD72">
        <v>0.80700000000000005</v>
      </c>
      <c r="BF72">
        <v>0.72</v>
      </c>
    </row>
    <row r="73" spans="1:58" x14ac:dyDescent="0.25">
      <c r="A73" t="s">
        <v>79</v>
      </c>
      <c r="B73">
        <v>8</v>
      </c>
      <c r="C73">
        <v>0.5</v>
      </c>
      <c r="D73">
        <v>6000</v>
      </c>
      <c r="E73">
        <v>4.2427889305334494</v>
      </c>
      <c r="F73">
        <v>9128.3638854341261</v>
      </c>
      <c r="G73">
        <v>25.824000000000002</v>
      </c>
      <c r="H73">
        <v>25</v>
      </c>
      <c r="I73">
        <v>119825</v>
      </c>
      <c r="J73">
        <v>1.8493000000000001E-5</v>
      </c>
      <c r="K73">
        <v>1007</v>
      </c>
      <c r="L73">
        <v>1.35070560375E-2</v>
      </c>
      <c r="M73">
        <v>1.4</v>
      </c>
      <c r="N73">
        <v>18.680098299339491</v>
      </c>
      <c r="O73">
        <v>673.10910485880402</v>
      </c>
      <c r="P73">
        <v>673</v>
      </c>
      <c r="Q73">
        <v>1.2</v>
      </c>
      <c r="R73">
        <v>43.38</v>
      </c>
      <c r="S73">
        <v>1.2</v>
      </c>
      <c r="T73">
        <v>44.59</v>
      </c>
      <c r="U73">
        <v>52.055999999999997</v>
      </c>
      <c r="V73">
        <v>53.508000000000003</v>
      </c>
      <c r="W73">
        <v>105.56399999999999</v>
      </c>
      <c r="X73">
        <v>35.335232591242963</v>
      </c>
      <c r="Y73">
        <v>8247.1875</v>
      </c>
      <c r="Z73">
        <v>164.21981221716109</v>
      </c>
      <c r="AA73">
        <v>8082.9676877828388</v>
      </c>
      <c r="AB73">
        <v>1.3507056037500001E-3</v>
      </c>
      <c r="AC73">
        <v>25.48851933041054</v>
      </c>
      <c r="AD73">
        <v>298.63851933041047</v>
      </c>
      <c r="AE73">
        <v>298.52211</v>
      </c>
      <c r="AF73">
        <v>306.19020999999998</v>
      </c>
      <c r="AG73">
        <v>305.58030000000002</v>
      </c>
      <c r="AH73">
        <v>309.61275000000001</v>
      </c>
      <c r="AI73">
        <v>309.48597000000001</v>
      </c>
      <c r="AJ73">
        <v>16561.651000000002</v>
      </c>
      <c r="AK73">
        <v>3.8923384000000001E-3</v>
      </c>
      <c r="AL73">
        <v>5.3502292999999999E-4</v>
      </c>
      <c r="AM73">
        <v>5.3504379999999997E-4</v>
      </c>
      <c r="AN73">
        <v>511.00801236584272</v>
      </c>
      <c r="AO73">
        <v>83.388428395372969</v>
      </c>
      <c r="AP73">
        <v>18481.348213099511</v>
      </c>
      <c r="AQ73">
        <v>680</v>
      </c>
      <c r="AR73">
        <v>17801.348213099511</v>
      </c>
      <c r="AS73">
        <v>1.115912188531174</v>
      </c>
      <c r="AT73">
        <v>3.5779555998903718</v>
      </c>
      <c r="AU73">
        <v>1.738886421546721</v>
      </c>
      <c r="AV73">
        <v>8981.93523156636</v>
      </c>
      <c r="AW73">
        <v>523.04275238150569</v>
      </c>
      <c r="AZ73">
        <f t="shared" si="4"/>
        <v>93.421195170469943</v>
      </c>
      <c r="BA73">
        <f t="shared" si="5"/>
        <v>-0.12031365704037743</v>
      </c>
      <c r="BB73">
        <f t="shared" si="6"/>
        <v>97.943885597483629</v>
      </c>
      <c r="BC73">
        <f t="shared" si="7"/>
        <v>-0.17455008425267682</v>
      </c>
      <c r="BD73">
        <v>0.80700000000000005</v>
      </c>
      <c r="BF73">
        <v>0.72</v>
      </c>
    </row>
    <row r="74" spans="1:58" x14ac:dyDescent="0.25">
      <c r="A74" t="s">
        <v>79</v>
      </c>
      <c r="B74">
        <v>8</v>
      </c>
      <c r="C74">
        <v>0.5</v>
      </c>
      <c r="D74">
        <v>7000</v>
      </c>
      <c r="E74">
        <v>4.2427889305334494</v>
      </c>
      <c r="F74">
        <v>10649.800782447221</v>
      </c>
      <c r="G74">
        <v>25.824000000000002</v>
      </c>
      <c r="H74">
        <v>24.9</v>
      </c>
      <c r="I74">
        <v>125325</v>
      </c>
      <c r="J74">
        <v>1.8488999999999999E-5</v>
      </c>
      <c r="K74">
        <v>1007</v>
      </c>
      <c r="L74">
        <v>1.575482356875E-2</v>
      </c>
      <c r="M74">
        <v>1.4650000000000001</v>
      </c>
      <c r="N74">
        <v>20.821998491164649</v>
      </c>
      <c r="O74">
        <v>785.12409811046507</v>
      </c>
      <c r="P74">
        <v>785</v>
      </c>
      <c r="Q74">
        <v>1.2010000000000001</v>
      </c>
      <c r="R74">
        <v>43.92</v>
      </c>
      <c r="S74">
        <v>1.2010000000000001</v>
      </c>
      <c r="T74">
        <v>44.04</v>
      </c>
      <c r="U74">
        <v>52.747920000000008</v>
      </c>
      <c r="V74">
        <v>52.892040000000001</v>
      </c>
      <c r="W74">
        <v>105.63996</v>
      </c>
      <c r="X74">
        <v>34.363596587395293</v>
      </c>
      <c r="Y74">
        <v>8253.1218749999989</v>
      </c>
      <c r="Z74">
        <v>143.51133406715559</v>
      </c>
      <c r="AA74">
        <v>8109.6105409328429</v>
      </c>
      <c r="AB74">
        <v>1.575482356875E-3</v>
      </c>
      <c r="AC74">
        <v>25.462104486422671</v>
      </c>
      <c r="AD74">
        <v>298.61210448642271</v>
      </c>
      <c r="AE74">
        <v>298.46561000000003</v>
      </c>
      <c r="AF74">
        <v>304.94657999999998</v>
      </c>
      <c r="AG74">
        <v>304.32589999999999</v>
      </c>
      <c r="AH74">
        <v>308.04973000000001</v>
      </c>
      <c r="AI74">
        <v>308.37198000000001</v>
      </c>
      <c r="AJ74">
        <v>21464.388999999999</v>
      </c>
      <c r="AK74">
        <v>3.8923384000000001E-3</v>
      </c>
      <c r="AL74">
        <v>5.3502292999999999E-4</v>
      </c>
      <c r="AM74">
        <v>5.3504379999999997E-4</v>
      </c>
      <c r="AN74">
        <v>604.99382579548296</v>
      </c>
      <c r="AO74">
        <v>98.725427197159888</v>
      </c>
      <c r="AP74">
        <v>23935.680112816481</v>
      </c>
      <c r="AQ74">
        <v>793</v>
      </c>
      <c r="AR74">
        <v>23142.680112816481</v>
      </c>
      <c r="AS74">
        <v>1.11513447286184</v>
      </c>
      <c r="AT74">
        <v>3.5046655227005781</v>
      </c>
      <c r="AU74">
        <v>1.7032674440324811</v>
      </c>
      <c r="AV74">
        <v>11632.74053482881</v>
      </c>
      <c r="AW74">
        <v>610.08455579112444</v>
      </c>
      <c r="AZ74">
        <f t="shared" si="4"/>
        <v>105.51640679166239</v>
      </c>
      <c r="BA74">
        <f t="shared" si="5"/>
        <v>-6.8786530352920705E-2</v>
      </c>
      <c r="BB74">
        <f t="shared" si="6"/>
        <v>113.44542652284005</v>
      </c>
      <c r="BC74">
        <f t="shared" si="7"/>
        <v>-0.14910038622860095</v>
      </c>
      <c r="BD74">
        <v>0.80700000000000005</v>
      </c>
      <c r="BF74">
        <v>0.72</v>
      </c>
    </row>
    <row r="75" spans="1:58" x14ac:dyDescent="0.25">
      <c r="A75" t="s">
        <v>79</v>
      </c>
      <c r="B75">
        <v>8</v>
      </c>
      <c r="C75">
        <v>0.5</v>
      </c>
      <c r="D75">
        <v>8000</v>
      </c>
      <c r="E75">
        <v>4.2427889305334494</v>
      </c>
      <c r="F75">
        <v>12178.87717401099</v>
      </c>
      <c r="G75">
        <v>25.824000000000002</v>
      </c>
      <c r="H75">
        <v>25</v>
      </c>
      <c r="I75">
        <v>131125</v>
      </c>
      <c r="J75">
        <v>1.8495000000000002E-5</v>
      </c>
      <c r="K75">
        <v>1007</v>
      </c>
      <c r="L75">
        <v>1.8011355749999999E-2</v>
      </c>
      <c r="M75">
        <v>1.532</v>
      </c>
      <c r="N75">
        <v>22.76324277404224</v>
      </c>
      <c r="O75">
        <v>897.57586794019926</v>
      </c>
      <c r="P75">
        <v>898</v>
      </c>
      <c r="Q75">
        <v>1.2010000000000001</v>
      </c>
      <c r="R75">
        <v>43.92</v>
      </c>
      <c r="S75">
        <v>1.2010000000000001</v>
      </c>
      <c r="T75">
        <v>44.04</v>
      </c>
      <c r="U75">
        <v>52.747920000000008</v>
      </c>
      <c r="V75">
        <v>52.892040000000001</v>
      </c>
      <c r="W75">
        <v>105.63996</v>
      </c>
      <c r="X75">
        <v>33.621824475506067</v>
      </c>
      <c r="Y75">
        <v>8253.1218749999989</v>
      </c>
      <c r="Z75">
        <v>127.70194504646081</v>
      </c>
      <c r="AA75">
        <v>8125.4199299535376</v>
      </c>
      <c r="AB75">
        <v>1.801135575E-3</v>
      </c>
      <c r="AC75">
        <v>25.401165468951511</v>
      </c>
      <c r="AD75">
        <v>298.55116546895152</v>
      </c>
      <c r="AE75">
        <v>298.37446</v>
      </c>
      <c r="AF75">
        <v>303.90690999999998</v>
      </c>
      <c r="AG75">
        <v>303.35608999999999</v>
      </c>
      <c r="AH75">
        <v>307.20970999999997</v>
      </c>
      <c r="AI75">
        <v>307.02544999999998</v>
      </c>
      <c r="AJ75">
        <v>26495.898000000001</v>
      </c>
      <c r="AK75">
        <v>3.8923384000000001E-3</v>
      </c>
      <c r="AL75">
        <v>5.3502292999999999E-4</v>
      </c>
      <c r="AM75">
        <v>5.3504379999999997E-4</v>
      </c>
      <c r="AN75">
        <v>692.50213075074282</v>
      </c>
      <c r="AO75">
        <v>113.0053990276954</v>
      </c>
      <c r="AP75">
        <v>29755.58374792703</v>
      </c>
      <c r="AQ75">
        <v>907</v>
      </c>
      <c r="AR75">
        <v>28848.58374792703</v>
      </c>
      <c r="AS75">
        <v>1.1230260528602209</v>
      </c>
      <c r="AT75">
        <v>3.4269459095734991</v>
      </c>
      <c r="AU75">
        <v>1.665495712052721</v>
      </c>
      <c r="AV75">
        <v>14461.213701492539</v>
      </c>
      <c r="AW75">
        <v>697.46575859665438</v>
      </c>
      <c r="AZ75">
        <f t="shared" si="4"/>
        <v>117.25247892644929</v>
      </c>
      <c r="BA75">
        <f t="shared" si="5"/>
        <v>-3.7582982187541372E-2</v>
      </c>
      <c r="BB75">
        <f t="shared" si="6"/>
        <v>128.84318042947319</v>
      </c>
      <c r="BC75">
        <f t="shared" si="7"/>
        <v>-0.14015066127854883</v>
      </c>
      <c r="BD75">
        <v>0.80700000000000005</v>
      </c>
      <c r="BF75">
        <v>0.72</v>
      </c>
    </row>
    <row r="76" spans="1:58" x14ac:dyDescent="0.25">
      <c r="A76" t="s">
        <v>79</v>
      </c>
      <c r="B76">
        <v>8</v>
      </c>
      <c r="C76">
        <v>0.5</v>
      </c>
      <c r="D76">
        <v>9000</v>
      </c>
      <c r="E76">
        <v>4.2427889305334494</v>
      </c>
      <c r="F76">
        <v>13690.946301705801</v>
      </c>
      <c r="G76">
        <v>25.824000000000002</v>
      </c>
      <c r="H76">
        <v>24.8</v>
      </c>
      <c r="I76">
        <v>137525</v>
      </c>
      <c r="J76">
        <v>1.8485999999999999E-5</v>
      </c>
      <c r="K76">
        <v>1007</v>
      </c>
      <c r="L76">
        <v>2.0252914987499999E-2</v>
      </c>
      <c r="M76">
        <v>1.6080000000000001</v>
      </c>
      <c r="N76">
        <v>24.38641648323496</v>
      </c>
      <c r="O76">
        <v>1009.281477782392</v>
      </c>
      <c r="P76">
        <v>1009</v>
      </c>
      <c r="Q76">
        <v>1.3</v>
      </c>
      <c r="R76">
        <v>46.98</v>
      </c>
      <c r="S76">
        <v>1.2969999999999999</v>
      </c>
      <c r="T76">
        <v>48.2</v>
      </c>
      <c r="U76">
        <v>61.073999999999998</v>
      </c>
      <c r="V76">
        <v>62.5154</v>
      </c>
      <c r="W76">
        <v>123.5894</v>
      </c>
      <c r="X76">
        <v>34.370918407791173</v>
      </c>
      <c r="Y76">
        <v>9655.4218749999982</v>
      </c>
      <c r="Z76">
        <v>143.6673840252532</v>
      </c>
      <c r="AA76">
        <v>9511.7544909747448</v>
      </c>
      <c r="AB76">
        <v>2.0252914987499999E-3</v>
      </c>
      <c r="AC76">
        <v>25.380292310741162</v>
      </c>
      <c r="AD76">
        <v>298.53029231074112</v>
      </c>
      <c r="AE76">
        <v>298.32976000000002</v>
      </c>
      <c r="AF76">
        <v>304.05157000000003</v>
      </c>
      <c r="AG76">
        <v>303.37630000000001</v>
      </c>
      <c r="AH76">
        <v>307.66491000000002</v>
      </c>
      <c r="AI76">
        <v>307.79921000000002</v>
      </c>
      <c r="AJ76">
        <v>33600.103000000003</v>
      </c>
      <c r="AK76">
        <v>3.8923384000000001E-3</v>
      </c>
      <c r="AL76">
        <v>5.3502292999999999E-4</v>
      </c>
      <c r="AM76">
        <v>5.3504379999999997E-4</v>
      </c>
      <c r="AN76">
        <v>785.1341909776562</v>
      </c>
      <c r="AO76">
        <v>128.12148671012829</v>
      </c>
      <c r="AP76">
        <v>36285.007728894183</v>
      </c>
      <c r="AQ76">
        <v>1020</v>
      </c>
      <c r="AR76">
        <v>35265.007728894183</v>
      </c>
      <c r="AS76">
        <v>1.079907633881187</v>
      </c>
      <c r="AT76">
        <v>3.4056137666980062</v>
      </c>
      <c r="AU76">
        <v>1.6551282906152309</v>
      </c>
      <c r="AV76">
        <v>17634.51375624257</v>
      </c>
      <c r="AW76">
        <v>784.26715410083648</v>
      </c>
      <c r="AZ76">
        <f t="shared" si="4"/>
        <v>128.68333137830362</v>
      </c>
      <c r="BA76">
        <f t="shared" si="5"/>
        <v>-4.3852493645073383E-3</v>
      </c>
      <c r="BB76">
        <f t="shared" si="6"/>
        <v>144.15076511976721</v>
      </c>
      <c r="BC76">
        <f t="shared" si="7"/>
        <v>-0.12510999381317489</v>
      </c>
      <c r="BD76">
        <v>0.80700000000000005</v>
      </c>
      <c r="BF76">
        <v>0.72</v>
      </c>
    </row>
    <row r="77" spans="1:58" x14ac:dyDescent="0.25">
      <c r="A77" t="s">
        <v>79</v>
      </c>
      <c r="B77">
        <v>8</v>
      </c>
      <c r="C77">
        <v>0.5</v>
      </c>
      <c r="D77">
        <v>10000</v>
      </c>
      <c r="E77">
        <v>4.2427889305334494</v>
      </c>
      <c r="F77">
        <v>15209.83213429257</v>
      </c>
      <c r="G77">
        <v>25.824000000000002</v>
      </c>
      <c r="H77">
        <v>24.8</v>
      </c>
      <c r="I77">
        <v>144425</v>
      </c>
      <c r="J77">
        <v>1.8487000000000001E-5</v>
      </c>
      <c r="K77">
        <v>1007</v>
      </c>
      <c r="L77">
        <v>2.2504456187500001E-2</v>
      </c>
      <c r="M77">
        <v>1.6890000000000001</v>
      </c>
      <c r="N77">
        <v>25.797959970571849</v>
      </c>
      <c r="O77">
        <v>1121.4845276162789</v>
      </c>
      <c r="P77">
        <v>1121</v>
      </c>
      <c r="Q77">
        <v>1.3</v>
      </c>
      <c r="R77">
        <v>46.98</v>
      </c>
      <c r="S77">
        <v>1.2969999999999999</v>
      </c>
      <c r="T77">
        <v>48.2</v>
      </c>
      <c r="U77">
        <v>61.073999999999998</v>
      </c>
      <c r="V77">
        <v>62.5154</v>
      </c>
      <c r="W77">
        <v>123.5894</v>
      </c>
      <c r="X77">
        <v>33.707811956552717</v>
      </c>
      <c r="Y77">
        <v>9655.4218749999982</v>
      </c>
      <c r="Z77">
        <v>129.53459623000819</v>
      </c>
      <c r="AA77">
        <v>9525.8872787699893</v>
      </c>
      <c r="AB77">
        <v>2.2504456187499998E-3</v>
      </c>
      <c r="AC77">
        <v>25.338735781281191</v>
      </c>
      <c r="AD77">
        <v>298.48873578128121</v>
      </c>
      <c r="AE77">
        <v>298.26485000000002</v>
      </c>
      <c r="AF77">
        <v>303.46123999999998</v>
      </c>
      <c r="AG77">
        <v>302.57477999999998</v>
      </c>
      <c r="AH77">
        <v>306.99358000000001</v>
      </c>
      <c r="AI77">
        <v>306.77438000000001</v>
      </c>
      <c r="AJ77">
        <v>40333.620999999999</v>
      </c>
      <c r="AK77">
        <v>3.8923384000000001E-3</v>
      </c>
      <c r="AL77">
        <v>5.3502292999999999E-4</v>
      </c>
      <c r="AM77">
        <v>5.3504379999999997E-4</v>
      </c>
      <c r="AN77">
        <v>930.38652103627203</v>
      </c>
      <c r="AO77">
        <v>151.82437048347009</v>
      </c>
      <c r="AP77">
        <v>43137.580123727799</v>
      </c>
      <c r="AQ77">
        <v>1133</v>
      </c>
      <c r="AR77">
        <v>42004.580123727799</v>
      </c>
      <c r="AS77">
        <v>1.0695191518690521</v>
      </c>
      <c r="AT77">
        <v>3.3804251023785779</v>
      </c>
      <c r="AU77">
        <v>1.6428865997559889</v>
      </c>
      <c r="AV77">
        <v>20964.863940131709</v>
      </c>
      <c r="AW77">
        <v>871.45508780591717</v>
      </c>
      <c r="AZ77">
        <f t="shared" si="4"/>
        <v>139.84970722611234</v>
      </c>
      <c r="BA77">
        <f t="shared" si="5"/>
        <v>7.8871812339649988E-2</v>
      </c>
      <c r="BB77">
        <f t="shared" si="6"/>
        <v>159.37868763822144</v>
      </c>
      <c r="BC77">
        <f t="shared" si="7"/>
        <v>-4.975694699536938E-2</v>
      </c>
      <c r="BD77">
        <v>0.80700000000000005</v>
      </c>
      <c r="BF77">
        <v>0.72</v>
      </c>
    </row>
    <row r="78" spans="1:58" x14ac:dyDescent="0.25">
      <c r="A78" t="s">
        <v>79</v>
      </c>
      <c r="B78">
        <v>8</v>
      </c>
      <c r="C78">
        <v>0.5</v>
      </c>
      <c r="D78">
        <v>11000</v>
      </c>
      <c r="E78">
        <v>4.2427889305334494</v>
      </c>
      <c r="F78">
        <v>16742.121015433429</v>
      </c>
      <c r="G78">
        <v>25.824000000000002</v>
      </c>
      <c r="H78">
        <v>24.8</v>
      </c>
      <c r="I78">
        <v>151825</v>
      </c>
      <c r="J78">
        <v>1.8488E-5</v>
      </c>
      <c r="K78">
        <v>1007</v>
      </c>
      <c r="L78">
        <v>2.475624085E-2</v>
      </c>
      <c r="M78">
        <v>1.776</v>
      </c>
      <c r="N78">
        <v>26.989089224999859</v>
      </c>
      <c r="O78">
        <v>1233.69971013289</v>
      </c>
      <c r="P78">
        <v>1234</v>
      </c>
      <c r="Q78">
        <v>1.3</v>
      </c>
      <c r="R78">
        <v>46.98</v>
      </c>
      <c r="S78">
        <v>1.2969999999999999</v>
      </c>
      <c r="T78">
        <v>48.2</v>
      </c>
      <c r="U78">
        <v>61.073999999999998</v>
      </c>
      <c r="V78">
        <v>62.5154</v>
      </c>
      <c r="W78">
        <v>123.5894</v>
      </c>
      <c r="X78">
        <v>33.173608709211003</v>
      </c>
      <c r="Y78">
        <v>9655.4218749999982</v>
      </c>
      <c r="Z78">
        <v>118.1491224194141</v>
      </c>
      <c r="AA78">
        <v>9537.272752580584</v>
      </c>
      <c r="AB78">
        <v>2.4756240850000001E-3</v>
      </c>
      <c r="AC78">
        <v>25.28897400277836</v>
      </c>
      <c r="AD78">
        <v>298.43897400277831</v>
      </c>
      <c r="AE78">
        <v>298.19520999999997</v>
      </c>
      <c r="AF78">
        <v>302.70659000000001</v>
      </c>
      <c r="AG78">
        <v>301.78717999999998</v>
      </c>
      <c r="AH78">
        <v>306.05209000000002</v>
      </c>
      <c r="AI78">
        <v>305.98527000000001</v>
      </c>
      <c r="AJ78">
        <v>48122.947</v>
      </c>
      <c r="AK78">
        <v>3.8923384000000001E-3</v>
      </c>
      <c r="AL78">
        <v>5.3502292999999999E-4</v>
      </c>
      <c r="AM78">
        <v>5.3504379999999997E-4</v>
      </c>
      <c r="AN78">
        <v>1093.964126482661</v>
      </c>
      <c r="AO78">
        <v>178.51764947082029</v>
      </c>
      <c r="AP78">
        <v>50665.844612026202</v>
      </c>
      <c r="AQ78">
        <v>1247</v>
      </c>
      <c r="AR78">
        <v>49418.844612026202</v>
      </c>
      <c r="AS78">
        <v>1.052841685111807</v>
      </c>
      <c r="AT78">
        <v>3.3857551151520622</v>
      </c>
      <c r="AU78">
        <v>1.645476985963902</v>
      </c>
      <c r="AV78">
        <v>24623.60048144473</v>
      </c>
      <c r="AW78">
        <v>958.65244927199524</v>
      </c>
      <c r="AZ78">
        <f t="shared" si="4"/>
        <v>150.7833903847087</v>
      </c>
      <c r="BA78">
        <f t="shared" si="5"/>
        <v>0.15535863915038223</v>
      </c>
      <c r="BB78">
        <f t="shared" si="6"/>
        <v>174.53529739909294</v>
      </c>
      <c r="BC78">
        <f t="shared" si="7"/>
        <v>2.2307889911906364E-2</v>
      </c>
      <c r="BD78">
        <v>0.80700000000000005</v>
      </c>
      <c r="BF78">
        <v>0.72</v>
      </c>
    </row>
    <row r="79" spans="1:58" x14ac:dyDescent="0.25">
      <c r="A79" t="s">
        <v>79</v>
      </c>
      <c r="B79">
        <v>8</v>
      </c>
      <c r="C79">
        <v>0.5</v>
      </c>
      <c r="D79">
        <v>12000</v>
      </c>
      <c r="E79">
        <v>4.2427889305334494</v>
      </c>
      <c r="F79">
        <v>18260.67751996683</v>
      </c>
      <c r="G79">
        <v>25.824000000000002</v>
      </c>
      <c r="H79">
        <v>24.8</v>
      </c>
      <c r="I79">
        <v>159825</v>
      </c>
      <c r="J79">
        <v>1.8488999999999999E-5</v>
      </c>
      <c r="K79">
        <v>1007</v>
      </c>
      <c r="L79">
        <v>2.7008268974999999E-2</v>
      </c>
      <c r="M79">
        <v>1.869</v>
      </c>
      <c r="N79">
        <v>27.979112854442771</v>
      </c>
      <c r="O79">
        <v>1345.9270253322261</v>
      </c>
      <c r="P79">
        <v>1346</v>
      </c>
      <c r="Q79">
        <v>1.3</v>
      </c>
      <c r="R79">
        <v>46.98</v>
      </c>
      <c r="S79">
        <v>1.2969999999999999</v>
      </c>
      <c r="T79">
        <v>48.2</v>
      </c>
      <c r="U79">
        <v>61.073999999999998</v>
      </c>
      <c r="V79">
        <v>62.5154</v>
      </c>
      <c r="W79">
        <v>123.5894</v>
      </c>
      <c r="X79">
        <v>32.712207599629281</v>
      </c>
      <c r="Y79">
        <v>9655.4218749999982</v>
      </c>
      <c r="Z79">
        <v>108.31528057089881</v>
      </c>
      <c r="AA79">
        <v>9547.1065944290985</v>
      </c>
      <c r="AB79">
        <v>2.7008268975E-3</v>
      </c>
      <c r="AC79">
        <v>25.29124003707139</v>
      </c>
      <c r="AD79">
        <v>298.44124003707128</v>
      </c>
      <c r="AE79">
        <v>298.16872000000001</v>
      </c>
      <c r="AF79">
        <v>302.30430999999999</v>
      </c>
      <c r="AG79">
        <v>301.26396999999997</v>
      </c>
      <c r="AH79">
        <v>305.53726</v>
      </c>
      <c r="AI79">
        <v>305.36146000000002</v>
      </c>
      <c r="AJ79">
        <v>52917.337</v>
      </c>
      <c r="AK79">
        <v>3.8923384000000001E-3</v>
      </c>
      <c r="AL79">
        <v>5.3502292999999999E-4</v>
      </c>
      <c r="AM79">
        <v>5.3504379999999997E-4</v>
      </c>
      <c r="AN79">
        <v>1275.9656406927179</v>
      </c>
      <c r="AO79">
        <v>208.21741907969559</v>
      </c>
      <c r="AP79">
        <v>58415.898053753474</v>
      </c>
      <c r="AQ79">
        <v>1360</v>
      </c>
      <c r="AR79">
        <v>57055.898053753474</v>
      </c>
      <c r="AS79">
        <v>1.103908498905632</v>
      </c>
      <c r="AT79">
        <v>3.3871843370845971</v>
      </c>
      <c r="AU79">
        <v>1.646171587823114</v>
      </c>
      <c r="AV79">
        <v>28390.126454124191</v>
      </c>
      <c r="AW79">
        <v>1045.8592384990709</v>
      </c>
      <c r="AZ79">
        <f t="shared" si="4"/>
        <v>161.50981127020739</v>
      </c>
      <c r="BA79">
        <f t="shared" si="5"/>
        <v>0.224321327273828</v>
      </c>
      <c r="BB79">
        <f t="shared" si="6"/>
        <v>189.62738639654211</v>
      </c>
      <c r="BC79">
        <f t="shared" si="7"/>
        <v>8.9281832256493929E-2</v>
      </c>
      <c r="BD79">
        <v>0.80700000000000005</v>
      </c>
      <c r="BF79">
        <v>0.72</v>
      </c>
    </row>
    <row r="80" spans="1:58" x14ac:dyDescent="0.25">
      <c r="A80" t="s">
        <v>79</v>
      </c>
      <c r="B80">
        <v>8</v>
      </c>
      <c r="C80">
        <v>0.5</v>
      </c>
      <c r="D80">
        <v>13000</v>
      </c>
      <c r="E80">
        <v>4.2427889305334494</v>
      </c>
      <c r="F80">
        <v>19779.069767441859</v>
      </c>
      <c r="G80">
        <v>25.824000000000002</v>
      </c>
      <c r="H80">
        <v>24.8</v>
      </c>
      <c r="I80">
        <v>167725</v>
      </c>
      <c r="J80">
        <v>1.8490000000000001E-5</v>
      </c>
      <c r="K80">
        <v>1008</v>
      </c>
      <c r="L80">
        <v>2.92605405625E-2</v>
      </c>
      <c r="M80">
        <v>1.962</v>
      </c>
      <c r="N80">
        <v>28.875521291721299</v>
      </c>
      <c r="O80">
        <v>1458.166473214286</v>
      </c>
      <c r="P80">
        <v>1458</v>
      </c>
      <c r="Q80">
        <v>1.401</v>
      </c>
      <c r="R80">
        <v>50.56</v>
      </c>
      <c r="S80">
        <v>1.4</v>
      </c>
      <c r="T80">
        <v>52.03</v>
      </c>
      <c r="U80">
        <v>70.83456000000001</v>
      </c>
      <c r="V80">
        <v>72.841999999999999</v>
      </c>
      <c r="W80">
        <v>143.67655999999999</v>
      </c>
      <c r="X80">
        <v>33.516225019243379</v>
      </c>
      <c r="Y80">
        <v>11224.731250000001</v>
      </c>
      <c r="Z80">
        <v>125.4513038351341</v>
      </c>
      <c r="AA80">
        <v>11099.279946164859</v>
      </c>
      <c r="AB80">
        <v>2.9260540562499999E-3</v>
      </c>
      <c r="AC80">
        <v>25.263877469566982</v>
      </c>
      <c r="AD80">
        <v>298.41387746956701</v>
      </c>
      <c r="AE80">
        <v>298.12322999999998</v>
      </c>
      <c r="AF80">
        <v>302.44418999999999</v>
      </c>
      <c r="AG80">
        <v>301.43490000000003</v>
      </c>
      <c r="AH80">
        <v>306.14731</v>
      </c>
      <c r="AI80">
        <v>306.15719000000001</v>
      </c>
      <c r="AJ80">
        <v>60346.008999999998</v>
      </c>
      <c r="AK80">
        <v>3.8923384000000001E-3</v>
      </c>
      <c r="AL80">
        <v>5.3502292999999999E-4</v>
      </c>
      <c r="AM80">
        <v>5.3504379999999997E-4</v>
      </c>
      <c r="AN80">
        <v>1320.292884689949</v>
      </c>
      <c r="AO80">
        <v>215.45092447017649</v>
      </c>
      <c r="AP80">
        <v>66327.569147874674</v>
      </c>
      <c r="AQ80">
        <v>1474</v>
      </c>
      <c r="AR80">
        <v>64853.569147874667</v>
      </c>
      <c r="AS80">
        <v>1.099121056172492</v>
      </c>
      <c r="AT80">
        <v>3.379864879741513</v>
      </c>
      <c r="AU80">
        <v>1.642614331554376</v>
      </c>
      <c r="AV80">
        <v>32235.198605867088</v>
      </c>
      <c r="AW80">
        <v>1133.0754554871439</v>
      </c>
      <c r="AZ80">
        <f t="shared" si="4"/>
        <v>172.04974020360126</v>
      </c>
      <c r="BA80">
        <f t="shared" si="5"/>
        <v>0.20144348126286635</v>
      </c>
      <c r="BB80">
        <f t="shared" si="6"/>
        <v>204.66058597170877</v>
      </c>
      <c r="BC80">
        <f t="shared" si="7"/>
        <v>5.0082581567021112E-2</v>
      </c>
      <c r="BD80">
        <v>0.80700000000000005</v>
      </c>
      <c r="BF80">
        <v>0.72</v>
      </c>
    </row>
    <row r="81" spans="1:58" x14ac:dyDescent="0.25">
      <c r="A81" t="s">
        <v>79</v>
      </c>
      <c r="B81">
        <v>8</v>
      </c>
      <c r="C81">
        <v>0.5</v>
      </c>
      <c r="D81">
        <v>14000</v>
      </c>
      <c r="E81">
        <v>4.2427889305334494</v>
      </c>
      <c r="F81">
        <v>21296.146081188261</v>
      </c>
      <c r="G81">
        <v>25.824000000000002</v>
      </c>
      <c r="H81">
        <v>24.8</v>
      </c>
      <c r="I81">
        <v>175925</v>
      </c>
      <c r="J81">
        <v>1.8491999999999998E-5</v>
      </c>
      <c r="K81">
        <v>1008</v>
      </c>
      <c r="L81">
        <v>3.1514759849999997E-2</v>
      </c>
      <c r="M81">
        <v>2.0579999999999998</v>
      </c>
      <c r="N81">
        <v>29.649346320777379</v>
      </c>
      <c r="O81">
        <v>1570.5029825581389</v>
      </c>
      <c r="P81">
        <v>1570</v>
      </c>
      <c r="Q81">
        <v>1.401</v>
      </c>
      <c r="R81">
        <v>50.7</v>
      </c>
      <c r="S81">
        <v>1.4</v>
      </c>
      <c r="T81">
        <v>50.44</v>
      </c>
      <c r="U81">
        <v>71.03070000000001</v>
      </c>
      <c r="V81">
        <v>70.615999999999985</v>
      </c>
      <c r="W81">
        <v>141.64670000000001</v>
      </c>
      <c r="X81">
        <v>33.122514296927548</v>
      </c>
      <c r="Y81">
        <v>11066.1484375</v>
      </c>
      <c r="Z81">
        <v>117.0601472104167</v>
      </c>
      <c r="AA81">
        <v>10949.088290289579</v>
      </c>
      <c r="AB81">
        <v>3.1514759849999999E-3</v>
      </c>
      <c r="AC81">
        <v>25.240071624803779</v>
      </c>
      <c r="AD81">
        <v>298.39007162480368</v>
      </c>
      <c r="AE81">
        <v>298.08656999999999</v>
      </c>
      <c r="AF81">
        <v>301.84670999999997</v>
      </c>
      <c r="AG81">
        <v>300.67500999999999</v>
      </c>
      <c r="AH81">
        <v>305.09374000000003</v>
      </c>
      <c r="AI81">
        <v>305.51728000000003</v>
      </c>
      <c r="AJ81">
        <v>69082.789999999994</v>
      </c>
      <c r="AK81">
        <v>3.8923384000000001E-3</v>
      </c>
      <c r="AL81">
        <v>5.3502292999999999E-4</v>
      </c>
      <c r="AM81">
        <v>5.3504379999999997E-4</v>
      </c>
      <c r="AN81">
        <v>1654.611114224288</v>
      </c>
      <c r="AO81">
        <v>270.00637383724711</v>
      </c>
      <c r="AP81">
        <v>74401.947409733126</v>
      </c>
      <c r="AQ81">
        <v>1587</v>
      </c>
      <c r="AR81">
        <v>72814.947409733126</v>
      </c>
      <c r="AS81">
        <v>1.0769968527578739</v>
      </c>
      <c r="AT81">
        <v>3.3708882449138509</v>
      </c>
      <c r="AU81">
        <v>1.638251687028131</v>
      </c>
      <c r="AV81">
        <v>36159.346441130299</v>
      </c>
      <c r="AW81">
        <v>1220.367094563197</v>
      </c>
      <c r="AZ81">
        <f t="shared" si="4"/>
        <v>182.42043377559702</v>
      </c>
      <c r="BA81">
        <f t="shared" si="5"/>
        <v>0.32438471291216497</v>
      </c>
      <c r="BB81">
        <f t="shared" si="6"/>
        <v>219.63963956439002</v>
      </c>
      <c r="BC81">
        <f t="shared" si="7"/>
        <v>0.18653905667877624</v>
      </c>
      <c r="BD81">
        <v>0.80700000000000005</v>
      </c>
      <c r="BF81">
        <v>0.72</v>
      </c>
    </row>
    <row r="82" spans="1:58" x14ac:dyDescent="0.25">
      <c r="A82" t="s">
        <v>79</v>
      </c>
      <c r="B82">
        <v>8</v>
      </c>
      <c r="C82">
        <v>0.5</v>
      </c>
      <c r="D82" t="s">
        <v>51</v>
      </c>
      <c r="E82">
        <v>1.204</v>
      </c>
    </row>
    <row r="83" spans="1:58" x14ac:dyDescent="0.25">
      <c r="A83" t="s">
        <v>80</v>
      </c>
    </row>
    <row r="84" spans="1:58" x14ac:dyDescent="0.25">
      <c r="A84" t="s">
        <v>81</v>
      </c>
      <c r="B84">
        <v>6</v>
      </c>
      <c r="C84">
        <v>0.3</v>
      </c>
      <c r="D84">
        <v>400</v>
      </c>
      <c r="E84">
        <v>3.3113207547169812</v>
      </c>
      <c r="F84">
        <v>615.95315048540749</v>
      </c>
      <c r="G84">
        <v>15.21</v>
      </c>
      <c r="H84">
        <v>24.4</v>
      </c>
      <c r="I84">
        <v>101755</v>
      </c>
      <c r="J84">
        <v>1.8461000000000002E-5</v>
      </c>
      <c r="K84">
        <v>1007</v>
      </c>
      <c r="L84">
        <v>6.7838021333333333E-4</v>
      </c>
      <c r="M84">
        <v>1.1910000000000001</v>
      </c>
      <c r="N84">
        <v>1.8724153850938059</v>
      </c>
      <c r="O84">
        <v>33.806322923588041</v>
      </c>
      <c r="P84">
        <v>34</v>
      </c>
      <c r="Q84">
        <v>0.498</v>
      </c>
      <c r="R84">
        <v>30.11</v>
      </c>
      <c r="S84">
        <v>0.5</v>
      </c>
      <c r="T84">
        <v>30.09</v>
      </c>
      <c r="U84">
        <v>14.99478</v>
      </c>
      <c r="V84">
        <v>15.045</v>
      </c>
      <c r="W84">
        <v>30.03978</v>
      </c>
      <c r="X84">
        <v>50.926966739259562</v>
      </c>
      <c r="Y84">
        <v>4172.1916666666666</v>
      </c>
      <c r="Z84">
        <v>496.52644211383893</v>
      </c>
      <c r="AA84">
        <v>3675.665224552828</v>
      </c>
      <c r="AB84">
        <v>6.7838021333333331E-5</v>
      </c>
      <c r="AC84">
        <v>24.938681449217921</v>
      </c>
      <c r="AD84">
        <v>298.08868144921792</v>
      </c>
      <c r="AE84">
        <v>298.08875</v>
      </c>
      <c r="AF84">
        <v>337.17066</v>
      </c>
      <c r="AG84">
        <v>327.72863999999998</v>
      </c>
      <c r="AH84">
        <v>329.80556000000001</v>
      </c>
      <c r="AI84">
        <v>329.97931</v>
      </c>
      <c r="AJ84">
        <v>188.91237000000001</v>
      </c>
      <c r="AK84">
        <v>2.2018306999999999E-3</v>
      </c>
      <c r="AL84">
        <v>3.0973856999999999E-4</v>
      </c>
      <c r="AM84">
        <v>3.1280885E-4</v>
      </c>
      <c r="AN84">
        <v>88.598288342255429</v>
      </c>
      <c r="AO84">
        <v>11.283744270004229</v>
      </c>
      <c r="AP84">
        <v>416.51191183264041</v>
      </c>
      <c r="AQ84">
        <v>42</v>
      </c>
      <c r="AR84">
        <v>374.51191183264041</v>
      </c>
      <c r="AS84">
        <v>2.2047889814343038</v>
      </c>
      <c r="AT84">
        <v>9.9040255913085513</v>
      </c>
      <c r="AU84">
        <v>5.0411490259760523</v>
      </c>
      <c r="AV84">
        <v>190.62656312281399</v>
      </c>
      <c r="AW84">
        <v>44.600934472934483</v>
      </c>
      <c r="AZ84">
        <f t="shared" si="4"/>
        <v>11.110493687047409</v>
      </c>
      <c r="BA84">
        <f t="shared" si="5"/>
        <v>1.5353997645743802E-2</v>
      </c>
      <c r="BB84">
        <f t="shared" si="6"/>
        <v>7.0297147976526331</v>
      </c>
      <c r="BC84">
        <f t="shared" si="7"/>
        <v>0.37700512972986772</v>
      </c>
      <c r="BD84">
        <v>0.84499999999999997</v>
      </c>
      <c r="BF84">
        <v>0.72</v>
      </c>
    </row>
    <row r="85" spans="1:58" x14ac:dyDescent="0.25">
      <c r="A85" t="s">
        <v>81</v>
      </c>
      <c r="B85">
        <v>6</v>
      </c>
      <c r="C85">
        <v>0.3</v>
      </c>
      <c r="D85">
        <v>600</v>
      </c>
      <c r="E85">
        <v>3.3113207547169812</v>
      </c>
      <c r="F85">
        <v>923.92972572811118</v>
      </c>
      <c r="G85">
        <v>15.21</v>
      </c>
      <c r="H85">
        <v>24.4</v>
      </c>
      <c r="I85">
        <v>102175</v>
      </c>
      <c r="J85">
        <v>1.8461000000000002E-5</v>
      </c>
      <c r="K85">
        <v>1007</v>
      </c>
      <c r="L85">
        <v>1.01757032E-3</v>
      </c>
      <c r="M85">
        <v>1.196</v>
      </c>
      <c r="N85">
        <v>2.796881342366293</v>
      </c>
      <c r="O85">
        <v>50.709484385382062</v>
      </c>
      <c r="P85">
        <v>51</v>
      </c>
      <c r="Q85">
        <v>0.498</v>
      </c>
      <c r="R85">
        <v>30.11</v>
      </c>
      <c r="S85">
        <v>0.5</v>
      </c>
      <c r="T85">
        <v>30.09</v>
      </c>
      <c r="U85">
        <v>14.99478</v>
      </c>
      <c r="V85">
        <v>15.045</v>
      </c>
      <c r="W85">
        <v>30.03978</v>
      </c>
      <c r="X85">
        <v>44.077994389901853</v>
      </c>
      <c r="Y85">
        <v>4172.1916666666666</v>
      </c>
      <c r="Z85">
        <v>350.55429443197801</v>
      </c>
      <c r="AA85">
        <v>3821.6373722346889</v>
      </c>
      <c r="AB85">
        <v>1.01757032E-4</v>
      </c>
      <c r="AC85">
        <v>24.99451813263876</v>
      </c>
      <c r="AD85">
        <v>298.14451813263872</v>
      </c>
      <c r="AE85">
        <v>298.13720999999998</v>
      </c>
      <c r="AF85">
        <v>324.96922999999998</v>
      </c>
      <c r="AG85">
        <v>318.56096000000002</v>
      </c>
      <c r="AH85">
        <v>320.66536000000002</v>
      </c>
      <c r="AI85">
        <v>320.85824000000002</v>
      </c>
      <c r="AJ85">
        <v>389.39980000000003</v>
      </c>
      <c r="AK85">
        <v>2.2018306999999999E-3</v>
      </c>
      <c r="AL85">
        <v>3.0973856999999999E-4</v>
      </c>
      <c r="AM85">
        <v>3.1280885E-4</v>
      </c>
      <c r="AN85">
        <v>130.0188013906978</v>
      </c>
      <c r="AO85">
        <v>16.55899829032472</v>
      </c>
      <c r="AP85">
        <v>875.67554932211317</v>
      </c>
      <c r="AQ85">
        <v>63</v>
      </c>
      <c r="AR85">
        <v>812.67554932211317</v>
      </c>
      <c r="AS85">
        <v>2.2487827403149998</v>
      </c>
      <c r="AT85">
        <v>9.5717439796937853</v>
      </c>
      <c r="AU85">
        <v>4.8720176856641366</v>
      </c>
      <c r="AV85">
        <v>413.65185460495559</v>
      </c>
      <c r="AW85">
        <v>66.901401709401711</v>
      </c>
      <c r="AZ85">
        <f t="shared" si="4"/>
        <v>15.304185932303344</v>
      </c>
      <c r="BA85">
        <f t="shared" si="5"/>
        <v>7.5778276923583687E-2</v>
      </c>
      <c r="BB85">
        <f t="shared" si="6"/>
        <v>10.346115640335706</v>
      </c>
      <c r="BC85">
        <f t="shared" si="7"/>
        <v>0.37519676861245577</v>
      </c>
      <c r="BD85">
        <v>0.84499999999999997</v>
      </c>
      <c r="BF85">
        <v>0.72</v>
      </c>
    </row>
    <row r="86" spans="1:58" x14ac:dyDescent="0.25">
      <c r="A86" t="s">
        <v>81</v>
      </c>
      <c r="B86">
        <v>6</v>
      </c>
      <c r="C86">
        <v>0.3</v>
      </c>
      <c r="D86">
        <v>800</v>
      </c>
      <c r="E86">
        <v>3.3113207547169812</v>
      </c>
      <c r="F86">
        <v>1231.572740291467</v>
      </c>
      <c r="G86">
        <v>15.21</v>
      </c>
      <c r="H86">
        <v>24.5</v>
      </c>
      <c r="I86">
        <v>102815</v>
      </c>
      <c r="J86">
        <v>1.8465999999999999E-5</v>
      </c>
      <c r="K86">
        <v>1007</v>
      </c>
      <c r="L86">
        <v>1.3571278933333329E-3</v>
      </c>
      <c r="M86">
        <v>1.2030000000000001</v>
      </c>
      <c r="N86">
        <v>3.708479987116728</v>
      </c>
      <c r="O86">
        <v>67.630958139534869</v>
      </c>
      <c r="P86">
        <v>68</v>
      </c>
      <c r="Q86">
        <v>0.498</v>
      </c>
      <c r="R86">
        <v>30.11</v>
      </c>
      <c r="S86">
        <v>0.5</v>
      </c>
      <c r="T86">
        <v>30.09</v>
      </c>
      <c r="U86">
        <v>14.99478</v>
      </c>
      <c r="V86">
        <v>15.045</v>
      </c>
      <c r="W86">
        <v>30.03978</v>
      </c>
      <c r="X86">
        <v>40.293731488406877</v>
      </c>
      <c r="Y86">
        <v>4172.1916666666666</v>
      </c>
      <c r="Z86">
        <v>269.90029921241592</v>
      </c>
      <c r="AA86">
        <v>3902.291367454251</v>
      </c>
      <c r="AB86">
        <v>1.3571278933333331E-4</v>
      </c>
      <c r="AC86">
        <v>25.045910620792871</v>
      </c>
      <c r="AD86">
        <v>298.19591062079292</v>
      </c>
      <c r="AE86">
        <v>298.19501000000002</v>
      </c>
      <c r="AF86">
        <v>318.83008000000001</v>
      </c>
      <c r="AG86">
        <v>314.20305000000002</v>
      </c>
      <c r="AH86">
        <v>316.21809999999999</v>
      </c>
      <c r="AI86">
        <v>316.45567</v>
      </c>
      <c r="AJ86">
        <v>647.25351000000001</v>
      </c>
      <c r="AK86">
        <v>2.2018306999999999E-3</v>
      </c>
      <c r="AL86">
        <v>3.0973856999999999E-4</v>
      </c>
      <c r="AM86">
        <v>3.1280885E-4</v>
      </c>
      <c r="AN86">
        <v>161.46562548970519</v>
      </c>
      <c r="AO86">
        <v>20.56401834067</v>
      </c>
      <c r="AP86">
        <v>1471.390862627773</v>
      </c>
      <c r="AQ86">
        <v>84</v>
      </c>
      <c r="AR86">
        <v>1387.390862627773</v>
      </c>
      <c r="AS86">
        <v>2.273283713251355</v>
      </c>
      <c r="AT86">
        <v>9.2136394731602511</v>
      </c>
      <c r="AU86">
        <v>4.689742491838568</v>
      </c>
      <c r="AV86">
        <v>706.18194907753673</v>
      </c>
      <c r="AW86">
        <v>89.226028490028483</v>
      </c>
      <c r="AZ86">
        <f t="shared" si="4"/>
        <v>19.208207893716576</v>
      </c>
      <c r="BA86">
        <f t="shared" si="5"/>
        <v>6.5931201990420407E-2</v>
      </c>
      <c r="BB86">
        <f t="shared" si="6"/>
        <v>13.610103745222611</v>
      </c>
      <c r="BC86">
        <f t="shared" si="7"/>
        <v>0.33815932665720533</v>
      </c>
      <c r="BD86">
        <v>0.84499999999999997</v>
      </c>
      <c r="BF86">
        <v>0.72</v>
      </c>
    </row>
    <row r="87" spans="1:58" x14ac:dyDescent="0.25">
      <c r="A87" t="s">
        <v>81</v>
      </c>
      <c r="B87">
        <v>6</v>
      </c>
      <c r="C87">
        <v>0.3</v>
      </c>
      <c r="D87">
        <v>1000</v>
      </c>
      <c r="E87">
        <v>3.3113207547169812</v>
      </c>
      <c r="F87">
        <v>1539.465925364334</v>
      </c>
      <c r="G87">
        <v>15.21</v>
      </c>
      <c r="H87">
        <v>24.5</v>
      </c>
      <c r="I87">
        <v>103505</v>
      </c>
      <c r="J87">
        <v>1.8465999999999999E-5</v>
      </c>
      <c r="K87">
        <v>1007</v>
      </c>
      <c r="L87">
        <v>1.696409866666666E-3</v>
      </c>
      <c r="M87">
        <v>1.212</v>
      </c>
      <c r="N87">
        <v>4.6011772117382677</v>
      </c>
      <c r="O87">
        <v>84.538697674418586</v>
      </c>
      <c r="P87">
        <v>85</v>
      </c>
      <c r="Q87">
        <v>0.498</v>
      </c>
      <c r="R87">
        <v>30.11</v>
      </c>
      <c r="S87">
        <v>0.5</v>
      </c>
      <c r="T87">
        <v>30.09</v>
      </c>
      <c r="U87">
        <v>14.99478</v>
      </c>
      <c r="V87">
        <v>15.045</v>
      </c>
      <c r="W87">
        <v>30.03978</v>
      </c>
      <c r="X87">
        <v>37.994784222267299</v>
      </c>
      <c r="Y87">
        <v>4172.1916666666666</v>
      </c>
      <c r="Z87">
        <v>220.9028361291829</v>
      </c>
      <c r="AA87">
        <v>3951.288830537484</v>
      </c>
      <c r="AB87">
        <v>1.6964098666666659E-4</v>
      </c>
      <c r="AC87">
        <v>25.071818089637041</v>
      </c>
      <c r="AD87">
        <v>298.221818089637</v>
      </c>
      <c r="AE87">
        <v>298.21224999999998</v>
      </c>
      <c r="AF87">
        <v>314.78347000000002</v>
      </c>
      <c r="AG87">
        <v>311.56754999999998</v>
      </c>
      <c r="AH87">
        <v>313.76285000000001</v>
      </c>
      <c r="AI87">
        <v>313.60455999999999</v>
      </c>
      <c r="AJ87">
        <v>902.54683999999997</v>
      </c>
      <c r="AK87">
        <v>2.2018306999999999E-3</v>
      </c>
      <c r="AL87">
        <v>3.0973856999999999E-4</v>
      </c>
      <c r="AM87">
        <v>3.1280885E-4</v>
      </c>
      <c r="AN87">
        <v>181.94863254663409</v>
      </c>
      <c r="AO87">
        <v>23.17270320169397</v>
      </c>
      <c r="AP87">
        <v>2189.187115527614</v>
      </c>
      <c r="AQ87">
        <v>104</v>
      </c>
      <c r="AR87">
        <v>2085.187115527614</v>
      </c>
      <c r="AS87">
        <v>2.4255662072093842</v>
      </c>
      <c r="AT87">
        <v>8.8958271716824111</v>
      </c>
      <c r="AU87">
        <v>4.5279760303863474</v>
      </c>
      <c r="AV87">
        <v>1061.3602418035559</v>
      </c>
      <c r="AW87">
        <v>111.5325356125356</v>
      </c>
      <c r="AZ87">
        <f t="shared" si="4"/>
        <v>22.910067871226953</v>
      </c>
      <c r="BA87">
        <f t="shared" si="5"/>
        <v>1.1333823601892836E-2</v>
      </c>
      <c r="BB87">
        <f t="shared" si="6"/>
        <v>16.835663838032836</v>
      </c>
      <c r="BC87">
        <f t="shared" si="7"/>
        <v>0.2734700094548263</v>
      </c>
      <c r="BD87">
        <v>0.84499999999999997</v>
      </c>
      <c r="BF87">
        <v>0.72</v>
      </c>
    </row>
    <row r="88" spans="1:58" x14ac:dyDescent="0.25">
      <c r="A88" t="s">
        <v>81</v>
      </c>
      <c r="B88">
        <v>6</v>
      </c>
      <c r="C88">
        <v>0.3</v>
      </c>
      <c r="D88">
        <v>1200</v>
      </c>
      <c r="E88">
        <v>3.3113207547169812</v>
      </c>
      <c r="F88">
        <v>1829.247746609384</v>
      </c>
      <c r="G88">
        <v>15.21</v>
      </c>
      <c r="H88">
        <v>24.5</v>
      </c>
      <c r="I88">
        <v>104325</v>
      </c>
      <c r="J88">
        <v>1.8465999999999999E-5</v>
      </c>
      <c r="K88">
        <v>1007</v>
      </c>
      <c r="L88">
        <v>2.0356918400000002E-3</v>
      </c>
      <c r="M88">
        <v>1.2210000000000001</v>
      </c>
      <c r="N88">
        <v>5.4807142807142801</v>
      </c>
      <c r="O88">
        <v>101.4464372093023</v>
      </c>
      <c r="P88">
        <v>101</v>
      </c>
      <c r="Q88">
        <v>0.498</v>
      </c>
      <c r="R88">
        <v>30.11</v>
      </c>
      <c r="S88">
        <v>0.5</v>
      </c>
      <c r="T88">
        <v>30.09</v>
      </c>
      <c r="U88">
        <v>14.99478</v>
      </c>
      <c r="V88">
        <v>15.045</v>
      </c>
      <c r="W88">
        <v>30.03978</v>
      </c>
      <c r="X88">
        <v>36.400310220177467</v>
      </c>
      <c r="Y88">
        <v>4172.1916666666666</v>
      </c>
      <c r="Z88">
        <v>186.91981172264241</v>
      </c>
      <c r="AA88">
        <v>3985.2718549440242</v>
      </c>
      <c r="AB88">
        <v>2.0356918400000001E-4</v>
      </c>
      <c r="AC88">
        <v>25.08524975353269</v>
      </c>
      <c r="AD88">
        <v>298.23524975353268</v>
      </c>
      <c r="AE88">
        <v>298.22890999999998</v>
      </c>
      <c r="AF88">
        <v>312.27122000000003</v>
      </c>
      <c r="AG88">
        <v>309.54399999999998</v>
      </c>
      <c r="AH88">
        <v>311.68407999999999</v>
      </c>
      <c r="AI88">
        <v>311.59390000000002</v>
      </c>
      <c r="AJ88">
        <v>1311.7301</v>
      </c>
      <c r="AK88">
        <v>2.2018306999999999E-3</v>
      </c>
      <c r="AL88">
        <v>3.0973856999999999E-4</v>
      </c>
      <c r="AM88">
        <v>3.1280885E-4</v>
      </c>
      <c r="AN88">
        <v>213.6272314307657</v>
      </c>
      <c r="AO88">
        <v>27.207241738823932</v>
      </c>
      <c r="AP88">
        <v>2977.317066491401</v>
      </c>
      <c r="AQ88">
        <v>125</v>
      </c>
      <c r="AR88">
        <v>2852.317066491401</v>
      </c>
      <c r="AS88">
        <v>2.269763472296169</v>
      </c>
      <c r="AT88">
        <v>8.4820234941544879</v>
      </c>
      <c r="AU88">
        <v>4.317349958524634</v>
      </c>
      <c r="AV88">
        <v>1451.8293868441231</v>
      </c>
      <c r="AW88">
        <v>133.83904273504271</v>
      </c>
      <c r="AZ88">
        <f t="shared" si="4"/>
        <v>26.458408898110456</v>
      </c>
      <c r="BA88">
        <f t="shared" si="5"/>
        <v>2.7523291331841018E-2</v>
      </c>
      <c r="BB88">
        <f t="shared" si="6"/>
        <v>20.030927466937815</v>
      </c>
      <c r="BC88">
        <f t="shared" si="7"/>
        <v>0.26376485866429189</v>
      </c>
      <c r="BD88">
        <v>0.84499999999999997</v>
      </c>
      <c r="BF88">
        <v>0.72</v>
      </c>
    </row>
    <row r="89" spans="1:58" x14ac:dyDescent="0.25">
      <c r="A89" t="s">
        <v>81</v>
      </c>
      <c r="B89">
        <v>6</v>
      </c>
      <c r="C89">
        <v>0.3</v>
      </c>
      <c r="D89">
        <v>1400</v>
      </c>
      <c r="E89">
        <v>3.3113207547169812</v>
      </c>
      <c r="F89">
        <v>2136.5624191675838</v>
      </c>
      <c r="G89">
        <v>15.21</v>
      </c>
      <c r="H89">
        <v>24.6</v>
      </c>
      <c r="I89">
        <v>105225</v>
      </c>
      <c r="J89">
        <v>1.8471E-5</v>
      </c>
      <c r="K89">
        <v>1007</v>
      </c>
      <c r="L89">
        <v>2.3756168800000001E-3</v>
      </c>
      <c r="M89">
        <v>1.2310000000000001</v>
      </c>
      <c r="N89">
        <v>6.3439410666055673</v>
      </c>
      <c r="O89">
        <v>118.3862232558139</v>
      </c>
      <c r="P89">
        <v>118</v>
      </c>
      <c r="Q89">
        <v>0.498</v>
      </c>
      <c r="R89">
        <v>30.11</v>
      </c>
      <c r="S89">
        <v>0.5</v>
      </c>
      <c r="T89">
        <v>30.09</v>
      </c>
      <c r="U89">
        <v>14.99478</v>
      </c>
      <c r="V89">
        <v>15.045</v>
      </c>
      <c r="W89">
        <v>30.03978</v>
      </c>
      <c r="X89">
        <v>35.187805906313663</v>
      </c>
      <c r="Y89">
        <v>4172.1916666666666</v>
      </c>
      <c r="Z89">
        <v>161.07770728126289</v>
      </c>
      <c r="AA89">
        <v>4011.1139593854041</v>
      </c>
      <c r="AB89">
        <v>2.37561688E-4</v>
      </c>
      <c r="AC89">
        <v>25.11217617107943</v>
      </c>
      <c r="AD89">
        <v>298.26217617107937</v>
      </c>
      <c r="AE89">
        <v>298.24502999999999</v>
      </c>
      <c r="AF89">
        <v>310.33021000000002</v>
      </c>
      <c r="AG89">
        <v>308.05962</v>
      </c>
      <c r="AH89">
        <v>310.11268000000001</v>
      </c>
      <c r="AI89">
        <v>310.19186000000002</v>
      </c>
      <c r="AJ89">
        <v>1712.873</v>
      </c>
      <c r="AK89">
        <v>2.2018306999999999E-3</v>
      </c>
      <c r="AL89">
        <v>3.0973856999999999E-4</v>
      </c>
      <c r="AM89">
        <v>3.1280885E-4</v>
      </c>
      <c r="AN89">
        <v>241.5434454353107</v>
      </c>
      <c r="AO89">
        <v>30.76260861676127</v>
      </c>
      <c r="AP89">
        <v>3934.148336727766</v>
      </c>
      <c r="AQ89">
        <v>146</v>
      </c>
      <c r="AR89">
        <v>3788.148336727766</v>
      </c>
      <c r="AS89">
        <v>2.2968126280978018</v>
      </c>
      <c r="AT89">
        <v>8.3060780203736968</v>
      </c>
      <c r="AU89">
        <v>4.2277937123702118</v>
      </c>
      <c r="AV89">
        <v>1928.167503394433</v>
      </c>
      <c r="AW89">
        <v>156.18782905982911</v>
      </c>
      <c r="AZ89">
        <f t="shared" si="4"/>
        <v>29.883970455086175</v>
      </c>
      <c r="BA89">
        <f t="shared" si="5"/>
        <v>2.8561887342556561E-2</v>
      </c>
      <c r="BB89">
        <f t="shared" si="6"/>
        <v>23.201214616639788</v>
      </c>
      <c r="BC89">
        <f t="shared" si="7"/>
        <v>0.24579820568277788</v>
      </c>
      <c r="BD89">
        <v>0.84499999999999997</v>
      </c>
      <c r="BF89">
        <v>0.72</v>
      </c>
    </row>
    <row r="90" spans="1:58" x14ac:dyDescent="0.25">
      <c r="A90" t="s">
        <v>81</v>
      </c>
      <c r="B90">
        <v>6</v>
      </c>
      <c r="C90">
        <v>0.3</v>
      </c>
      <c r="D90">
        <v>1600</v>
      </c>
      <c r="E90">
        <v>3.3113207547169812</v>
      </c>
      <c r="F90">
        <v>2444.2399307059331</v>
      </c>
      <c r="G90">
        <v>15.21</v>
      </c>
      <c r="H90">
        <v>24.6</v>
      </c>
      <c r="I90">
        <v>106325</v>
      </c>
      <c r="J90">
        <v>1.8471999999999999E-5</v>
      </c>
      <c r="K90">
        <v>1007</v>
      </c>
      <c r="L90">
        <v>2.715137706666666E-3</v>
      </c>
      <c r="M90">
        <v>1.244</v>
      </c>
      <c r="N90">
        <v>7.1748408314324692</v>
      </c>
      <c r="O90">
        <v>135.3058657807309</v>
      </c>
      <c r="P90">
        <v>135</v>
      </c>
      <c r="Q90">
        <v>0.6</v>
      </c>
      <c r="R90">
        <v>36.29</v>
      </c>
      <c r="S90">
        <v>0.59899999999999998</v>
      </c>
      <c r="T90">
        <v>36.04</v>
      </c>
      <c r="U90">
        <v>21.774000000000001</v>
      </c>
      <c r="V90">
        <v>21.587959999999999</v>
      </c>
      <c r="W90">
        <v>43.361960000000003</v>
      </c>
      <c r="X90">
        <v>38.329201352657002</v>
      </c>
      <c r="Y90">
        <v>6022.4944444444436</v>
      </c>
      <c r="Z90">
        <v>228.03026842917859</v>
      </c>
      <c r="AA90">
        <v>5794.4641760152654</v>
      </c>
      <c r="AB90">
        <v>2.7151377066666658E-4</v>
      </c>
      <c r="AC90">
        <v>25.103961352657031</v>
      </c>
      <c r="AD90">
        <v>298.25396135265697</v>
      </c>
      <c r="AE90">
        <v>298.23061999999999</v>
      </c>
      <c r="AF90">
        <v>313.49113</v>
      </c>
      <c r="AG90">
        <v>310.87452999999999</v>
      </c>
      <c r="AH90">
        <v>313.71312</v>
      </c>
      <c r="AI90">
        <v>313.97926999999999</v>
      </c>
      <c r="AJ90">
        <v>2207.0016000000001</v>
      </c>
      <c r="AK90">
        <v>2.2018306999999999E-3</v>
      </c>
      <c r="AL90">
        <v>3.0973856999999999E-4</v>
      </c>
      <c r="AM90">
        <v>3.1280885E-4</v>
      </c>
      <c r="AN90">
        <v>260.57388594948668</v>
      </c>
      <c r="AO90">
        <v>33.186296795453501</v>
      </c>
      <c r="AP90">
        <v>5038.6950080515298</v>
      </c>
      <c r="AQ90">
        <v>167</v>
      </c>
      <c r="AR90">
        <v>4871.6950080515298</v>
      </c>
      <c r="AS90">
        <v>2.2830500023432378</v>
      </c>
      <c r="AT90">
        <v>8.2213298608970096</v>
      </c>
      <c r="AU90">
        <v>4.184656899196578</v>
      </c>
      <c r="AV90">
        <v>2479.6927590982291</v>
      </c>
      <c r="AW90">
        <v>178.51003988603989</v>
      </c>
      <c r="AZ90">
        <f t="shared" si="4"/>
        <v>33.207817841466678</v>
      </c>
      <c r="BA90">
        <f t="shared" si="5"/>
        <v>-6.4849194068937325E-4</v>
      </c>
      <c r="BB90">
        <f t="shared" si="6"/>
        <v>26.350275834458667</v>
      </c>
      <c r="BC90">
        <f t="shared" si="7"/>
        <v>0.20598926729093087</v>
      </c>
      <c r="BD90">
        <v>0.84499999999999997</v>
      </c>
      <c r="BF90">
        <v>0.72</v>
      </c>
    </row>
    <row r="91" spans="1:58" x14ac:dyDescent="0.25">
      <c r="A91" t="s">
        <v>81</v>
      </c>
      <c r="B91">
        <v>6</v>
      </c>
      <c r="C91">
        <v>0.3</v>
      </c>
      <c r="D91">
        <v>1800</v>
      </c>
      <c r="E91">
        <v>3.3113207547169812</v>
      </c>
      <c r="F91">
        <v>2752.033107165199</v>
      </c>
      <c r="G91">
        <v>15.21</v>
      </c>
      <c r="H91">
        <v>24.6</v>
      </c>
      <c r="I91">
        <v>107525</v>
      </c>
      <c r="J91">
        <v>1.8471999999999999E-5</v>
      </c>
      <c r="K91">
        <v>1007</v>
      </c>
      <c r="L91">
        <v>3.0545299199999992E-3</v>
      </c>
      <c r="M91">
        <v>1.258</v>
      </c>
      <c r="N91">
        <v>7.9818678406913666</v>
      </c>
      <c r="O91">
        <v>152.21909900332221</v>
      </c>
      <c r="P91">
        <v>152</v>
      </c>
      <c r="Q91">
        <v>0.6</v>
      </c>
      <c r="R91">
        <v>36.29</v>
      </c>
      <c r="S91">
        <v>0.59899999999999998</v>
      </c>
      <c r="T91">
        <v>36.04</v>
      </c>
      <c r="U91">
        <v>21.774000000000001</v>
      </c>
      <c r="V91">
        <v>21.587959999999999</v>
      </c>
      <c r="W91">
        <v>43.361960000000003</v>
      </c>
      <c r="X91">
        <v>37.226394098233371</v>
      </c>
      <c r="Y91">
        <v>6022.4944444444436</v>
      </c>
      <c r="Z91">
        <v>204.52613741564781</v>
      </c>
      <c r="AA91">
        <v>5817.9683070287956</v>
      </c>
      <c r="AB91">
        <v>3.0545299199999989E-4</v>
      </c>
      <c r="AC91">
        <v>25.09623082896524</v>
      </c>
      <c r="AD91">
        <v>298.24623082896522</v>
      </c>
      <c r="AE91">
        <v>298.22588999999999</v>
      </c>
      <c r="AF91">
        <v>312.04145999999997</v>
      </c>
      <c r="AG91">
        <v>309.72640999999999</v>
      </c>
      <c r="AH91">
        <v>312.78512999999998</v>
      </c>
      <c r="AI91">
        <v>312.48701999999997</v>
      </c>
      <c r="AJ91">
        <v>2757.3933000000002</v>
      </c>
      <c r="AK91">
        <v>2.2018306999999999E-3</v>
      </c>
      <c r="AL91">
        <v>3.0973856999999999E-4</v>
      </c>
      <c r="AM91">
        <v>3.1280885E-4</v>
      </c>
      <c r="AN91">
        <v>283.37007833773367</v>
      </c>
      <c r="AO91">
        <v>36.089585448673638</v>
      </c>
      <c r="AP91">
        <v>6219.932052028732</v>
      </c>
      <c r="AQ91">
        <v>188</v>
      </c>
      <c r="AR91">
        <v>6031.932052028732</v>
      </c>
      <c r="AS91">
        <v>2.2557290075480818</v>
      </c>
      <c r="AT91">
        <v>8.0891367658568605</v>
      </c>
      <c r="AU91">
        <v>4.1173706138211417</v>
      </c>
      <c r="AV91">
        <v>3070.253414482625</v>
      </c>
      <c r="AW91">
        <v>200.8237948717948</v>
      </c>
      <c r="AZ91">
        <f t="shared" si="4"/>
        <v>36.445222026601009</v>
      </c>
      <c r="BA91">
        <f t="shared" si="5"/>
        <v>-9.8542716272857819E-3</v>
      </c>
      <c r="BB91">
        <f t="shared" si="6"/>
        <v>29.480896156031523</v>
      </c>
      <c r="BC91">
        <f t="shared" si="7"/>
        <v>0.18311901371216768</v>
      </c>
      <c r="BD91">
        <v>0.84499999999999997</v>
      </c>
      <c r="BF91">
        <v>0.72</v>
      </c>
    </row>
    <row r="92" spans="1:58" x14ac:dyDescent="0.25">
      <c r="A92" t="s">
        <v>81</v>
      </c>
      <c r="B92">
        <v>6</v>
      </c>
      <c r="C92">
        <v>0.3</v>
      </c>
      <c r="D92">
        <v>2000</v>
      </c>
      <c r="E92">
        <v>3.3113207547169812</v>
      </c>
      <c r="F92">
        <v>3059.8262836244648</v>
      </c>
      <c r="G92">
        <v>15.21</v>
      </c>
      <c r="H92">
        <v>24.6</v>
      </c>
      <c r="I92">
        <v>108825</v>
      </c>
      <c r="J92">
        <v>1.8471999999999999E-5</v>
      </c>
      <c r="K92">
        <v>1007</v>
      </c>
      <c r="L92">
        <v>3.3939221333333328E-3</v>
      </c>
      <c r="M92">
        <v>1.2729999999999999</v>
      </c>
      <c r="N92">
        <v>8.7642399786940235</v>
      </c>
      <c r="O92">
        <v>169.13233222591359</v>
      </c>
      <c r="P92">
        <v>169</v>
      </c>
      <c r="Q92">
        <v>0.6</v>
      </c>
      <c r="R92">
        <v>36.29</v>
      </c>
      <c r="S92">
        <v>0.59899999999999998</v>
      </c>
      <c r="T92">
        <v>36.04</v>
      </c>
      <c r="U92">
        <v>21.774000000000001</v>
      </c>
      <c r="V92">
        <v>21.587959999999999</v>
      </c>
      <c r="W92">
        <v>43.361960000000003</v>
      </c>
      <c r="X92">
        <v>36.29723757886434</v>
      </c>
      <c r="Y92">
        <v>6022.4944444444436</v>
      </c>
      <c r="Z92">
        <v>184.72302451833571</v>
      </c>
      <c r="AA92">
        <v>5837.7714199261081</v>
      </c>
      <c r="AB92">
        <v>3.393922133333333E-4</v>
      </c>
      <c r="AC92">
        <v>25.08973580441641</v>
      </c>
      <c r="AD92">
        <v>298.2397358044164</v>
      </c>
      <c r="AE92">
        <v>298.2106</v>
      </c>
      <c r="AF92">
        <v>310.59886</v>
      </c>
      <c r="AG92">
        <v>308.77328</v>
      </c>
      <c r="AH92">
        <v>311.78411999999997</v>
      </c>
      <c r="AI92">
        <v>311.72491000000002</v>
      </c>
      <c r="AJ92">
        <v>3445.5016000000001</v>
      </c>
      <c r="AK92">
        <v>2.2018306999999999E-3</v>
      </c>
      <c r="AL92">
        <v>3.0973856999999999E-4</v>
      </c>
      <c r="AM92">
        <v>3.1280885E-4</v>
      </c>
      <c r="AN92">
        <v>296.11841072462522</v>
      </c>
      <c r="AO92">
        <v>37.713193818702273</v>
      </c>
      <c r="AP92">
        <v>7507.2157597266041</v>
      </c>
      <c r="AQ92">
        <v>209</v>
      </c>
      <c r="AR92">
        <v>7298.2157597266041</v>
      </c>
      <c r="AS92">
        <v>2.1788455299880298</v>
      </c>
      <c r="AT92">
        <v>7.9762414869158311</v>
      </c>
      <c r="AU92">
        <v>4.0599069168401583</v>
      </c>
      <c r="AV92">
        <v>3714.791821700841</v>
      </c>
      <c r="AW92">
        <v>223.13754985754991</v>
      </c>
      <c r="AZ92">
        <f t="shared" si="4"/>
        <v>39.607722116138426</v>
      </c>
      <c r="BA92">
        <f t="shared" si="5"/>
        <v>-5.0235159253381546E-2</v>
      </c>
      <c r="BB92">
        <f t="shared" si="6"/>
        <v>32.595224422452034</v>
      </c>
      <c r="BC92">
        <f t="shared" si="7"/>
        <v>0.13570766296945649</v>
      </c>
      <c r="BD92">
        <v>0.84499999999999997</v>
      </c>
      <c r="BF92">
        <v>0.72</v>
      </c>
    </row>
    <row r="93" spans="1:58" x14ac:dyDescent="0.25">
      <c r="A93" t="s">
        <v>81</v>
      </c>
      <c r="B93">
        <v>6</v>
      </c>
      <c r="C93">
        <v>0.3</v>
      </c>
      <c r="D93">
        <v>2500</v>
      </c>
      <c r="E93">
        <v>3.3113207547169812</v>
      </c>
      <c r="F93">
        <v>3820.2564842885331</v>
      </c>
      <c r="G93">
        <v>15.21</v>
      </c>
      <c r="H93">
        <v>24.6</v>
      </c>
      <c r="I93">
        <v>112425</v>
      </c>
      <c r="J93">
        <v>1.8471999999999999E-5</v>
      </c>
      <c r="K93">
        <v>1007</v>
      </c>
      <c r="L93">
        <v>4.2424026666666656E-3</v>
      </c>
      <c r="M93">
        <v>1.3160000000000001</v>
      </c>
      <c r="N93">
        <v>10.59733804414655</v>
      </c>
      <c r="O93">
        <v>211.41541528239199</v>
      </c>
      <c r="P93">
        <v>211</v>
      </c>
      <c r="Q93">
        <v>0.6</v>
      </c>
      <c r="R93">
        <v>36.29</v>
      </c>
      <c r="S93">
        <v>0.59899999999999998</v>
      </c>
      <c r="T93">
        <v>36.04</v>
      </c>
      <c r="U93">
        <v>21.774000000000001</v>
      </c>
      <c r="V93">
        <v>21.587959999999999</v>
      </c>
      <c r="W93">
        <v>43.361960000000003</v>
      </c>
      <c r="X93">
        <v>34.867434961742212</v>
      </c>
      <c r="Y93">
        <v>6022.4944444444436</v>
      </c>
      <c r="Z93">
        <v>154.24964133961171</v>
      </c>
      <c r="AA93">
        <v>5868.2448031048316</v>
      </c>
      <c r="AB93">
        <v>4.2424026666666671E-4</v>
      </c>
      <c r="AC93">
        <v>25.07310182460272</v>
      </c>
      <c r="AD93">
        <v>298.22310182460268</v>
      </c>
      <c r="AE93">
        <v>298.17529000000002</v>
      </c>
      <c r="AF93">
        <v>308.09147000000002</v>
      </c>
      <c r="AG93">
        <v>306.84368999999998</v>
      </c>
      <c r="AH93">
        <v>309.71989000000002</v>
      </c>
      <c r="AI93">
        <v>309.71890000000002</v>
      </c>
      <c r="AJ93">
        <v>4914.1922000000004</v>
      </c>
      <c r="AK93">
        <v>2.2018306999999999E-3</v>
      </c>
      <c r="AL93">
        <v>3.0973856999999999E-4</v>
      </c>
      <c r="AM93">
        <v>3.1280885E-4</v>
      </c>
      <c r="AN93">
        <v>344.35868212747732</v>
      </c>
      <c r="AO93">
        <v>43.857001969065507</v>
      </c>
      <c r="AP93">
        <v>11030.60721993329</v>
      </c>
      <c r="AQ93">
        <v>261</v>
      </c>
      <c r="AR93">
        <v>10769.60721993329</v>
      </c>
      <c r="AS93">
        <v>2.244643019850403</v>
      </c>
      <c r="AT93">
        <v>7.6642920020030942</v>
      </c>
      <c r="AU93">
        <v>3.9011246290195749</v>
      </c>
      <c r="AV93">
        <v>5481.7300749460464</v>
      </c>
      <c r="AW93">
        <v>278.92193732193732</v>
      </c>
      <c r="AZ93">
        <f t="shared" si="4"/>
        <v>47.241033985386238</v>
      </c>
      <c r="BA93">
        <f t="shared" si="5"/>
        <v>-7.7160587007467002E-2</v>
      </c>
      <c r="BB93">
        <f t="shared" si="6"/>
        <v>40.320209997977841</v>
      </c>
      <c r="BC93">
        <f t="shared" si="7"/>
        <v>8.0643724201265268E-2</v>
      </c>
      <c r="BD93">
        <v>0.84499999999999997</v>
      </c>
      <c r="BF93">
        <v>0.72</v>
      </c>
    </row>
    <row r="94" spans="1:58" x14ac:dyDescent="0.25">
      <c r="A94" t="s">
        <v>81</v>
      </c>
      <c r="B94">
        <v>6</v>
      </c>
      <c r="C94">
        <v>0.3</v>
      </c>
      <c r="D94">
        <v>3000</v>
      </c>
      <c r="E94">
        <v>3.3113207547169812</v>
      </c>
      <c r="F94">
        <v>4599.7882222703538</v>
      </c>
      <c r="G94">
        <v>15.21</v>
      </c>
      <c r="H94">
        <v>24.5</v>
      </c>
      <c r="I94">
        <v>116525</v>
      </c>
      <c r="J94">
        <v>1.8468E-5</v>
      </c>
      <c r="K94">
        <v>1007</v>
      </c>
      <c r="L94">
        <v>5.0897807999999998E-3</v>
      </c>
      <c r="M94">
        <v>1.3640000000000001</v>
      </c>
      <c r="N94">
        <v>12.26663658921723</v>
      </c>
      <c r="O94">
        <v>253.64356146179401</v>
      </c>
      <c r="P94">
        <v>254</v>
      </c>
      <c r="Q94">
        <v>0.6</v>
      </c>
      <c r="R94">
        <v>36.29</v>
      </c>
      <c r="S94">
        <v>0.59899999999999998</v>
      </c>
      <c r="T94">
        <v>36.04</v>
      </c>
      <c r="U94">
        <v>21.774000000000001</v>
      </c>
      <c r="V94">
        <v>21.587959999999999</v>
      </c>
      <c r="W94">
        <v>43.361960000000003</v>
      </c>
      <c r="X94">
        <v>33.599896775462057</v>
      </c>
      <c r="Y94">
        <v>6022.4944444444436</v>
      </c>
      <c r="Z94">
        <v>127.2345999754227</v>
      </c>
      <c r="AA94">
        <v>5895.2598444690211</v>
      </c>
      <c r="AB94">
        <v>5.0897808E-4</v>
      </c>
      <c r="AC94">
        <v>25.052719229256819</v>
      </c>
      <c r="AD94">
        <v>298.20271922925679</v>
      </c>
      <c r="AE94">
        <v>298.13812000000001</v>
      </c>
      <c r="AF94">
        <v>306.41602</v>
      </c>
      <c r="AG94">
        <v>305.51029999999997</v>
      </c>
      <c r="AH94">
        <v>308.26292999999998</v>
      </c>
      <c r="AI94">
        <v>308.39355999999998</v>
      </c>
      <c r="AJ94">
        <v>7052.8352999999997</v>
      </c>
      <c r="AK94">
        <v>2.2018306999999999E-3</v>
      </c>
      <c r="AL94">
        <v>3.0973856999999999E-4</v>
      </c>
      <c r="AM94">
        <v>3.1280885E-4</v>
      </c>
      <c r="AN94">
        <v>389.89924835977871</v>
      </c>
      <c r="AO94">
        <v>49.656979743934073</v>
      </c>
      <c r="AP94">
        <v>15318.042338445401</v>
      </c>
      <c r="AQ94">
        <v>314</v>
      </c>
      <c r="AR94">
        <v>15004.042338445401</v>
      </c>
      <c r="AS94">
        <v>2.1718984900222189</v>
      </c>
      <c r="AT94">
        <v>7.560306326411995</v>
      </c>
      <c r="AU94">
        <v>3.8481959201437062</v>
      </c>
      <c r="AV94">
        <v>7637.0575502687107</v>
      </c>
      <c r="AW94">
        <v>334.63384615384621</v>
      </c>
      <c r="AZ94">
        <f t="shared" si="4"/>
        <v>54.55778660196264</v>
      </c>
      <c r="BA94">
        <f t="shared" si="5"/>
        <v>-9.8693212581605558E-2</v>
      </c>
      <c r="BB94">
        <f t="shared" si="6"/>
        <v>47.972637710706657</v>
      </c>
      <c r="BC94">
        <f t="shared" si="7"/>
        <v>3.3919542467404494E-2</v>
      </c>
      <c r="BD94">
        <v>0.84499999999999997</v>
      </c>
      <c r="BF94">
        <v>0.72</v>
      </c>
    </row>
    <row r="95" spans="1:58" x14ac:dyDescent="0.25">
      <c r="A95" t="s">
        <v>81</v>
      </c>
      <c r="B95">
        <v>6</v>
      </c>
      <c r="C95">
        <v>0.3</v>
      </c>
      <c r="D95">
        <v>3500</v>
      </c>
      <c r="E95">
        <v>3.3113207547169812</v>
      </c>
      <c r="F95">
        <v>5360.0928883835386</v>
      </c>
      <c r="G95">
        <v>15.21</v>
      </c>
      <c r="H95">
        <v>24.5</v>
      </c>
      <c r="I95">
        <v>120925</v>
      </c>
      <c r="J95">
        <v>1.8468999999999999E-5</v>
      </c>
      <c r="K95">
        <v>1007</v>
      </c>
      <c r="L95">
        <v>5.9383991333333327E-3</v>
      </c>
      <c r="M95">
        <v>1.4159999999999999</v>
      </c>
      <c r="N95">
        <v>13.786274486133239</v>
      </c>
      <c r="O95">
        <v>295.93351162790702</v>
      </c>
      <c r="P95">
        <v>296</v>
      </c>
      <c r="Q95">
        <v>0.6</v>
      </c>
      <c r="R95">
        <v>36.29</v>
      </c>
      <c r="S95">
        <v>0.59899999999999998</v>
      </c>
      <c r="T95">
        <v>36.04</v>
      </c>
      <c r="U95">
        <v>21.774000000000001</v>
      </c>
      <c r="V95">
        <v>21.587959999999999</v>
      </c>
      <c r="W95">
        <v>43.361960000000003</v>
      </c>
      <c r="X95">
        <v>32.77620290143085</v>
      </c>
      <c r="Y95">
        <v>6022.4944444444436</v>
      </c>
      <c r="Z95">
        <v>109.67921243819571</v>
      </c>
      <c r="AA95">
        <v>5912.8152320062482</v>
      </c>
      <c r="AB95">
        <v>5.9383991333333331E-4</v>
      </c>
      <c r="AC95">
        <v>24.99775934022259</v>
      </c>
      <c r="AD95">
        <v>298.14775934022259</v>
      </c>
      <c r="AE95">
        <v>298.06936999999999</v>
      </c>
      <c r="AF95">
        <v>305.13537000000002</v>
      </c>
      <c r="AG95">
        <v>304.41442000000001</v>
      </c>
      <c r="AH95">
        <v>307.11452000000003</v>
      </c>
      <c r="AI95">
        <v>307.22009000000003</v>
      </c>
      <c r="AJ95">
        <v>9463.8565999999992</v>
      </c>
      <c r="AK95">
        <v>2.2018306999999999E-3</v>
      </c>
      <c r="AL95">
        <v>3.0973856999999999E-4</v>
      </c>
      <c r="AM95">
        <v>3.1280885E-4</v>
      </c>
      <c r="AN95">
        <v>440.87759914673001</v>
      </c>
      <c r="AO95">
        <v>56.149505551706177</v>
      </c>
      <c r="AP95">
        <v>19690.842938526759</v>
      </c>
      <c r="AQ95">
        <v>366</v>
      </c>
      <c r="AR95">
        <v>19324.842938526759</v>
      </c>
      <c r="AS95">
        <v>2.080636232223422</v>
      </c>
      <c r="AT95">
        <v>7.2988293857234314</v>
      </c>
      <c r="AU95">
        <v>3.7151041573332262</v>
      </c>
      <c r="AV95">
        <v>9836.3450557101223</v>
      </c>
      <c r="AW95">
        <v>390.42729344729338</v>
      </c>
      <c r="AZ95">
        <f t="shared" si="4"/>
        <v>61.621365411144758</v>
      </c>
      <c r="BA95">
        <f t="shared" si="5"/>
        <v>-9.7451612541801111E-2</v>
      </c>
      <c r="BB95">
        <f t="shared" si="6"/>
        <v>55.565248543260068</v>
      </c>
      <c r="BC95">
        <f t="shared" si="7"/>
        <v>1.0405381181996095E-2</v>
      </c>
      <c r="BD95">
        <v>0.84499999999999997</v>
      </c>
      <c r="BF95">
        <v>0.72</v>
      </c>
    </row>
    <row r="96" spans="1:58" x14ac:dyDescent="0.25">
      <c r="A96" t="s">
        <v>81</v>
      </c>
      <c r="B96">
        <v>6</v>
      </c>
      <c r="C96">
        <v>0.3</v>
      </c>
      <c r="D96">
        <v>4000</v>
      </c>
      <c r="E96">
        <v>3.3113207547169812</v>
      </c>
      <c r="F96">
        <v>6120.3152258918362</v>
      </c>
      <c r="G96">
        <v>15.21</v>
      </c>
      <c r="H96">
        <v>24.5</v>
      </c>
      <c r="I96">
        <v>126225</v>
      </c>
      <c r="J96">
        <v>1.8470000000000001E-5</v>
      </c>
      <c r="K96">
        <v>1007</v>
      </c>
      <c r="L96">
        <v>6.7871093333333318E-3</v>
      </c>
      <c r="M96">
        <v>1.478</v>
      </c>
      <c r="N96">
        <v>15.0956285733011</v>
      </c>
      <c r="O96">
        <v>338.22803986710949</v>
      </c>
      <c r="P96">
        <v>338</v>
      </c>
      <c r="Q96">
        <v>0.7</v>
      </c>
      <c r="R96">
        <v>42.27</v>
      </c>
      <c r="S96">
        <v>0.7</v>
      </c>
      <c r="T96">
        <v>42.09</v>
      </c>
      <c r="U96">
        <v>29.588999999999999</v>
      </c>
      <c r="V96">
        <v>29.463000000000001</v>
      </c>
      <c r="W96">
        <v>59.052</v>
      </c>
      <c r="X96">
        <v>34.696087000200933</v>
      </c>
      <c r="Y96">
        <v>8201.6666666666679</v>
      </c>
      <c r="Z96">
        <v>150.59770223528241</v>
      </c>
      <c r="AA96">
        <v>8051.0689644313852</v>
      </c>
      <c r="AB96">
        <v>6.7871093333333316E-4</v>
      </c>
      <c r="AC96">
        <v>24.96289129997988</v>
      </c>
      <c r="AD96">
        <v>298.11289129997988</v>
      </c>
      <c r="AE96">
        <v>298.00963999999999</v>
      </c>
      <c r="AF96">
        <v>306.46679999999998</v>
      </c>
      <c r="AG96">
        <v>305.58015999999998</v>
      </c>
      <c r="AH96">
        <v>309.33240000000001</v>
      </c>
      <c r="AI96">
        <v>309.22392000000002</v>
      </c>
      <c r="AJ96">
        <v>12170.976000000001</v>
      </c>
      <c r="AK96">
        <v>2.2018306999999999E-3</v>
      </c>
      <c r="AL96">
        <v>3.0973856999999999E-4</v>
      </c>
      <c r="AM96">
        <v>3.1280885E-4</v>
      </c>
      <c r="AN96">
        <v>493.72379752043167</v>
      </c>
      <c r="AO96">
        <v>62.879917608734218</v>
      </c>
      <c r="AP96">
        <v>24880.19523139776</v>
      </c>
      <c r="AQ96">
        <v>418</v>
      </c>
      <c r="AR96">
        <v>24462.19523139776</v>
      </c>
      <c r="AS96">
        <v>2.0442235061015448</v>
      </c>
      <c r="AT96">
        <v>7.2411145694952177</v>
      </c>
      <c r="AU96">
        <v>3.6857273158730659</v>
      </c>
      <c r="AV96">
        <v>12451.25737278146</v>
      </c>
      <c r="AW96">
        <v>446.22678062678062</v>
      </c>
      <c r="AZ96">
        <f t="shared" si="4"/>
        <v>68.47520749597966</v>
      </c>
      <c r="BA96">
        <f t="shared" si="5"/>
        <v>-8.8983734394528516E-2</v>
      </c>
      <c r="BB96">
        <f t="shared" si="6"/>
        <v>63.107024788049948</v>
      </c>
      <c r="BC96">
        <f t="shared" si="7"/>
        <v>-3.6117601287089557E-3</v>
      </c>
      <c r="BD96">
        <v>0.84499999999999997</v>
      </c>
      <c r="BF96">
        <v>0.72</v>
      </c>
    </row>
    <row r="97" spans="1:58" x14ac:dyDescent="0.25">
      <c r="A97" t="s">
        <v>81</v>
      </c>
      <c r="B97">
        <v>6</v>
      </c>
      <c r="C97">
        <v>0.3</v>
      </c>
      <c r="D97">
        <v>4500</v>
      </c>
      <c r="E97">
        <v>3.3113207547169812</v>
      </c>
      <c r="F97">
        <v>6882.3182545699601</v>
      </c>
      <c r="G97">
        <v>15.21</v>
      </c>
      <c r="H97">
        <v>24.4</v>
      </c>
      <c r="I97">
        <v>131725</v>
      </c>
      <c r="J97">
        <v>1.8465999999999999E-5</v>
      </c>
      <c r="K97">
        <v>1007</v>
      </c>
      <c r="L97">
        <v>7.6338443999999983E-3</v>
      </c>
      <c r="M97">
        <v>1.542</v>
      </c>
      <c r="N97">
        <v>16.274202667198772</v>
      </c>
      <c r="O97">
        <v>380.42413953488369</v>
      </c>
      <c r="P97">
        <v>380</v>
      </c>
      <c r="Q97">
        <v>0.7</v>
      </c>
      <c r="R97">
        <v>42.27</v>
      </c>
      <c r="S97">
        <v>0.7</v>
      </c>
      <c r="T97">
        <v>42.09</v>
      </c>
      <c r="U97">
        <v>29.588999999999999</v>
      </c>
      <c r="V97">
        <v>29.463000000000001</v>
      </c>
      <c r="W97">
        <v>59.052</v>
      </c>
      <c r="X97">
        <v>33.893490345937259</v>
      </c>
      <c r="Y97">
        <v>8201.6666666666679</v>
      </c>
      <c r="Z97">
        <v>133.49195974296069</v>
      </c>
      <c r="AA97">
        <v>8068.1747069237072</v>
      </c>
      <c r="AB97">
        <v>7.6338443999999985E-4</v>
      </c>
      <c r="AC97">
        <v>24.919354384553468</v>
      </c>
      <c r="AD97">
        <v>298.06935438455338</v>
      </c>
      <c r="AE97">
        <v>297.95044000000001</v>
      </c>
      <c r="AF97">
        <v>305.69743</v>
      </c>
      <c r="AG97">
        <v>304.67718000000002</v>
      </c>
      <c r="AH97">
        <v>308.32855999999998</v>
      </c>
      <c r="AI97">
        <v>308.39546999999999</v>
      </c>
      <c r="AJ97">
        <v>15480.332</v>
      </c>
      <c r="AK97">
        <v>2.2018306999999999E-3</v>
      </c>
      <c r="AL97">
        <v>3.0973856999999999E-4</v>
      </c>
      <c r="AM97">
        <v>3.1280885E-4</v>
      </c>
      <c r="AN97">
        <v>561.11632351535502</v>
      </c>
      <c r="AO97">
        <v>71.462927994880133</v>
      </c>
      <c r="AP97">
        <v>30397.869066773928</v>
      </c>
      <c r="AQ97">
        <v>470</v>
      </c>
      <c r="AR97">
        <v>29927.869066773928</v>
      </c>
      <c r="AS97">
        <v>1.9636445178807489</v>
      </c>
      <c r="AT97">
        <v>7.1706102672063308</v>
      </c>
      <c r="AU97">
        <v>3.6498406260080229</v>
      </c>
      <c r="AV97">
        <v>15233.285354987929</v>
      </c>
      <c r="AW97">
        <v>501.89641025641021</v>
      </c>
      <c r="AZ97">
        <f t="shared" si="4"/>
        <v>75.150801911238474</v>
      </c>
      <c r="BA97">
        <f t="shared" si="5"/>
        <v>-5.1605413041885921E-2</v>
      </c>
      <c r="BB97">
        <f t="shared" si="6"/>
        <v>70.604636406108042</v>
      </c>
      <c r="BC97">
        <f t="shared" si="7"/>
        <v>1.2010305382863424E-2</v>
      </c>
      <c r="BD97">
        <v>0.84499999999999997</v>
      </c>
      <c r="BF97">
        <v>0.72</v>
      </c>
    </row>
    <row r="98" spans="1:58" x14ac:dyDescent="0.25">
      <c r="A98" t="s">
        <v>81</v>
      </c>
      <c r="B98">
        <v>6</v>
      </c>
      <c r="C98">
        <v>0.3</v>
      </c>
      <c r="D98">
        <v>5000</v>
      </c>
      <c r="E98">
        <v>3.3113207547169812</v>
      </c>
      <c r="F98">
        <v>7659.0330788804058</v>
      </c>
      <c r="G98">
        <v>15.21</v>
      </c>
      <c r="H98">
        <v>24.5</v>
      </c>
      <c r="I98">
        <v>137525</v>
      </c>
      <c r="J98">
        <v>1.8471E-5</v>
      </c>
      <c r="K98">
        <v>1007</v>
      </c>
      <c r="L98">
        <v>8.4843459999999985E-3</v>
      </c>
      <c r="M98">
        <v>1.61</v>
      </c>
      <c r="N98">
        <v>17.323406062536499</v>
      </c>
      <c r="O98">
        <v>422.80794019933552</v>
      </c>
      <c r="P98">
        <v>423</v>
      </c>
      <c r="Q98">
        <v>0.7</v>
      </c>
      <c r="R98">
        <v>42.27</v>
      </c>
      <c r="S98">
        <v>0.7</v>
      </c>
      <c r="T98">
        <v>42.09</v>
      </c>
      <c r="U98">
        <v>29.588999999999999</v>
      </c>
      <c r="V98">
        <v>29.463000000000001</v>
      </c>
      <c r="W98">
        <v>59.052</v>
      </c>
      <c r="X98">
        <v>33.269017515923572</v>
      </c>
      <c r="Y98">
        <v>8201.6666666666679</v>
      </c>
      <c r="Z98">
        <v>120.18257031687899</v>
      </c>
      <c r="AA98">
        <v>8081.4840963497891</v>
      </c>
      <c r="AB98">
        <v>8.4843459999999989E-4</v>
      </c>
      <c r="AC98">
        <v>24.8850069665605</v>
      </c>
      <c r="AD98">
        <v>298.0350069665605</v>
      </c>
      <c r="AE98">
        <v>297.90003999999999</v>
      </c>
      <c r="AF98">
        <v>304.6499</v>
      </c>
      <c r="AG98">
        <v>303.92881999999997</v>
      </c>
      <c r="AH98">
        <v>307.51076999999998</v>
      </c>
      <c r="AI98">
        <v>307.49142000000001</v>
      </c>
      <c r="AJ98">
        <v>18644.132000000001</v>
      </c>
      <c r="AK98">
        <v>2.2018306999999999E-3</v>
      </c>
      <c r="AL98">
        <v>3.0973856999999999E-4</v>
      </c>
      <c r="AM98">
        <v>3.1280885E-4</v>
      </c>
      <c r="AN98">
        <v>598.66807000643223</v>
      </c>
      <c r="AO98">
        <v>76.245461746102208</v>
      </c>
      <c r="AP98">
        <v>36254.324907112517</v>
      </c>
      <c r="AQ98">
        <v>522</v>
      </c>
      <c r="AR98">
        <v>35732.324907112517</v>
      </c>
      <c r="AS98">
        <v>1.944543457808201</v>
      </c>
      <c r="AT98">
        <v>7.103315148245037</v>
      </c>
      <c r="AU98">
        <v>3.6155874104567238</v>
      </c>
      <c r="AV98">
        <v>18187.753377720281</v>
      </c>
      <c r="AW98">
        <v>557.8136752136752</v>
      </c>
      <c r="AZ98">
        <f t="shared" si="4"/>
        <v>81.671942531527037</v>
      </c>
      <c r="BA98">
        <f t="shared" si="5"/>
        <v>-7.1171197093605892E-2</v>
      </c>
      <c r="BB98">
        <f t="shared" si="6"/>
        <v>78.063229718065344</v>
      </c>
      <c r="BC98">
        <f t="shared" si="7"/>
        <v>-2.384099893074702E-2</v>
      </c>
      <c r="BD98">
        <v>0.84499999999999997</v>
      </c>
      <c r="BF98">
        <v>0.72</v>
      </c>
    </row>
    <row r="99" spans="1:58" x14ac:dyDescent="0.25">
      <c r="A99" t="s">
        <v>81</v>
      </c>
      <c r="B99">
        <v>6</v>
      </c>
      <c r="C99">
        <v>0.3</v>
      </c>
      <c r="D99">
        <v>6000</v>
      </c>
      <c r="E99">
        <v>3.3113207547169812</v>
      </c>
      <c r="F99">
        <v>9181.4670420908224</v>
      </c>
      <c r="G99">
        <v>15.21</v>
      </c>
      <c r="H99">
        <v>24.4</v>
      </c>
      <c r="I99">
        <v>150025</v>
      </c>
      <c r="J99">
        <v>1.8468E-5</v>
      </c>
      <c r="K99">
        <v>1007</v>
      </c>
      <c r="L99">
        <v>1.01795616E-2</v>
      </c>
      <c r="M99">
        <v>1.7569999999999999</v>
      </c>
      <c r="N99">
        <v>19.045751061687319</v>
      </c>
      <c r="O99">
        <v>507.28712292358802</v>
      </c>
      <c r="P99">
        <v>507</v>
      </c>
      <c r="Q99">
        <v>0.80700000000000005</v>
      </c>
      <c r="R99">
        <v>48.76</v>
      </c>
      <c r="S99">
        <v>0.80200000000000005</v>
      </c>
      <c r="T99">
        <v>48.26</v>
      </c>
      <c r="U99">
        <v>39.349319999999999</v>
      </c>
      <c r="V99">
        <v>38.704520000000002</v>
      </c>
      <c r="W99">
        <v>78.053840000000008</v>
      </c>
      <c r="X99">
        <v>34.749769339242533</v>
      </c>
      <c r="Y99">
        <v>10840.81111111111</v>
      </c>
      <c r="Z99">
        <v>151.74183392727599</v>
      </c>
      <c r="AA99">
        <v>10689.06927718384</v>
      </c>
      <c r="AB99">
        <v>1.01795616E-3</v>
      </c>
      <c r="AC99">
        <v>24.850434125705078</v>
      </c>
      <c r="AD99">
        <v>298.00043412570511</v>
      </c>
      <c r="AE99">
        <v>297.81792000000002</v>
      </c>
      <c r="AF99">
        <v>305.27463999999998</v>
      </c>
      <c r="AG99">
        <v>304.44105999999999</v>
      </c>
      <c r="AH99">
        <v>309.06808000000001</v>
      </c>
      <c r="AI99">
        <v>308.90929</v>
      </c>
      <c r="AJ99">
        <v>24913.276999999998</v>
      </c>
      <c r="AK99">
        <v>2.2018306999999999E-3</v>
      </c>
      <c r="AL99">
        <v>3.0973856999999999E-4</v>
      </c>
      <c r="AM99">
        <v>3.1280885E-4</v>
      </c>
      <c r="AN99">
        <v>699.21454723451768</v>
      </c>
      <c r="AO99">
        <v>89.050909317603669</v>
      </c>
      <c r="AP99">
        <v>48685.788678485093</v>
      </c>
      <c r="AQ99">
        <v>627</v>
      </c>
      <c r="AR99">
        <v>48058.788678485093</v>
      </c>
      <c r="AS99">
        <v>1.9542105471907649</v>
      </c>
      <c r="AT99">
        <v>6.9848625353742602</v>
      </c>
      <c r="AU99">
        <v>3.5552950305054991</v>
      </c>
      <c r="AV99">
        <v>24461.923437348909</v>
      </c>
      <c r="AW99">
        <v>669.2676923076923</v>
      </c>
      <c r="AZ99">
        <f t="shared" si="4"/>
        <v>94.32139892156458</v>
      </c>
      <c r="BA99">
        <f t="shared" si="5"/>
        <v>-5.9185129543860092E-2</v>
      </c>
      <c r="BB99">
        <f t="shared" si="6"/>
        <v>92.878956681531051</v>
      </c>
      <c r="BC99">
        <f t="shared" si="7"/>
        <v>-4.2987178831318799E-2</v>
      </c>
      <c r="BD99">
        <v>0.84499999999999997</v>
      </c>
      <c r="BF99">
        <v>0.72</v>
      </c>
    </row>
    <row r="100" spans="1:58" x14ac:dyDescent="0.25">
      <c r="A100" t="s">
        <v>81</v>
      </c>
      <c r="B100">
        <v>6</v>
      </c>
      <c r="C100">
        <v>0.3</v>
      </c>
      <c r="D100">
        <v>7000</v>
      </c>
      <c r="E100">
        <v>3.3113207547169812</v>
      </c>
      <c r="F100">
        <v>10719.605366059081</v>
      </c>
      <c r="G100">
        <v>15.21</v>
      </c>
      <c r="H100">
        <v>24.4</v>
      </c>
      <c r="I100">
        <v>162825</v>
      </c>
      <c r="J100">
        <v>1.8470000000000001E-5</v>
      </c>
      <c r="K100">
        <v>1007</v>
      </c>
      <c r="L100">
        <v>1.187744133333333E-2</v>
      </c>
      <c r="M100">
        <v>1.907</v>
      </c>
      <c r="N100">
        <v>20.474485214915209</v>
      </c>
      <c r="O100">
        <v>591.89906976744192</v>
      </c>
      <c r="P100">
        <v>592</v>
      </c>
      <c r="Q100">
        <v>0.80700000000000005</v>
      </c>
      <c r="R100">
        <v>48.76</v>
      </c>
      <c r="S100">
        <v>0.80200000000000005</v>
      </c>
      <c r="T100">
        <v>48.26</v>
      </c>
      <c r="U100">
        <v>39.349319999999999</v>
      </c>
      <c r="V100">
        <v>38.704520000000002</v>
      </c>
      <c r="W100">
        <v>78.053840000000008</v>
      </c>
      <c r="X100">
        <v>33.842935177865613</v>
      </c>
      <c r="Y100">
        <v>10840.81111111111</v>
      </c>
      <c r="Z100">
        <v>132.4144774458496</v>
      </c>
      <c r="AA100">
        <v>10708.396633665259</v>
      </c>
      <c r="AB100">
        <v>1.187744133333333E-3</v>
      </c>
      <c r="AC100">
        <v>24.808547430830071</v>
      </c>
      <c r="AD100">
        <v>297.95854743082998</v>
      </c>
      <c r="AE100">
        <v>297.74243999999999</v>
      </c>
      <c r="AF100">
        <v>303.91284000000002</v>
      </c>
      <c r="AG100">
        <v>303.23635000000002</v>
      </c>
      <c r="AH100">
        <v>307.52062000000001</v>
      </c>
      <c r="AI100">
        <v>307.90201000000002</v>
      </c>
      <c r="AJ100">
        <v>33412.383999999998</v>
      </c>
      <c r="AK100">
        <v>2.2018306999999999E-3</v>
      </c>
      <c r="AL100">
        <v>3.0973856999999999E-4</v>
      </c>
      <c r="AM100">
        <v>3.1280885E-4</v>
      </c>
      <c r="AN100">
        <v>804.00316096463814</v>
      </c>
      <c r="AO100">
        <v>102.3966289907794</v>
      </c>
      <c r="AP100">
        <v>61501.991106719368</v>
      </c>
      <c r="AQ100">
        <v>732</v>
      </c>
      <c r="AR100">
        <v>60769.991106719368</v>
      </c>
      <c r="AS100">
        <v>1.8406944894060651</v>
      </c>
      <c r="AT100">
        <v>6.8176292689372113</v>
      </c>
      <c r="AU100">
        <v>3.4701732978890401</v>
      </c>
      <c r="AV100">
        <v>30931.92547332016</v>
      </c>
      <c r="AW100">
        <v>780.89686609686623</v>
      </c>
      <c r="AZ100">
        <f t="shared" si="4"/>
        <v>106.53315962834529</v>
      </c>
      <c r="BA100">
        <f t="shared" si="5"/>
        <v>-4.0397136881707006E-2</v>
      </c>
      <c r="BB100">
        <f t="shared" si="6"/>
        <v>107.57887326458469</v>
      </c>
      <c r="BC100">
        <f t="shared" si="7"/>
        <v>-5.0609520302391318E-2</v>
      </c>
      <c r="BD100">
        <v>0.84499999999999997</v>
      </c>
      <c r="BF100">
        <v>0.72</v>
      </c>
    </row>
    <row r="101" spans="1:58" x14ac:dyDescent="0.25">
      <c r="A101" t="s">
        <v>81</v>
      </c>
      <c r="B101">
        <v>6</v>
      </c>
      <c r="C101">
        <v>0.3</v>
      </c>
      <c r="D101">
        <v>8000</v>
      </c>
      <c r="E101">
        <v>3.3113207547169812</v>
      </c>
      <c r="F101">
        <v>12242.618965963309</v>
      </c>
      <c r="G101">
        <v>15.21</v>
      </c>
      <c r="H101">
        <v>24.3</v>
      </c>
      <c r="I101">
        <v>175325</v>
      </c>
      <c r="J101">
        <v>1.8467000000000001E-5</v>
      </c>
      <c r="K101">
        <v>1007</v>
      </c>
      <c r="L101">
        <v>1.357201386666667E-2</v>
      </c>
      <c r="M101">
        <v>2.0539999999999998</v>
      </c>
      <c r="N101">
        <v>21.721241577132531</v>
      </c>
      <c r="O101">
        <v>676.34620598006654</v>
      </c>
      <c r="P101">
        <v>676</v>
      </c>
      <c r="Q101">
        <v>0.80700000000000005</v>
      </c>
      <c r="R101">
        <v>48.76</v>
      </c>
      <c r="S101">
        <v>0.80200000000000005</v>
      </c>
      <c r="T101">
        <v>48.26</v>
      </c>
      <c r="U101">
        <v>39.349319999999999</v>
      </c>
      <c r="V101">
        <v>38.704520000000002</v>
      </c>
      <c r="W101">
        <v>78.053840000000008</v>
      </c>
      <c r="X101">
        <v>33.129487174427787</v>
      </c>
      <c r="Y101">
        <v>10840.81111111111</v>
      </c>
      <c r="Z101">
        <v>117.2087601485796</v>
      </c>
      <c r="AA101">
        <v>10723.60235096253</v>
      </c>
      <c r="AB101">
        <v>1.3572013866666669E-3</v>
      </c>
      <c r="AC101">
        <v>24.790754735595929</v>
      </c>
      <c r="AD101">
        <v>297.94075473559587</v>
      </c>
      <c r="AE101">
        <v>297.68828000000002</v>
      </c>
      <c r="AF101">
        <v>303.1277</v>
      </c>
      <c r="AG101">
        <v>302.20629000000002</v>
      </c>
      <c r="AH101">
        <v>306.60836</v>
      </c>
      <c r="AI101">
        <v>306.60460999999998</v>
      </c>
      <c r="AJ101">
        <v>41727.072999999997</v>
      </c>
      <c r="AK101">
        <v>2.2018306999999999E-3</v>
      </c>
      <c r="AL101">
        <v>3.0973856999999999E-4</v>
      </c>
      <c r="AM101">
        <v>3.1280885E-4</v>
      </c>
      <c r="AN101">
        <v>987.54096421877716</v>
      </c>
      <c r="AO101">
        <v>125.7717265750329</v>
      </c>
      <c r="AP101">
        <v>74072.362865035524</v>
      </c>
      <c r="AQ101">
        <v>837</v>
      </c>
      <c r="AR101">
        <v>73235.362865035524</v>
      </c>
      <c r="AS101">
        <v>1.775163162415814</v>
      </c>
      <c r="AT101">
        <v>6.5909677115453071</v>
      </c>
      <c r="AU101">
        <v>3.3548025651765609</v>
      </c>
      <c r="AV101">
        <v>37276.799698303083</v>
      </c>
      <c r="AW101">
        <v>892.3086039886042</v>
      </c>
      <c r="AZ101">
        <f t="shared" si="4"/>
        <v>118.38232019172243</v>
      </c>
      <c r="BA101">
        <f t="shared" si="5"/>
        <v>5.87525239935551E-2</v>
      </c>
      <c r="BB101">
        <f t="shared" si="6"/>
        <v>122.18036992119478</v>
      </c>
      <c r="BC101">
        <f t="shared" si="7"/>
        <v>2.8554562711640818E-2</v>
      </c>
      <c r="BD101">
        <v>0.84499999999999997</v>
      </c>
      <c r="BF101">
        <v>0.72</v>
      </c>
    </row>
    <row r="102" spans="1:58" x14ac:dyDescent="0.25">
      <c r="A102" t="s">
        <v>82</v>
      </c>
    </row>
    <row r="103" spans="1:58" x14ac:dyDescent="0.25">
      <c r="A103" t="s">
        <v>83</v>
      </c>
      <c r="B103">
        <v>6</v>
      </c>
      <c r="C103">
        <v>0.4</v>
      </c>
      <c r="D103">
        <v>400</v>
      </c>
      <c r="E103">
        <v>3.1382250686184818</v>
      </c>
      <c r="F103">
        <v>616.12002119154261</v>
      </c>
      <c r="G103">
        <v>14.292</v>
      </c>
      <c r="H103">
        <v>24.3</v>
      </c>
      <c r="I103">
        <v>101875</v>
      </c>
      <c r="J103">
        <v>1.8456000000000001E-5</v>
      </c>
      <c r="K103">
        <v>1007</v>
      </c>
      <c r="L103">
        <v>6.7241360000000006E-4</v>
      </c>
      <c r="M103">
        <v>1.1930000000000001</v>
      </c>
      <c r="N103">
        <v>1.97184621834289</v>
      </c>
      <c r="O103">
        <v>33.508983388704323</v>
      </c>
      <c r="P103">
        <v>34</v>
      </c>
      <c r="Q103">
        <v>0.499</v>
      </c>
      <c r="R103">
        <v>29.95</v>
      </c>
      <c r="S103">
        <v>0.5</v>
      </c>
      <c r="T103">
        <v>29.98</v>
      </c>
      <c r="U103">
        <v>14.94505</v>
      </c>
      <c r="V103">
        <v>14.99</v>
      </c>
      <c r="W103">
        <v>29.93505</v>
      </c>
      <c r="X103">
        <v>50.330599839615083</v>
      </c>
      <c r="Y103">
        <v>4157.6458333333339</v>
      </c>
      <c r="Z103">
        <v>483.81607438171602</v>
      </c>
      <c r="AA103">
        <v>3673.8297589516178</v>
      </c>
      <c r="AB103">
        <v>6.724136E-5</v>
      </c>
      <c r="AC103">
        <v>25.012694466720141</v>
      </c>
      <c r="AD103">
        <v>298.1626944667201</v>
      </c>
      <c r="AE103">
        <v>298.15877999999998</v>
      </c>
      <c r="AF103">
        <v>337.14702999999997</v>
      </c>
      <c r="AG103">
        <v>327.91482000000002</v>
      </c>
      <c r="AH103">
        <v>329.54273000000001</v>
      </c>
      <c r="AI103">
        <v>329.62624</v>
      </c>
      <c r="AJ103">
        <v>232.23711</v>
      </c>
      <c r="AK103">
        <v>2.1844620999999999E-3</v>
      </c>
      <c r="AL103">
        <v>2.9700471E-4</v>
      </c>
      <c r="AM103">
        <v>2.9698281999999997E-4</v>
      </c>
      <c r="AN103">
        <v>89.654278344432925</v>
      </c>
      <c r="AO103">
        <v>10.821357838823021</v>
      </c>
      <c r="AP103">
        <v>562.85618818497721</v>
      </c>
      <c r="AQ103">
        <v>42</v>
      </c>
      <c r="AR103">
        <v>520.85618818497721</v>
      </c>
      <c r="AS103">
        <v>2.423627249688808</v>
      </c>
      <c r="AT103">
        <v>11.74118895824196</v>
      </c>
      <c r="AU103">
        <v>5.6122883220396567</v>
      </c>
      <c r="AV103">
        <v>248.9692579524191</v>
      </c>
      <c r="AW103">
        <v>47.048250769661351</v>
      </c>
      <c r="AZ103">
        <f t="shared" si="4"/>
        <v>10.967717412429579</v>
      </c>
      <c r="BA103">
        <f t="shared" si="5"/>
        <v>-1.3525065503468913E-2</v>
      </c>
      <c r="BB103">
        <f t="shared" si="6"/>
        <v>7.5515975755667011</v>
      </c>
      <c r="BC103">
        <f t="shared" si="7"/>
        <v>0.30215803894088333</v>
      </c>
      <c r="BD103">
        <v>0.79400000000000004</v>
      </c>
      <c r="BF103">
        <v>0.72</v>
      </c>
    </row>
    <row r="104" spans="1:58" x14ac:dyDescent="0.25">
      <c r="A104" t="s">
        <v>83</v>
      </c>
      <c r="B104">
        <v>6</v>
      </c>
      <c r="C104">
        <v>0.4</v>
      </c>
      <c r="D104">
        <v>600</v>
      </c>
      <c r="E104">
        <v>3.1382250686184818</v>
      </c>
      <c r="F104">
        <v>905.56819139078436</v>
      </c>
      <c r="G104">
        <v>14.292</v>
      </c>
      <c r="H104">
        <v>24.5</v>
      </c>
      <c r="I104">
        <v>102375</v>
      </c>
      <c r="J104">
        <v>1.8465999999999999E-5</v>
      </c>
      <c r="K104">
        <v>1007</v>
      </c>
      <c r="L104">
        <v>1.0091669E-3</v>
      </c>
      <c r="M104">
        <v>1.198</v>
      </c>
      <c r="N104">
        <v>2.947020631456382</v>
      </c>
      <c r="O104">
        <v>50.290709302325581</v>
      </c>
      <c r="P104">
        <v>50</v>
      </c>
      <c r="Q104">
        <v>0.499</v>
      </c>
      <c r="R104">
        <v>29.95</v>
      </c>
      <c r="S104">
        <v>0.5</v>
      </c>
      <c r="T104">
        <v>29.98</v>
      </c>
      <c r="U104">
        <v>14.94505</v>
      </c>
      <c r="V104">
        <v>14.99</v>
      </c>
      <c r="W104">
        <v>29.93505</v>
      </c>
      <c r="X104">
        <v>44.38297581451129</v>
      </c>
      <c r="Y104">
        <v>4157.6458333333339</v>
      </c>
      <c r="Z104">
        <v>357.05436353467911</v>
      </c>
      <c r="AA104">
        <v>3800.591469798655</v>
      </c>
      <c r="AB104">
        <v>1.0091669E-4</v>
      </c>
      <c r="AC104">
        <v>25.04400959424348</v>
      </c>
      <c r="AD104">
        <v>298.19400959424348</v>
      </c>
      <c r="AE104">
        <v>298.18723</v>
      </c>
      <c r="AF104">
        <v>325.02618999999999</v>
      </c>
      <c r="AG104">
        <v>318.50198999999998</v>
      </c>
      <c r="AH104">
        <v>320.23191000000003</v>
      </c>
      <c r="AI104">
        <v>320.15084000000002</v>
      </c>
      <c r="AJ104">
        <v>473.16651999999999</v>
      </c>
      <c r="AK104">
        <v>2.1844620999999999E-3</v>
      </c>
      <c r="AL104">
        <v>2.9700471E-4</v>
      </c>
      <c r="AM104">
        <v>2.9698281999999997E-4</v>
      </c>
      <c r="AN104">
        <v>135.7242159194661</v>
      </c>
      <c r="AO104">
        <v>16.382043723732931</v>
      </c>
      <c r="AP104">
        <v>1090.876140982077</v>
      </c>
      <c r="AQ104">
        <v>63</v>
      </c>
      <c r="AR104">
        <v>1027.876140982077</v>
      </c>
      <c r="AS104">
        <v>2.305480406733083</v>
      </c>
      <c r="AT104">
        <v>10.30840646350708</v>
      </c>
      <c r="AU104">
        <v>4.9274182895563854</v>
      </c>
      <c r="AV104">
        <v>491.32479538943301</v>
      </c>
      <c r="AW104">
        <v>70.610614329694926</v>
      </c>
      <c r="AZ104">
        <f t="shared" si="4"/>
        <v>15.107518285030368</v>
      </c>
      <c r="BA104">
        <f t="shared" si="5"/>
        <v>7.7800148760202442E-2</v>
      </c>
      <c r="BB104">
        <f t="shared" si="6"/>
        <v>11.114206484192071</v>
      </c>
      <c r="BC104">
        <f t="shared" si="7"/>
        <v>0.32156166400100983</v>
      </c>
      <c r="BD104">
        <v>0.79400000000000004</v>
      </c>
      <c r="BF104">
        <v>0.72</v>
      </c>
    </row>
    <row r="105" spans="1:58" x14ac:dyDescent="0.25">
      <c r="A105" t="s">
        <v>83</v>
      </c>
      <c r="B105">
        <v>6</v>
      </c>
      <c r="C105">
        <v>0.4</v>
      </c>
      <c r="D105">
        <v>800</v>
      </c>
      <c r="E105">
        <v>3.1382250686184818</v>
      </c>
      <c r="F105">
        <v>1231.572740291467</v>
      </c>
      <c r="G105">
        <v>14.292</v>
      </c>
      <c r="H105">
        <v>24.5</v>
      </c>
      <c r="I105">
        <v>102815</v>
      </c>
      <c r="J105">
        <v>1.8465999999999999E-5</v>
      </c>
      <c r="K105">
        <v>1007</v>
      </c>
      <c r="L105">
        <v>1.345555866666667E-3</v>
      </c>
      <c r="M105">
        <v>1.2030000000000001</v>
      </c>
      <c r="N105">
        <v>3.9130293338705968</v>
      </c>
      <c r="O105">
        <v>67.054279069767432</v>
      </c>
      <c r="P105">
        <v>68</v>
      </c>
      <c r="Q105">
        <v>0.499</v>
      </c>
      <c r="R105">
        <v>29.95</v>
      </c>
      <c r="S105">
        <v>0.5</v>
      </c>
      <c r="T105">
        <v>29.98</v>
      </c>
      <c r="U105">
        <v>14.94505</v>
      </c>
      <c r="V105">
        <v>14.99</v>
      </c>
      <c r="W105">
        <v>29.93505</v>
      </c>
      <c r="X105">
        <v>40.456518830914092</v>
      </c>
      <c r="Y105">
        <v>4157.6458333333339</v>
      </c>
      <c r="Z105">
        <v>273.36978584327193</v>
      </c>
      <c r="AA105">
        <v>3884.276047490062</v>
      </c>
      <c r="AB105">
        <v>1.345555866666667E-4</v>
      </c>
      <c r="AC105">
        <v>25.08024911730093</v>
      </c>
      <c r="AD105">
        <v>298.2302491173009</v>
      </c>
      <c r="AE105">
        <v>298.2251</v>
      </c>
      <c r="AF105">
        <v>318.71105999999997</v>
      </c>
      <c r="AG105">
        <v>314.14677999999998</v>
      </c>
      <c r="AH105">
        <v>315.84541000000002</v>
      </c>
      <c r="AI105">
        <v>315.79455000000002</v>
      </c>
      <c r="AJ105">
        <v>742.74576999999999</v>
      </c>
      <c r="AK105">
        <v>2.1844620999999999E-3</v>
      </c>
      <c r="AL105">
        <v>2.9700471E-4</v>
      </c>
      <c r="AM105">
        <v>2.9698281999999997E-4</v>
      </c>
      <c r="AN105">
        <v>166.74845175243081</v>
      </c>
      <c r="AO105">
        <v>20.126698901646069</v>
      </c>
      <c r="AP105">
        <v>1800.5593696874589</v>
      </c>
      <c r="AQ105">
        <v>84</v>
      </c>
      <c r="AR105">
        <v>1716.5593696874589</v>
      </c>
      <c r="AS105">
        <v>2.4241933679238041</v>
      </c>
      <c r="AT105">
        <v>9.7037527340514451</v>
      </c>
      <c r="AU105">
        <v>4.6383938068765902</v>
      </c>
      <c r="AV105">
        <v>820.51537871060543</v>
      </c>
      <c r="AW105">
        <v>94.147485772926572</v>
      </c>
      <c r="AZ105">
        <f t="shared" si="4"/>
        <v>18.961371304596614</v>
      </c>
      <c r="BA105">
        <f t="shared" si="5"/>
        <v>5.7899589135014487E-2</v>
      </c>
      <c r="BB105">
        <f t="shared" si="6"/>
        <v>14.620511557588944</v>
      </c>
      <c r="BC105">
        <f t="shared" si="7"/>
        <v>0.27357627651531069</v>
      </c>
      <c r="BD105">
        <v>0.79400000000000004</v>
      </c>
      <c r="BF105">
        <v>0.72</v>
      </c>
    </row>
    <row r="106" spans="1:58" x14ac:dyDescent="0.25">
      <c r="A106" t="s">
        <v>83</v>
      </c>
      <c r="B106">
        <v>6</v>
      </c>
      <c r="C106">
        <v>0.4</v>
      </c>
      <c r="D106">
        <v>1000</v>
      </c>
      <c r="E106">
        <v>3.1382250686184818</v>
      </c>
      <c r="F106">
        <v>1520.94273906845</v>
      </c>
      <c r="G106">
        <v>14.292</v>
      </c>
      <c r="H106">
        <v>24.6</v>
      </c>
      <c r="I106">
        <v>103925</v>
      </c>
      <c r="J106">
        <v>1.8471E-5</v>
      </c>
      <c r="K106">
        <v>1007</v>
      </c>
      <c r="L106">
        <v>1.68240025E-3</v>
      </c>
      <c r="M106">
        <v>1.216</v>
      </c>
      <c r="N106">
        <v>4.8403051958125269</v>
      </c>
      <c r="O106">
        <v>83.84054401993356</v>
      </c>
      <c r="P106">
        <v>84</v>
      </c>
      <c r="Q106">
        <v>0.499</v>
      </c>
      <c r="R106">
        <v>29.95</v>
      </c>
      <c r="S106">
        <v>0.5</v>
      </c>
      <c r="T106">
        <v>29.98</v>
      </c>
      <c r="U106">
        <v>14.94505</v>
      </c>
      <c r="V106">
        <v>14.99</v>
      </c>
      <c r="W106">
        <v>29.93505</v>
      </c>
      <c r="X106">
        <v>38.100335330537241</v>
      </c>
      <c r="Y106">
        <v>4157.6458333333339</v>
      </c>
      <c r="Z106">
        <v>223.1524468997402</v>
      </c>
      <c r="AA106">
        <v>3934.493386433594</v>
      </c>
      <c r="AB106">
        <v>1.6824002500000001E-4</v>
      </c>
      <c r="AC106">
        <v>25.123982424605529</v>
      </c>
      <c r="AD106">
        <v>298.27398242460549</v>
      </c>
      <c r="AE106">
        <v>298.26245</v>
      </c>
      <c r="AF106">
        <v>314.85654</v>
      </c>
      <c r="AG106">
        <v>311.45499000000001</v>
      </c>
      <c r="AH106">
        <v>313.15985000000001</v>
      </c>
      <c r="AI106">
        <v>313.09717000000001</v>
      </c>
      <c r="AJ106">
        <v>1123.7435</v>
      </c>
      <c r="AK106">
        <v>2.1844620999999999E-3</v>
      </c>
      <c r="AL106">
        <v>2.9700471E-4</v>
      </c>
      <c r="AM106">
        <v>2.9698281999999997E-4</v>
      </c>
      <c r="AN106">
        <v>194.08382238946041</v>
      </c>
      <c r="AO106">
        <v>23.42610449368852</v>
      </c>
      <c r="AP106">
        <v>2666.7215897743158</v>
      </c>
      <c r="AQ106">
        <v>104</v>
      </c>
      <c r="AR106">
        <v>2562.7215897743158</v>
      </c>
      <c r="AS106">
        <v>2.3730696460307139</v>
      </c>
      <c r="AT106">
        <v>9.3170431127277915</v>
      </c>
      <c r="AU106">
        <v>4.4535466078838839</v>
      </c>
      <c r="AV106">
        <v>1224.980919912123</v>
      </c>
      <c r="AW106">
        <v>117.71622236216059</v>
      </c>
      <c r="AZ106">
        <f t="shared" si="4"/>
        <v>22.615660238764253</v>
      </c>
      <c r="BA106">
        <f t="shared" si="5"/>
        <v>3.4595775628962024E-2</v>
      </c>
      <c r="BB106">
        <f t="shared" si="6"/>
        <v>18.085535741051419</v>
      </c>
      <c r="BC106">
        <f t="shared" si="7"/>
        <v>0.22797511016293642</v>
      </c>
      <c r="BD106">
        <v>0.79400000000000004</v>
      </c>
      <c r="BF106">
        <v>0.72</v>
      </c>
    </row>
    <row r="107" spans="1:58" x14ac:dyDescent="0.25">
      <c r="A107" t="s">
        <v>83</v>
      </c>
      <c r="B107">
        <v>6</v>
      </c>
      <c r="C107">
        <v>0.4</v>
      </c>
      <c r="D107">
        <v>1200</v>
      </c>
      <c r="E107">
        <v>3.1382250686184818</v>
      </c>
      <c r="F107">
        <v>1828.7525791180169</v>
      </c>
      <c r="G107">
        <v>14.292</v>
      </c>
      <c r="H107">
        <v>24.6</v>
      </c>
      <c r="I107">
        <v>104925</v>
      </c>
      <c r="J107">
        <v>1.8471E-5</v>
      </c>
      <c r="K107">
        <v>1007</v>
      </c>
      <c r="L107">
        <v>2.0188802999999999E-3</v>
      </c>
      <c r="M107">
        <v>1.228</v>
      </c>
      <c r="N107">
        <v>5.7516069558058964</v>
      </c>
      <c r="O107">
        <v>100.60865282392029</v>
      </c>
      <c r="P107">
        <v>101</v>
      </c>
      <c r="Q107">
        <v>0.499</v>
      </c>
      <c r="R107">
        <v>29.95</v>
      </c>
      <c r="S107">
        <v>0.5</v>
      </c>
      <c r="T107">
        <v>29.98</v>
      </c>
      <c r="U107">
        <v>14.94505</v>
      </c>
      <c r="V107">
        <v>14.99</v>
      </c>
      <c r="W107">
        <v>29.93505</v>
      </c>
      <c r="X107">
        <v>36.486641354437992</v>
      </c>
      <c r="Y107">
        <v>4157.6458333333339</v>
      </c>
      <c r="Z107">
        <v>188.75978718713679</v>
      </c>
      <c r="AA107">
        <v>3968.8860461461968</v>
      </c>
      <c r="AB107">
        <v>2.0188802999999999E-4</v>
      </c>
      <c r="AC107">
        <v>25.144606291324369</v>
      </c>
      <c r="AD107">
        <v>298.29460629132433</v>
      </c>
      <c r="AE107">
        <v>298.27917000000002</v>
      </c>
      <c r="AF107">
        <v>312.27177999999998</v>
      </c>
      <c r="AG107">
        <v>309.40228999999999</v>
      </c>
      <c r="AH107">
        <v>311.02936</v>
      </c>
      <c r="AI107">
        <v>311.17320999999998</v>
      </c>
      <c r="AJ107">
        <v>1592.5093999999999</v>
      </c>
      <c r="AK107">
        <v>2.1844620999999999E-3</v>
      </c>
      <c r="AL107">
        <v>2.9700471E-4</v>
      </c>
      <c r="AM107">
        <v>2.9698281999999997E-4</v>
      </c>
      <c r="AN107">
        <v>229.05994783939201</v>
      </c>
      <c r="AO107">
        <v>27.64775655869315</v>
      </c>
      <c r="AP107">
        <v>3622.1151405863889</v>
      </c>
      <c r="AQ107">
        <v>125</v>
      </c>
      <c r="AR107">
        <v>3497.1151405863889</v>
      </c>
      <c r="AS107">
        <v>2.274470179319751</v>
      </c>
      <c r="AT107">
        <v>8.8732557709679956</v>
      </c>
      <c r="AU107">
        <v>4.241416258522702</v>
      </c>
      <c r="AV107">
        <v>1671.621037200294</v>
      </c>
      <c r="AW107">
        <v>141.25946683459281</v>
      </c>
      <c r="AZ107">
        <f t="shared" si="4"/>
        <v>26.118403029677136</v>
      </c>
      <c r="BA107">
        <f t="shared" si="5"/>
        <v>5.5315646525220377E-2</v>
      </c>
      <c r="BB107">
        <f t="shared" si="6"/>
        <v>21.51801426512932</v>
      </c>
      <c r="BC107">
        <f t="shared" si="7"/>
        <v>0.22170848765074519</v>
      </c>
      <c r="BD107">
        <v>0.79400000000000004</v>
      </c>
      <c r="BF107">
        <v>0.72</v>
      </c>
    </row>
    <row r="108" spans="1:58" x14ac:dyDescent="0.25">
      <c r="A108" t="s">
        <v>83</v>
      </c>
      <c r="B108">
        <v>6</v>
      </c>
      <c r="C108">
        <v>0.4</v>
      </c>
      <c r="D108">
        <v>1400</v>
      </c>
      <c r="E108">
        <v>3.1382250686184818</v>
      </c>
      <c r="F108">
        <v>2118.455957988197</v>
      </c>
      <c r="G108">
        <v>14.292</v>
      </c>
      <c r="H108">
        <v>24.6</v>
      </c>
      <c r="I108">
        <v>106125</v>
      </c>
      <c r="J108">
        <v>1.8471E-5</v>
      </c>
      <c r="K108">
        <v>1007</v>
      </c>
      <c r="L108">
        <v>2.3553603499999998E-3</v>
      </c>
      <c r="M108">
        <v>1.242</v>
      </c>
      <c r="N108">
        <v>6.6345696983504387</v>
      </c>
      <c r="O108">
        <v>117.376761627907</v>
      </c>
      <c r="P108">
        <v>117</v>
      </c>
      <c r="Q108">
        <v>0.499</v>
      </c>
      <c r="R108">
        <v>29.95</v>
      </c>
      <c r="S108">
        <v>0.5</v>
      </c>
      <c r="T108">
        <v>29.98</v>
      </c>
      <c r="U108">
        <v>14.94505</v>
      </c>
      <c r="V108">
        <v>14.99</v>
      </c>
      <c r="W108">
        <v>29.93505</v>
      </c>
      <c r="X108">
        <v>35.255856783433323</v>
      </c>
      <c r="Y108">
        <v>4157.6458333333339</v>
      </c>
      <c r="Z108">
        <v>162.52807562531439</v>
      </c>
      <c r="AA108">
        <v>3995.1177577080198</v>
      </c>
      <c r="AB108">
        <v>2.35536035E-4</v>
      </c>
      <c r="AC108">
        <v>25.143955873814569</v>
      </c>
      <c r="AD108">
        <v>298.29395587381453</v>
      </c>
      <c r="AE108">
        <v>298.27535999999998</v>
      </c>
      <c r="AF108">
        <v>310.36011000000002</v>
      </c>
      <c r="AG108">
        <v>308.10226</v>
      </c>
      <c r="AH108">
        <v>309.69331</v>
      </c>
      <c r="AI108">
        <v>309.82301999999999</v>
      </c>
      <c r="AJ108">
        <v>2019.0286000000001</v>
      </c>
      <c r="AK108">
        <v>2.1844620999999999E-3</v>
      </c>
      <c r="AL108">
        <v>2.9700471E-4</v>
      </c>
      <c r="AM108">
        <v>2.9698281999999997E-4</v>
      </c>
      <c r="AN108">
        <v>250.15744294038271</v>
      </c>
      <c r="AO108">
        <v>30.194244559115639</v>
      </c>
      <c r="AP108">
        <v>4776.5111928262704</v>
      </c>
      <c r="AQ108">
        <v>146</v>
      </c>
      <c r="AR108">
        <v>4630.5111928262704</v>
      </c>
      <c r="AS108">
        <v>2.365747168131382</v>
      </c>
      <c r="AT108">
        <v>8.6818771402579884</v>
      </c>
      <c r="AU108">
        <v>4.1499372730433182</v>
      </c>
      <c r="AV108">
        <v>2213.3843501709571</v>
      </c>
      <c r="AW108">
        <v>164.80271130702491</v>
      </c>
      <c r="AZ108">
        <f t="shared" si="4"/>
        <v>29.499944137935152</v>
      </c>
      <c r="BA108">
        <f t="shared" si="5"/>
        <v>2.2994462398989775E-2</v>
      </c>
      <c r="BB108">
        <f t="shared" si="6"/>
        <v>24.92366206773065</v>
      </c>
      <c r="BC108">
        <f t="shared" si="7"/>
        <v>0.17455586547515728</v>
      </c>
      <c r="BD108">
        <v>0.79400000000000004</v>
      </c>
      <c r="BF108">
        <v>0.72</v>
      </c>
    </row>
    <row r="109" spans="1:58" x14ac:dyDescent="0.25">
      <c r="A109" t="s">
        <v>83</v>
      </c>
      <c r="B109">
        <v>6</v>
      </c>
      <c r="C109">
        <v>0.4</v>
      </c>
      <c r="D109">
        <v>1600</v>
      </c>
      <c r="E109">
        <v>3.1382250686184818</v>
      </c>
      <c r="F109">
        <v>2426.1344497377409</v>
      </c>
      <c r="G109">
        <v>14.292</v>
      </c>
      <c r="H109">
        <v>24.6</v>
      </c>
      <c r="I109">
        <v>107425</v>
      </c>
      <c r="J109">
        <v>1.8471999999999999E-5</v>
      </c>
      <c r="K109">
        <v>1007</v>
      </c>
      <c r="L109">
        <v>2.691986133333333E-3</v>
      </c>
      <c r="M109">
        <v>1.2569999999999999</v>
      </c>
      <c r="N109">
        <v>7.4922892850508269</v>
      </c>
      <c r="O109">
        <v>134.15213289036541</v>
      </c>
      <c r="P109">
        <v>134</v>
      </c>
      <c r="Q109">
        <v>0.6</v>
      </c>
      <c r="R109">
        <v>35.96</v>
      </c>
      <c r="S109">
        <v>0.6</v>
      </c>
      <c r="T109">
        <v>35.97</v>
      </c>
      <c r="U109">
        <v>21.576000000000001</v>
      </c>
      <c r="V109">
        <v>21.582000000000001</v>
      </c>
      <c r="W109">
        <v>43.158000000000001</v>
      </c>
      <c r="X109">
        <v>38.281660236821999</v>
      </c>
      <c r="Y109">
        <v>5994.1666666666679</v>
      </c>
      <c r="Z109">
        <v>227.0170246273872</v>
      </c>
      <c r="AA109">
        <v>5767.1496420392796</v>
      </c>
      <c r="AB109">
        <v>2.6919861333333329E-4</v>
      </c>
      <c r="AC109">
        <v>25.12617551566079</v>
      </c>
      <c r="AD109">
        <v>298.27617551566078</v>
      </c>
      <c r="AE109">
        <v>298.26116999999999</v>
      </c>
      <c r="AF109">
        <v>313.66475000000003</v>
      </c>
      <c r="AG109">
        <v>310.95580999999999</v>
      </c>
      <c r="AH109">
        <v>313.29523</v>
      </c>
      <c r="AI109">
        <v>313.36183</v>
      </c>
      <c r="AJ109">
        <v>2587.1188999999999</v>
      </c>
      <c r="AK109">
        <v>2.1844620999999999E-3</v>
      </c>
      <c r="AL109">
        <v>2.9700471E-4</v>
      </c>
      <c r="AM109">
        <v>2.9698281999999997E-4</v>
      </c>
      <c r="AN109">
        <v>271.71942970094102</v>
      </c>
      <c r="AO109">
        <v>32.796797150700407</v>
      </c>
      <c r="AP109">
        <v>6146.9003055767753</v>
      </c>
      <c r="AQ109">
        <v>167</v>
      </c>
      <c r="AR109">
        <v>5979.9003055767753</v>
      </c>
      <c r="AS109">
        <v>2.3759635885218788</v>
      </c>
      <c r="AT109">
        <v>8.6360656509214984</v>
      </c>
      <c r="AU109">
        <v>4.1280393811404759</v>
      </c>
      <c r="AV109">
        <v>2858.3923460656979</v>
      </c>
      <c r="AW109">
        <v>188.35615262617779</v>
      </c>
      <c r="AZ109">
        <f t="shared" si="4"/>
        <v>32.781078161562128</v>
      </c>
      <c r="BA109">
        <f t="shared" si="5"/>
        <v>4.7928427480434086E-4</v>
      </c>
      <c r="BB109">
        <f t="shared" si="6"/>
        <v>28.306508135075081</v>
      </c>
      <c r="BC109">
        <f t="shared" si="7"/>
        <v>0.13691242455757394</v>
      </c>
      <c r="BD109">
        <v>0.79400000000000004</v>
      </c>
      <c r="BF109">
        <v>0.72</v>
      </c>
    </row>
    <row r="110" spans="1:58" x14ac:dyDescent="0.25">
      <c r="A110" t="s">
        <v>83</v>
      </c>
      <c r="B110">
        <v>6</v>
      </c>
      <c r="C110">
        <v>0.4</v>
      </c>
      <c r="D110">
        <v>1800</v>
      </c>
      <c r="E110">
        <v>3.1382250686184818</v>
      </c>
      <c r="F110">
        <v>2733.9276261970072</v>
      </c>
      <c r="G110">
        <v>14.292</v>
      </c>
      <c r="H110">
        <v>24.6</v>
      </c>
      <c r="I110">
        <v>108825</v>
      </c>
      <c r="J110">
        <v>1.8471999999999999E-5</v>
      </c>
      <c r="K110">
        <v>1007</v>
      </c>
      <c r="L110">
        <v>3.028484399999999E-3</v>
      </c>
      <c r="M110">
        <v>1.2729999999999999</v>
      </c>
      <c r="N110">
        <v>8.3228857700098189</v>
      </c>
      <c r="O110">
        <v>150.92114950166109</v>
      </c>
      <c r="P110">
        <v>151</v>
      </c>
      <c r="Q110">
        <v>0.6</v>
      </c>
      <c r="R110">
        <v>35.96</v>
      </c>
      <c r="S110">
        <v>0.6</v>
      </c>
      <c r="T110">
        <v>35.97</v>
      </c>
      <c r="U110">
        <v>21.576000000000001</v>
      </c>
      <c r="V110">
        <v>21.582000000000001</v>
      </c>
      <c r="W110">
        <v>43.158000000000001</v>
      </c>
      <c r="X110">
        <v>37.182907556427878</v>
      </c>
      <c r="Y110">
        <v>5994.1666666666679</v>
      </c>
      <c r="Z110">
        <v>203.59930875014729</v>
      </c>
      <c r="AA110">
        <v>5790.5673579165205</v>
      </c>
      <c r="AB110">
        <v>3.0284844000000002E-4</v>
      </c>
      <c r="AC110">
        <v>25.111045142296369</v>
      </c>
      <c r="AD110">
        <v>298.26104514229633</v>
      </c>
      <c r="AE110">
        <v>298.23647999999997</v>
      </c>
      <c r="AF110">
        <v>311.88200999999998</v>
      </c>
      <c r="AG110">
        <v>309.60867000000002</v>
      </c>
      <c r="AH110">
        <v>311.99176</v>
      </c>
      <c r="AI110">
        <v>311.92779000000002</v>
      </c>
      <c r="AJ110">
        <v>3370.8344999999999</v>
      </c>
      <c r="AK110">
        <v>2.1844620999999999E-3</v>
      </c>
      <c r="AL110">
        <v>2.9700471E-4</v>
      </c>
      <c r="AM110">
        <v>2.9698281999999997E-4</v>
      </c>
      <c r="AN110">
        <v>297.01826172929123</v>
      </c>
      <c r="AO110">
        <v>35.850390569090273</v>
      </c>
      <c r="AP110">
        <v>7563.622832842656</v>
      </c>
      <c r="AQ110">
        <v>188</v>
      </c>
      <c r="AR110">
        <v>7375.622832842656</v>
      </c>
      <c r="AS110">
        <v>2.243842832640599</v>
      </c>
      <c r="AT110">
        <v>8.4711775662818471</v>
      </c>
      <c r="AU110">
        <v>4.0492228766827232</v>
      </c>
      <c r="AV110">
        <v>3525.54771409879</v>
      </c>
      <c r="AW110">
        <v>211.90067170444999</v>
      </c>
      <c r="AZ110">
        <f t="shared" si="4"/>
        <v>35.976879829112157</v>
      </c>
      <c r="BA110">
        <f t="shared" si="5"/>
        <v>-3.5282533331991552E-3</v>
      </c>
      <c r="BB110">
        <f t="shared" si="6"/>
        <v>31.669544262558329</v>
      </c>
      <c r="BC110">
        <f t="shared" si="7"/>
        <v>0.11661926802372451</v>
      </c>
      <c r="BD110">
        <v>0.79400000000000004</v>
      </c>
      <c r="BF110">
        <v>0.72</v>
      </c>
    </row>
    <row r="111" spans="1:58" x14ac:dyDescent="0.25">
      <c r="A111" t="s">
        <v>83</v>
      </c>
      <c r="B111">
        <v>6</v>
      </c>
      <c r="C111">
        <v>0.4</v>
      </c>
      <c r="D111">
        <v>2000</v>
      </c>
      <c r="E111">
        <v>3.1382250686184818</v>
      </c>
      <c r="F111">
        <v>3041.720802656273</v>
      </c>
      <c r="G111">
        <v>14.292</v>
      </c>
      <c r="H111">
        <v>24.6</v>
      </c>
      <c r="I111">
        <v>108825</v>
      </c>
      <c r="J111">
        <v>1.8471999999999999E-5</v>
      </c>
      <c r="K111">
        <v>1007</v>
      </c>
      <c r="L111">
        <v>3.3649826666666662E-3</v>
      </c>
      <c r="M111">
        <v>1.2729999999999999</v>
      </c>
      <c r="N111">
        <v>9.247650855566464</v>
      </c>
      <c r="O111">
        <v>167.6901661129568</v>
      </c>
      <c r="P111">
        <v>168</v>
      </c>
      <c r="Q111">
        <v>0.6</v>
      </c>
      <c r="R111">
        <v>35.96</v>
      </c>
      <c r="S111">
        <v>0.6</v>
      </c>
      <c r="T111">
        <v>35.97</v>
      </c>
      <c r="U111">
        <v>21.576000000000001</v>
      </c>
      <c r="V111">
        <v>21.582000000000001</v>
      </c>
      <c r="W111">
        <v>43.158000000000001</v>
      </c>
      <c r="X111">
        <v>36.236329369108049</v>
      </c>
      <c r="Y111">
        <v>5994.1666666666679</v>
      </c>
      <c r="Z111">
        <v>183.42488784379981</v>
      </c>
      <c r="AA111">
        <v>5810.7417788228686</v>
      </c>
      <c r="AB111">
        <v>3.3649826666666658E-4</v>
      </c>
      <c r="AC111">
        <v>25.11253299492385</v>
      </c>
      <c r="AD111">
        <v>298.26253299492379</v>
      </c>
      <c r="AE111">
        <v>298.23147999999998</v>
      </c>
      <c r="AF111">
        <v>310.51808999999997</v>
      </c>
      <c r="AG111">
        <v>308.52073000000001</v>
      </c>
      <c r="AH111">
        <v>310.89825000000002</v>
      </c>
      <c r="AI111">
        <v>310.82819000000001</v>
      </c>
      <c r="AJ111">
        <v>4073.3152</v>
      </c>
      <c r="AK111">
        <v>2.1844620999999999E-3</v>
      </c>
      <c r="AL111">
        <v>2.9700471E-4</v>
      </c>
      <c r="AM111">
        <v>2.9698281999999997E-4</v>
      </c>
      <c r="AN111">
        <v>324.0514341487937</v>
      </c>
      <c r="AO111">
        <v>39.113320544904447</v>
      </c>
      <c r="AP111">
        <v>9137.6183224558863</v>
      </c>
      <c r="AQ111">
        <v>209</v>
      </c>
      <c r="AR111">
        <v>8928.6183224558863</v>
      </c>
      <c r="AS111">
        <v>2.2432878070560029</v>
      </c>
      <c r="AT111">
        <v>8.3064290956379576</v>
      </c>
      <c r="AU111">
        <v>3.9704731077149442</v>
      </c>
      <c r="AV111">
        <v>4267.8795581339136</v>
      </c>
      <c r="AW111">
        <v>235.44519078272219</v>
      </c>
      <c r="AZ111">
        <f t="shared" si="4"/>
        <v>39.098739962048093</v>
      </c>
      <c r="BA111">
        <f t="shared" si="5"/>
        <v>3.7277793481160716E-4</v>
      </c>
      <c r="BB111">
        <f t="shared" si="6"/>
        <v>35.015078820243822</v>
      </c>
      <c r="BC111">
        <f t="shared" si="7"/>
        <v>0.10477867047763424</v>
      </c>
      <c r="BD111">
        <v>0.79400000000000004</v>
      </c>
      <c r="BF111">
        <v>0.72</v>
      </c>
    </row>
    <row r="112" spans="1:58" x14ac:dyDescent="0.25">
      <c r="A112" t="s">
        <v>83</v>
      </c>
      <c r="B112">
        <v>6</v>
      </c>
      <c r="C112">
        <v>0.4</v>
      </c>
      <c r="D112">
        <v>2500</v>
      </c>
      <c r="E112">
        <v>3.1382250686184818</v>
      </c>
      <c r="F112">
        <v>3801.9451812555262</v>
      </c>
      <c r="G112">
        <v>14.292</v>
      </c>
      <c r="H112">
        <v>24.6</v>
      </c>
      <c r="I112">
        <v>114725</v>
      </c>
      <c r="J112">
        <v>1.8473000000000001E-5</v>
      </c>
      <c r="K112">
        <v>1007</v>
      </c>
      <c r="L112">
        <v>4.2064560416666657E-3</v>
      </c>
      <c r="M112">
        <v>1.3420000000000001</v>
      </c>
      <c r="N112">
        <v>10.96581300489582</v>
      </c>
      <c r="O112">
        <v>209.62405523255811</v>
      </c>
      <c r="P112">
        <v>210</v>
      </c>
      <c r="Q112">
        <v>0.6</v>
      </c>
      <c r="R112">
        <v>35.96</v>
      </c>
      <c r="S112">
        <v>0.6</v>
      </c>
      <c r="T112">
        <v>35.97</v>
      </c>
      <c r="U112">
        <v>21.576000000000001</v>
      </c>
      <c r="V112">
        <v>21.582000000000001</v>
      </c>
      <c r="W112">
        <v>43.158000000000001</v>
      </c>
      <c r="X112">
        <v>34.733186493914417</v>
      </c>
      <c r="Y112">
        <v>5994.1666666666679</v>
      </c>
      <c r="Z112">
        <v>151.38840374479801</v>
      </c>
      <c r="AA112">
        <v>5842.77826292187</v>
      </c>
      <c r="AB112">
        <v>4.2064560416666649E-4</v>
      </c>
      <c r="AC112">
        <v>25.08675500588928</v>
      </c>
      <c r="AD112">
        <v>298.23675500588928</v>
      </c>
      <c r="AE112">
        <v>298.19693000000001</v>
      </c>
      <c r="AF112">
        <v>308.24950999999999</v>
      </c>
      <c r="AG112">
        <v>306.65152</v>
      </c>
      <c r="AH112">
        <v>308.90048000000002</v>
      </c>
      <c r="AI112">
        <v>308.95882999999998</v>
      </c>
      <c r="AJ112">
        <v>6177.9703</v>
      </c>
      <c r="AK112">
        <v>2.1844620999999999E-3</v>
      </c>
      <c r="AL112">
        <v>2.9700471E-4</v>
      </c>
      <c r="AM112">
        <v>2.9698281999999997E-4</v>
      </c>
      <c r="AN112">
        <v>386.70626501352882</v>
      </c>
      <c r="AO112">
        <v>46.67581904066455</v>
      </c>
      <c r="AP112">
        <v>13437.756838110199</v>
      </c>
      <c r="AQ112">
        <v>261</v>
      </c>
      <c r="AR112">
        <v>13176.756838110199</v>
      </c>
      <c r="AS112">
        <v>2.175108682233418</v>
      </c>
      <c r="AT112">
        <v>8.0641997339820399</v>
      </c>
      <c r="AU112">
        <v>3.8546874728434148</v>
      </c>
      <c r="AV112">
        <v>6298.4897686166732</v>
      </c>
      <c r="AW112">
        <v>294.32242105140398</v>
      </c>
      <c r="AZ112">
        <f t="shared" si="4"/>
        <v>46.633959355625102</v>
      </c>
      <c r="BA112">
        <f t="shared" si="5"/>
        <v>8.968173649610572E-4</v>
      </c>
      <c r="BB112">
        <f t="shared" si="6"/>
        <v>43.313563754925383</v>
      </c>
      <c r="BC112">
        <f t="shared" si="7"/>
        <v>7.2034200038566615E-2</v>
      </c>
      <c r="BD112">
        <v>0.79400000000000004</v>
      </c>
      <c r="BF112">
        <v>0.72</v>
      </c>
    </row>
    <row r="113" spans="1:58" x14ac:dyDescent="0.25">
      <c r="A113" t="s">
        <v>83</v>
      </c>
      <c r="B113">
        <v>6</v>
      </c>
      <c r="C113">
        <v>0.4</v>
      </c>
      <c r="D113">
        <v>3000</v>
      </c>
      <c r="E113">
        <v>3.1382250686184818</v>
      </c>
      <c r="F113">
        <v>4551.3747319212507</v>
      </c>
      <c r="G113">
        <v>14.292</v>
      </c>
      <c r="H113">
        <v>24</v>
      </c>
      <c r="I113">
        <v>118325</v>
      </c>
      <c r="J113">
        <v>1.8444000000000002E-5</v>
      </c>
      <c r="K113">
        <v>1007</v>
      </c>
      <c r="L113">
        <v>5.0398230000000014E-3</v>
      </c>
      <c r="M113">
        <v>1.387</v>
      </c>
      <c r="N113">
        <v>12.712056659021011</v>
      </c>
      <c r="O113">
        <v>251.15397009966779</v>
      </c>
      <c r="P113">
        <v>251</v>
      </c>
      <c r="Q113">
        <v>0.6</v>
      </c>
      <c r="R113">
        <v>35.96</v>
      </c>
      <c r="S113">
        <v>0.6</v>
      </c>
      <c r="T113">
        <v>35.97</v>
      </c>
      <c r="U113">
        <v>21.576000000000001</v>
      </c>
      <c r="V113">
        <v>21.582000000000001</v>
      </c>
      <c r="W113">
        <v>43.158000000000001</v>
      </c>
      <c r="X113">
        <v>32.981292949354533</v>
      </c>
      <c r="Y113">
        <v>5994.1666666666679</v>
      </c>
      <c r="Z113">
        <v>114.05029662959321</v>
      </c>
      <c r="AA113">
        <v>5880.1163700370744</v>
      </c>
      <c r="AB113">
        <v>5.0398230000000014E-4</v>
      </c>
      <c r="AC113">
        <v>24.476284011916601</v>
      </c>
      <c r="AD113">
        <v>297.6262840119166</v>
      </c>
      <c r="AE113">
        <v>297.57153</v>
      </c>
      <c r="AF113">
        <v>305.96426000000002</v>
      </c>
      <c r="AG113">
        <v>304.73248000000001</v>
      </c>
      <c r="AH113">
        <v>307.08918999999997</v>
      </c>
      <c r="AI113">
        <v>306.93083999999999</v>
      </c>
      <c r="AJ113">
        <v>8873.1299999999992</v>
      </c>
      <c r="AK113">
        <v>2.1844620999999999E-3</v>
      </c>
      <c r="AL113">
        <v>2.9700471E-4</v>
      </c>
      <c r="AM113">
        <v>2.9698281999999997E-4</v>
      </c>
      <c r="AN113">
        <v>441.47875460998313</v>
      </c>
      <c r="AO113">
        <v>53.286911345365993</v>
      </c>
      <c r="AP113">
        <v>17519.88414432307</v>
      </c>
      <c r="AQ113">
        <v>314</v>
      </c>
      <c r="AR113">
        <v>17205.88414432307</v>
      </c>
      <c r="AS113">
        <v>1.9744874857376229</v>
      </c>
      <c r="AT113">
        <v>7.4658044669137373</v>
      </c>
      <c r="AU113">
        <v>3.5686545351847658</v>
      </c>
      <c r="AV113">
        <v>8224.4126209864298</v>
      </c>
      <c r="AW113">
        <v>352.63245172124272</v>
      </c>
      <c r="AZ113">
        <f t="shared" si="4"/>
        <v>53.85668746615162</v>
      </c>
      <c r="BA113">
        <f t="shared" si="5"/>
        <v>-1.0692609243060877E-2</v>
      </c>
      <c r="BB113">
        <f t="shared" si="6"/>
        <v>51.534104164607299</v>
      </c>
      <c r="BC113">
        <f t="shared" si="7"/>
        <v>3.289376577670839E-2</v>
      </c>
      <c r="BD113">
        <v>0.79400000000000004</v>
      </c>
      <c r="BF113">
        <v>0.72</v>
      </c>
    </row>
    <row r="114" spans="1:58" x14ac:dyDescent="0.25">
      <c r="A114" t="s">
        <v>83</v>
      </c>
      <c r="B114">
        <v>6</v>
      </c>
      <c r="C114">
        <v>0.4</v>
      </c>
      <c r="D114">
        <v>3500</v>
      </c>
      <c r="E114">
        <v>3.1382250686184818</v>
      </c>
      <c r="F114">
        <v>5312.6713050811722</v>
      </c>
      <c r="G114">
        <v>14.292</v>
      </c>
      <c r="H114">
        <v>24</v>
      </c>
      <c r="I114">
        <v>124325</v>
      </c>
      <c r="J114">
        <v>1.8445E-5</v>
      </c>
      <c r="K114">
        <v>1007</v>
      </c>
      <c r="L114">
        <v>5.8801122916666672E-3</v>
      </c>
      <c r="M114">
        <v>1.458</v>
      </c>
      <c r="N114">
        <v>14.109287812425171</v>
      </c>
      <c r="O114">
        <v>293.02885174418611</v>
      </c>
      <c r="P114">
        <v>293</v>
      </c>
      <c r="Q114">
        <v>0.6</v>
      </c>
      <c r="R114">
        <v>35.96</v>
      </c>
      <c r="S114">
        <v>0.6</v>
      </c>
      <c r="T114">
        <v>35.97</v>
      </c>
      <c r="U114">
        <v>21.576000000000001</v>
      </c>
      <c r="V114">
        <v>21.582000000000001</v>
      </c>
      <c r="W114">
        <v>43.158000000000001</v>
      </c>
      <c r="X114">
        <v>32.095145816733059</v>
      </c>
      <c r="Y114">
        <v>5994.1666666666679</v>
      </c>
      <c r="Z114">
        <v>95.163842792031687</v>
      </c>
      <c r="AA114">
        <v>5899.0028238746363</v>
      </c>
      <c r="AB114">
        <v>5.880112291666667E-4</v>
      </c>
      <c r="AC114">
        <v>24.50817031872511</v>
      </c>
      <c r="AD114">
        <v>297.65817031872513</v>
      </c>
      <c r="AE114">
        <v>297.58323000000001</v>
      </c>
      <c r="AF114">
        <v>304.65535999999997</v>
      </c>
      <c r="AG114">
        <v>303.70087000000001</v>
      </c>
      <c r="AH114">
        <v>305.93601999999998</v>
      </c>
      <c r="AI114">
        <v>305.88668999999999</v>
      </c>
      <c r="AJ114">
        <v>10879.664000000001</v>
      </c>
      <c r="AK114">
        <v>2.1844620999999999E-3</v>
      </c>
      <c r="AL114">
        <v>2.9700471E-4</v>
      </c>
      <c r="AM114">
        <v>2.9698281999999997E-4</v>
      </c>
      <c r="AN114">
        <v>500.51774265742642</v>
      </c>
      <c r="AO114">
        <v>60.412974126764219</v>
      </c>
      <c r="AP114">
        <v>23166.982403718459</v>
      </c>
      <c r="AQ114">
        <v>366</v>
      </c>
      <c r="AR114">
        <v>22800.982403718459</v>
      </c>
      <c r="AS114">
        <v>2.129383996024</v>
      </c>
      <c r="AT114">
        <v>7.4680469057968848</v>
      </c>
      <c r="AU114">
        <v>3.5697264209709112</v>
      </c>
      <c r="AV114">
        <v>10898.869588977421</v>
      </c>
      <c r="AW114">
        <v>411.42683261031812</v>
      </c>
      <c r="AZ114">
        <f t="shared" si="4"/>
        <v>60.829495199245535</v>
      </c>
      <c r="BA114">
        <f t="shared" si="5"/>
        <v>-6.8945632705870842E-3</v>
      </c>
      <c r="BB114">
        <f t="shared" si="6"/>
        <v>59.69038691657294</v>
      </c>
      <c r="BC114">
        <f t="shared" si="7"/>
        <v>1.1960795187389345E-2</v>
      </c>
      <c r="BD114">
        <v>0.79400000000000004</v>
      </c>
      <c r="BF114">
        <v>0.72</v>
      </c>
    </row>
    <row r="115" spans="1:58" x14ac:dyDescent="0.25">
      <c r="A115" t="s">
        <v>83</v>
      </c>
      <c r="B115">
        <v>6</v>
      </c>
      <c r="C115">
        <v>0.4</v>
      </c>
      <c r="D115">
        <v>4000</v>
      </c>
      <c r="E115">
        <v>3.1382250686184818</v>
      </c>
      <c r="F115">
        <v>6073.8853349717492</v>
      </c>
      <c r="G115">
        <v>14.292</v>
      </c>
      <c r="H115">
        <v>24</v>
      </c>
      <c r="I115">
        <v>130725</v>
      </c>
      <c r="J115">
        <v>1.8445999999999999E-5</v>
      </c>
      <c r="K115">
        <v>1007</v>
      </c>
      <c r="L115">
        <v>6.720492666666667E-3</v>
      </c>
      <c r="M115">
        <v>1.5329999999999999</v>
      </c>
      <c r="N115">
        <v>15.336842352530789</v>
      </c>
      <c r="O115">
        <v>334.90827242524921</v>
      </c>
      <c r="P115">
        <v>335</v>
      </c>
      <c r="Q115">
        <v>0.7</v>
      </c>
      <c r="R115">
        <v>41.94</v>
      </c>
      <c r="S115">
        <v>0.7</v>
      </c>
      <c r="T115">
        <v>41.97</v>
      </c>
      <c r="U115">
        <v>29.358000000000001</v>
      </c>
      <c r="V115">
        <v>29.379000000000001</v>
      </c>
      <c r="W115">
        <v>58.736999999999988</v>
      </c>
      <c r="X115">
        <v>33.883617617415851</v>
      </c>
      <c r="Y115">
        <v>8157.9166666666661</v>
      </c>
      <c r="Z115">
        <v>133.281542279984</v>
      </c>
      <c r="AA115">
        <v>8024.635124386682</v>
      </c>
      <c r="AB115">
        <v>6.720492666666667E-4</v>
      </c>
      <c r="AC115">
        <v>24.48260733723038</v>
      </c>
      <c r="AD115">
        <v>297.63260733723041</v>
      </c>
      <c r="AE115">
        <v>297.53674000000001</v>
      </c>
      <c r="AF115">
        <v>306.18729999999999</v>
      </c>
      <c r="AG115">
        <v>304.92027999999999</v>
      </c>
      <c r="AH115">
        <v>307.85707000000002</v>
      </c>
      <c r="AI115">
        <v>307.98822000000001</v>
      </c>
      <c r="AJ115">
        <v>15006.679</v>
      </c>
      <c r="AK115">
        <v>2.1844620999999999E-3</v>
      </c>
      <c r="AL115">
        <v>2.9700471E-4</v>
      </c>
      <c r="AM115">
        <v>2.9698281999999997E-4</v>
      </c>
      <c r="AN115">
        <v>562.00459377148229</v>
      </c>
      <c r="AO115">
        <v>67.834496340477386</v>
      </c>
      <c r="AP115">
        <v>29419.89115097763</v>
      </c>
      <c r="AQ115">
        <v>418</v>
      </c>
      <c r="AR115">
        <v>29001.89115097763</v>
      </c>
      <c r="AS115">
        <v>1.9604531522915649</v>
      </c>
      <c r="AT115">
        <v>7.4777242343641177</v>
      </c>
      <c r="AU115">
        <v>3.5743521840260479</v>
      </c>
      <c r="AV115">
        <v>13862.903970167299</v>
      </c>
      <c r="AW115">
        <v>470.22758652859409</v>
      </c>
      <c r="AZ115">
        <f t="shared" si="4"/>
        <v>67.595261446295439</v>
      </c>
      <c r="BA115">
        <f t="shared" si="5"/>
        <v>3.5267438705694995E-3</v>
      </c>
      <c r="BB115">
        <f t="shared" si="6"/>
        <v>67.792061144471845</v>
      </c>
      <c r="BC115">
        <f t="shared" si="7"/>
        <v>6.2556955966105369E-4</v>
      </c>
      <c r="BD115">
        <v>0.79400000000000004</v>
      </c>
      <c r="BF115">
        <v>0.72</v>
      </c>
    </row>
    <row r="116" spans="1:58" x14ac:dyDescent="0.25">
      <c r="A116" t="s">
        <v>83</v>
      </c>
      <c r="B116">
        <v>6</v>
      </c>
      <c r="C116">
        <v>0.4</v>
      </c>
      <c r="D116">
        <v>4500</v>
      </c>
      <c r="E116">
        <v>3.1382250686184818</v>
      </c>
      <c r="F116">
        <v>6835.0168350168333</v>
      </c>
      <c r="G116">
        <v>14.292</v>
      </c>
      <c r="H116">
        <v>24</v>
      </c>
      <c r="I116">
        <v>137425</v>
      </c>
      <c r="J116">
        <v>1.8447000000000001E-5</v>
      </c>
      <c r="K116">
        <v>1007</v>
      </c>
      <c r="L116">
        <v>7.5609641249999998E-3</v>
      </c>
      <c r="M116">
        <v>1.611</v>
      </c>
      <c r="N116">
        <v>16.419451070020809</v>
      </c>
      <c r="O116">
        <v>376.79223214285719</v>
      </c>
      <c r="P116">
        <v>377</v>
      </c>
      <c r="Q116">
        <v>0.7</v>
      </c>
      <c r="R116">
        <v>41.94</v>
      </c>
      <c r="S116">
        <v>0.7</v>
      </c>
      <c r="T116">
        <v>41.97</v>
      </c>
      <c r="U116">
        <v>29.358000000000001</v>
      </c>
      <c r="V116">
        <v>29.379000000000001</v>
      </c>
      <c r="W116">
        <v>58.736999999999988</v>
      </c>
      <c r="X116">
        <v>33.14551753588951</v>
      </c>
      <c r="Y116">
        <v>8157.9166666666661</v>
      </c>
      <c r="Z116">
        <v>117.5504152424131</v>
      </c>
      <c r="AA116">
        <v>8040.3662514242533</v>
      </c>
      <c r="AB116">
        <v>7.5609641250000002E-4</v>
      </c>
      <c r="AC116">
        <v>24.479105942213341</v>
      </c>
      <c r="AD116">
        <v>297.6291059422133</v>
      </c>
      <c r="AE116">
        <v>297.51758000000001</v>
      </c>
      <c r="AF116">
        <v>305.04176999999999</v>
      </c>
      <c r="AG116">
        <v>304.11275000000001</v>
      </c>
      <c r="AH116">
        <v>307.13310999999999</v>
      </c>
      <c r="AI116">
        <v>307.00993999999997</v>
      </c>
      <c r="AJ116">
        <v>17852.113000000001</v>
      </c>
      <c r="AK116">
        <v>2.1844620999999999E-3</v>
      </c>
      <c r="AL116">
        <v>2.9700471E-4</v>
      </c>
      <c r="AM116">
        <v>2.9698281999999997E-4</v>
      </c>
      <c r="AN116">
        <v>601.2092500285579</v>
      </c>
      <c r="AO116">
        <v>72.566536150959124</v>
      </c>
      <c r="AP116">
        <v>36069.602640983707</v>
      </c>
      <c r="AQ116">
        <v>470</v>
      </c>
      <c r="AR116">
        <v>35599.602640983707</v>
      </c>
      <c r="AS116">
        <v>2.0204668568355859</v>
      </c>
      <c r="AT116">
        <v>7.4592083263916491</v>
      </c>
      <c r="AU116">
        <v>3.5655015800152081</v>
      </c>
      <c r="AV116">
        <v>17016.610062390209</v>
      </c>
      <c r="AW116">
        <v>529.03471347607046</v>
      </c>
      <c r="AZ116">
        <f t="shared" si="4"/>
        <v>74.185070609492826</v>
      </c>
      <c r="BA116">
        <f t="shared" si="5"/>
        <v>-2.2304143815913825E-2</v>
      </c>
      <c r="BB116">
        <f t="shared" si="6"/>
        <v>75.846291984160302</v>
      </c>
      <c r="BC116">
        <f t="shared" si="7"/>
        <v>-4.5196532825796588E-2</v>
      </c>
      <c r="BD116">
        <v>0.79400000000000004</v>
      </c>
      <c r="BF116">
        <v>0.72</v>
      </c>
    </row>
    <row r="117" spans="1:58" x14ac:dyDescent="0.25">
      <c r="A117" t="s">
        <v>83</v>
      </c>
      <c r="B117">
        <v>6</v>
      </c>
      <c r="C117">
        <v>0.4</v>
      </c>
      <c r="D117">
        <v>5000</v>
      </c>
      <c r="E117">
        <v>3.1382250686184818</v>
      </c>
      <c r="F117">
        <v>7596.0658186373712</v>
      </c>
      <c r="G117">
        <v>14.292</v>
      </c>
      <c r="H117">
        <v>24</v>
      </c>
      <c r="I117">
        <v>144125</v>
      </c>
      <c r="J117">
        <v>1.8448E-5</v>
      </c>
      <c r="K117">
        <v>1007</v>
      </c>
      <c r="L117">
        <v>8.4015266666666675E-3</v>
      </c>
      <c r="M117">
        <v>1.69</v>
      </c>
      <c r="N117">
        <v>17.391958977891939</v>
      </c>
      <c r="O117">
        <v>418.68073089701011</v>
      </c>
      <c r="P117">
        <v>419</v>
      </c>
      <c r="Q117">
        <v>0.7</v>
      </c>
      <c r="R117">
        <v>41.94</v>
      </c>
      <c r="S117">
        <v>0.7</v>
      </c>
      <c r="T117">
        <v>41.97</v>
      </c>
      <c r="U117">
        <v>29.358000000000001</v>
      </c>
      <c r="V117">
        <v>29.379000000000001</v>
      </c>
      <c r="W117">
        <v>58.736999999999988</v>
      </c>
      <c r="X117">
        <v>32.537010794714313</v>
      </c>
      <c r="Y117">
        <v>8157.9166666666661</v>
      </c>
      <c r="Z117">
        <v>104.581311067746</v>
      </c>
      <c r="AA117">
        <v>8053.3353555989197</v>
      </c>
      <c r="AB117">
        <v>8.4015266666666679E-4</v>
      </c>
      <c r="AC117">
        <v>24.457901544760819</v>
      </c>
      <c r="AD117">
        <v>297.60790154476081</v>
      </c>
      <c r="AE117">
        <v>297.47811999999999</v>
      </c>
      <c r="AF117">
        <v>304.21598999999998</v>
      </c>
      <c r="AG117">
        <v>303.27372000000003</v>
      </c>
      <c r="AH117">
        <v>306.09053</v>
      </c>
      <c r="AI117">
        <v>306.22435999999999</v>
      </c>
      <c r="AJ117">
        <v>20932.629000000001</v>
      </c>
      <c r="AK117">
        <v>2.1844620999999999E-3</v>
      </c>
      <c r="AL117">
        <v>2.9700471E-4</v>
      </c>
      <c r="AM117">
        <v>2.9698281999999997E-4</v>
      </c>
      <c r="AN117">
        <v>685.77433367764058</v>
      </c>
      <c r="AO117">
        <v>82.773623283165662</v>
      </c>
      <c r="AP117">
        <v>42985.712513183207</v>
      </c>
      <c r="AQ117">
        <v>522</v>
      </c>
      <c r="AR117">
        <v>42463.712513183207</v>
      </c>
      <c r="AS117">
        <v>2.053526698112464</v>
      </c>
      <c r="AT117">
        <v>7.4092519025588963</v>
      </c>
      <c r="AU117">
        <v>3.5416224094231521</v>
      </c>
      <c r="AV117">
        <v>20297.654581301569</v>
      </c>
      <c r="AW117">
        <v>587.84821345274747</v>
      </c>
      <c r="AZ117">
        <f t="shared" si="4"/>
        <v>80.622410798382987</v>
      </c>
      <c r="BA117">
        <f t="shared" si="5"/>
        <v>2.5989106184508233E-2</v>
      </c>
      <c r="BB117">
        <f t="shared" si="6"/>
        <v>83.858607816734718</v>
      </c>
      <c r="BC117">
        <f t="shared" si="7"/>
        <v>-1.3107853571389064E-2</v>
      </c>
      <c r="BD117">
        <v>0.79400000000000004</v>
      </c>
      <c r="BF117">
        <v>0.72</v>
      </c>
    </row>
    <row r="118" spans="1:58" x14ac:dyDescent="0.25">
      <c r="A118" t="s">
        <v>83</v>
      </c>
      <c r="B118">
        <v>6</v>
      </c>
      <c r="C118">
        <v>0.4</v>
      </c>
      <c r="D118">
        <v>6000</v>
      </c>
      <c r="E118">
        <v>3.1382250686184818</v>
      </c>
      <c r="F118">
        <v>9099.7892201144223</v>
      </c>
      <c r="G118">
        <v>14.292</v>
      </c>
      <c r="H118">
        <v>24</v>
      </c>
      <c r="I118">
        <v>158525</v>
      </c>
      <c r="J118">
        <v>1.8450000000000001E-5</v>
      </c>
      <c r="K118">
        <v>1007</v>
      </c>
      <c r="L118">
        <v>1.0082925E-2</v>
      </c>
      <c r="M118">
        <v>1.859</v>
      </c>
      <c r="N118">
        <v>18.975103079443318</v>
      </c>
      <c r="O118">
        <v>502.4713455149502</v>
      </c>
      <c r="P118">
        <v>502</v>
      </c>
      <c r="Q118">
        <v>0.8</v>
      </c>
      <c r="R118">
        <v>47.98</v>
      </c>
      <c r="S118">
        <v>0.8</v>
      </c>
      <c r="T118">
        <v>47.96</v>
      </c>
      <c r="U118">
        <v>38.384</v>
      </c>
      <c r="V118">
        <v>38.368000000000002</v>
      </c>
      <c r="W118">
        <v>76.75200000000001</v>
      </c>
      <c r="X118">
        <v>33.899343775100398</v>
      </c>
      <c r="Y118">
        <v>10660</v>
      </c>
      <c r="Z118">
        <v>133.61671387871479</v>
      </c>
      <c r="AA118">
        <v>10526.38328612129</v>
      </c>
      <c r="AB118">
        <v>1.0082925E-3</v>
      </c>
      <c r="AC118">
        <v>24.41500502008028</v>
      </c>
      <c r="AD118">
        <v>297.56500502008032</v>
      </c>
      <c r="AE118">
        <v>297.40566000000001</v>
      </c>
      <c r="AF118">
        <v>304.81016</v>
      </c>
      <c r="AG118">
        <v>303.61410000000001</v>
      </c>
      <c r="AH118">
        <v>307.34840000000003</v>
      </c>
      <c r="AI118">
        <v>307.37562000000003</v>
      </c>
      <c r="AJ118">
        <v>30057.337</v>
      </c>
      <c r="AK118">
        <v>2.1844620999999999E-3</v>
      </c>
      <c r="AL118">
        <v>2.9700471E-4</v>
      </c>
      <c r="AM118">
        <v>2.9698281999999997E-4</v>
      </c>
      <c r="AN118">
        <v>824.74212668231235</v>
      </c>
      <c r="AO118">
        <v>99.547169888467408</v>
      </c>
      <c r="AP118">
        <v>57339.106425702797</v>
      </c>
      <c r="AQ118">
        <v>627</v>
      </c>
      <c r="AR118">
        <v>56712.106425702797</v>
      </c>
      <c r="AS118">
        <v>1.9076575687893711</v>
      </c>
      <c r="AT118">
        <v>7.2731702849107727</v>
      </c>
      <c r="AU118">
        <v>3.4765753961873491</v>
      </c>
      <c r="AV118">
        <v>27108.386871485942</v>
      </c>
      <c r="AW118">
        <v>705.4943324937027</v>
      </c>
      <c r="AZ118">
        <f t="shared" si="4"/>
        <v>93.109314352319657</v>
      </c>
      <c r="BA118">
        <f t="shared" si="5"/>
        <v>6.4671406965770298E-2</v>
      </c>
      <c r="BB118">
        <f t="shared" si="6"/>
        <v>99.774247503130752</v>
      </c>
      <c r="BC118">
        <f t="shared" si="7"/>
        <v>-2.2811056800284869E-3</v>
      </c>
      <c r="BD118">
        <v>0.79400000000000004</v>
      </c>
      <c r="BF118">
        <v>0.72</v>
      </c>
    </row>
    <row r="119" spans="1:58" x14ac:dyDescent="0.25">
      <c r="A119" t="s">
        <v>83</v>
      </c>
      <c r="B119">
        <v>6</v>
      </c>
      <c r="C119">
        <v>0.4</v>
      </c>
      <c r="D119">
        <v>7000</v>
      </c>
      <c r="E119">
        <v>3.1382250686184818</v>
      </c>
      <c r="F119">
        <v>10621.311751812509</v>
      </c>
      <c r="G119">
        <v>14.292</v>
      </c>
      <c r="H119">
        <v>24</v>
      </c>
      <c r="I119">
        <v>172635</v>
      </c>
      <c r="J119">
        <v>1.8451999999999999E-5</v>
      </c>
      <c r="K119">
        <v>1007</v>
      </c>
      <c r="L119">
        <v>1.1764687666666669E-2</v>
      </c>
      <c r="M119">
        <v>2.0249999999999999</v>
      </c>
      <c r="N119">
        <v>20.325085028431111</v>
      </c>
      <c r="O119">
        <v>586.28011627906983</v>
      </c>
      <c r="P119">
        <v>586</v>
      </c>
      <c r="Q119">
        <v>0.8</v>
      </c>
      <c r="R119">
        <v>47.98</v>
      </c>
      <c r="S119">
        <v>0.8</v>
      </c>
      <c r="T119">
        <v>47.96</v>
      </c>
      <c r="U119">
        <v>38.384</v>
      </c>
      <c r="V119">
        <v>38.368000000000002</v>
      </c>
      <c r="W119">
        <v>76.75200000000001</v>
      </c>
      <c r="X119">
        <v>33.047811478525283</v>
      </c>
      <c r="Y119">
        <v>10660</v>
      </c>
      <c r="Z119">
        <v>115.4680060418092</v>
      </c>
      <c r="AA119">
        <v>10544.53199395819</v>
      </c>
      <c r="AB119">
        <v>1.176468766666667E-3</v>
      </c>
      <c r="AC119">
        <v>24.375820030406661</v>
      </c>
      <c r="AD119">
        <v>297.52582003040658</v>
      </c>
      <c r="AE119">
        <v>297.33118999999999</v>
      </c>
      <c r="AF119">
        <v>303.42655000000002</v>
      </c>
      <c r="AG119">
        <v>302.45188000000002</v>
      </c>
      <c r="AH119">
        <v>306.10678000000001</v>
      </c>
      <c r="AI119">
        <v>306.00776000000002</v>
      </c>
      <c r="AJ119">
        <v>38005.557999999997</v>
      </c>
      <c r="AK119">
        <v>2.1844620999999999E-3</v>
      </c>
      <c r="AL119">
        <v>2.9700471E-4</v>
      </c>
      <c r="AM119">
        <v>2.9698281999999997E-4</v>
      </c>
      <c r="AN119">
        <v>960.86110382485163</v>
      </c>
      <c r="AO119">
        <v>115.9768616724452</v>
      </c>
      <c r="AP119">
        <v>71655.972697326753</v>
      </c>
      <c r="AQ119">
        <v>732</v>
      </c>
      <c r="AR119">
        <v>70923.972697326753</v>
      </c>
      <c r="AS119">
        <v>1.88540772634694</v>
      </c>
      <c r="AT119">
        <v>7.0446943408640079</v>
      </c>
      <c r="AU119">
        <v>3.3673638949329958</v>
      </c>
      <c r="AV119">
        <v>33901.658949322184</v>
      </c>
      <c r="AW119">
        <v>823.16594365146</v>
      </c>
      <c r="AZ119">
        <f t="shared" si="4"/>
        <v>105.16414686586705</v>
      </c>
      <c r="BA119">
        <f t="shared" si="5"/>
        <v>9.3231655441036329E-2</v>
      </c>
      <c r="BB119">
        <f t="shared" si="6"/>
        <v>115.56547909999277</v>
      </c>
      <c r="BC119">
        <f t="shared" si="7"/>
        <v>3.5471090226108833E-3</v>
      </c>
      <c r="BD119">
        <v>0.79400000000000004</v>
      </c>
      <c r="BF119">
        <v>0.72</v>
      </c>
    </row>
    <row r="120" spans="1:58" x14ac:dyDescent="0.25">
      <c r="A120" t="s">
        <v>84</v>
      </c>
    </row>
    <row r="121" spans="1:58" x14ac:dyDescent="0.25">
      <c r="A121" t="s">
        <v>85</v>
      </c>
      <c r="B121">
        <v>6</v>
      </c>
      <c r="C121">
        <v>0.5</v>
      </c>
      <c r="D121">
        <v>400</v>
      </c>
      <c r="E121">
        <v>2.9737971872686901</v>
      </c>
      <c r="F121">
        <v>615.95315048540749</v>
      </c>
      <c r="G121">
        <v>13.391999999999999</v>
      </c>
      <c r="H121">
        <v>24.4</v>
      </c>
      <c r="I121">
        <v>102225</v>
      </c>
      <c r="J121">
        <v>1.8461000000000002E-5</v>
      </c>
      <c r="K121">
        <v>1007</v>
      </c>
      <c r="L121">
        <v>6.6508829333333341E-4</v>
      </c>
      <c r="M121">
        <v>1.1970000000000001</v>
      </c>
      <c r="N121">
        <v>2.074482219753552</v>
      </c>
      <c r="O121">
        <v>33.143934883720938</v>
      </c>
      <c r="P121">
        <v>34</v>
      </c>
      <c r="Q121">
        <v>0.5</v>
      </c>
      <c r="R121">
        <v>29.85</v>
      </c>
      <c r="S121">
        <v>0.5</v>
      </c>
      <c r="T121">
        <v>29.62</v>
      </c>
      <c r="U121">
        <v>14.925000000000001</v>
      </c>
      <c r="V121">
        <v>14.81</v>
      </c>
      <c r="W121">
        <v>29.734999999999999</v>
      </c>
      <c r="X121">
        <v>45.857896297732097</v>
      </c>
      <c r="Y121">
        <v>4129.8611111111113</v>
      </c>
      <c r="Z121">
        <v>388.48934379356427</v>
      </c>
      <c r="AA121">
        <v>3741.371767317547</v>
      </c>
      <c r="AB121">
        <v>6.6508829333333338E-5</v>
      </c>
      <c r="AC121">
        <v>24.944380693932899</v>
      </c>
      <c r="AD121">
        <v>298.09438069393292</v>
      </c>
      <c r="AE121">
        <v>298.08881000000002</v>
      </c>
      <c r="AF121">
        <v>338.3109</v>
      </c>
      <c r="AG121">
        <v>328.81301000000002</v>
      </c>
      <c r="AH121">
        <v>330.16377</v>
      </c>
      <c r="AI121">
        <v>330.29746999999998</v>
      </c>
      <c r="AJ121">
        <v>273.64742000000001</v>
      </c>
      <c r="AK121">
        <v>2.1613107999999999E-3</v>
      </c>
      <c r="AL121">
        <v>2.8108037E-4</v>
      </c>
      <c r="AM121">
        <v>2.8036445000000001E-4</v>
      </c>
      <c r="AN121">
        <v>90.721641815795394</v>
      </c>
      <c r="AO121">
        <v>10.376452432931149</v>
      </c>
      <c r="AP121">
        <v>722.38224462104995</v>
      </c>
      <c r="AQ121">
        <v>42</v>
      </c>
      <c r="AR121">
        <v>680.38224462104995</v>
      </c>
      <c r="AS121">
        <v>2.6398284501313771</v>
      </c>
      <c r="AT121">
        <v>13.065363072640119</v>
      </c>
      <c r="AU121">
        <v>5.8532826565427722</v>
      </c>
      <c r="AV121">
        <v>304.81124559023039</v>
      </c>
      <c r="AW121">
        <v>49.663104340900048</v>
      </c>
      <c r="AZ121">
        <f t="shared" si="4"/>
        <v>10.826442130935622</v>
      </c>
      <c r="BA121">
        <f t="shared" si="5"/>
        <v>-4.3366429992621185E-2</v>
      </c>
      <c r="BB121">
        <f t="shared" si="6"/>
        <v>8.1136094946415103</v>
      </c>
      <c r="BC121">
        <f t="shared" si="7"/>
        <v>0.21807481438532736</v>
      </c>
      <c r="BD121">
        <v>0.74399999999999999</v>
      </c>
      <c r="BF121">
        <v>0.72</v>
      </c>
    </row>
    <row r="122" spans="1:58" x14ac:dyDescent="0.25">
      <c r="A122" t="s">
        <v>85</v>
      </c>
      <c r="B122">
        <v>6</v>
      </c>
      <c r="C122">
        <v>0.5</v>
      </c>
      <c r="D122">
        <v>600</v>
      </c>
      <c r="E122">
        <v>2.9737971872686901</v>
      </c>
      <c r="F122">
        <v>905.81345659618762</v>
      </c>
      <c r="G122">
        <v>13.391999999999999</v>
      </c>
      <c r="H122">
        <v>24.4</v>
      </c>
      <c r="I122">
        <v>102625</v>
      </c>
      <c r="J122">
        <v>1.8461000000000002E-5</v>
      </c>
      <c r="K122">
        <v>1007</v>
      </c>
      <c r="L122">
        <v>9.9763244000000001E-4</v>
      </c>
      <c r="M122">
        <v>1.202</v>
      </c>
      <c r="N122">
        <v>3.0987793889912671</v>
      </c>
      <c r="O122">
        <v>49.715902325581403</v>
      </c>
      <c r="P122">
        <v>50</v>
      </c>
      <c r="Q122">
        <v>0.5</v>
      </c>
      <c r="R122">
        <v>29.85</v>
      </c>
      <c r="S122">
        <v>0.5</v>
      </c>
      <c r="T122">
        <v>29.62</v>
      </c>
      <c r="U122">
        <v>14.925000000000001</v>
      </c>
      <c r="V122">
        <v>14.81</v>
      </c>
      <c r="W122">
        <v>29.734999999999999</v>
      </c>
      <c r="X122">
        <v>43.62143151227238</v>
      </c>
      <c r="Y122">
        <v>4129.8611111111113</v>
      </c>
      <c r="Z122">
        <v>340.82356982106108</v>
      </c>
      <c r="AA122">
        <v>3789.0375412900498</v>
      </c>
      <c r="AB122">
        <v>9.9763244000000001E-5</v>
      </c>
      <c r="AC122">
        <v>24.977519794140921</v>
      </c>
      <c r="AD122">
        <v>298.12751979414088</v>
      </c>
      <c r="AE122">
        <v>298.12732</v>
      </c>
      <c r="AF122">
        <v>325.14069000000001</v>
      </c>
      <c r="AG122">
        <v>318.86081999999999</v>
      </c>
      <c r="AH122">
        <v>320.26274000000001</v>
      </c>
      <c r="AI122">
        <v>320.28019999999998</v>
      </c>
      <c r="AJ122">
        <v>569.88001999999994</v>
      </c>
      <c r="AK122">
        <v>2.1613107999999999E-3</v>
      </c>
      <c r="AL122">
        <v>2.8108037E-4</v>
      </c>
      <c r="AM122">
        <v>2.8036445000000001E-4</v>
      </c>
      <c r="AN122">
        <v>133.28093293306199</v>
      </c>
      <c r="AO122">
        <v>15.24424859511103</v>
      </c>
      <c r="AP122">
        <v>1347.503299023489</v>
      </c>
      <c r="AQ122">
        <v>63</v>
      </c>
      <c r="AR122">
        <v>1284.503299023489</v>
      </c>
      <c r="AS122">
        <v>2.3645385901114571</v>
      </c>
      <c r="AT122">
        <v>10.98573739552142</v>
      </c>
      <c r="AU122">
        <v>4.9216103531935937</v>
      </c>
      <c r="AV122">
        <v>575.45747796252294</v>
      </c>
      <c r="AW122">
        <v>74.494656511350058</v>
      </c>
      <c r="AZ122">
        <f t="shared" si="4"/>
        <v>14.912918185653812</v>
      </c>
      <c r="BA122">
        <f t="shared" si="5"/>
        <v>2.1734781310472628E-2</v>
      </c>
      <c r="BB122">
        <f t="shared" si="6"/>
        <v>11.941358150136839</v>
      </c>
      <c r="BC122">
        <f t="shared" si="7"/>
        <v>0.21666469320327522</v>
      </c>
      <c r="BD122">
        <v>0.74399999999999999</v>
      </c>
      <c r="BF122">
        <v>0.72</v>
      </c>
    </row>
    <row r="123" spans="1:58" x14ac:dyDescent="0.25">
      <c r="A123" t="s">
        <v>85</v>
      </c>
      <c r="B123">
        <v>6</v>
      </c>
      <c r="C123">
        <v>0.5</v>
      </c>
      <c r="D123">
        <v>800</v>
      </c>
      <c r="E123">
        <v>2.9737971872686901</v>
      </c>
      <c r="F123">
        <v>1195.3500126358349</v>
      </c>
      <c r="G123">
        <v>13.391999999999999</v>
      </c>
      <c r="H123">
        <v>24.5</v>
      </c>
      <c r="I123">
        <v>103515</v>
      </c>
      <c r="J123">
        <v>1.8465999999999999E-5</v>
      </c>
      <c r="K123">
        <v>1007</v>
      </c>
      <c r="L123">
        <v>1.330536853333333E-3</v>
      </c>
      <c r="M123">
        <v>1.212</v>
      </c>
      <c r="N123">
        <v>4.0987256730452009</v>
      </c>
      <c r="O123">
        <v>66.305823255813934</v>
      </c>
      <c r="P123">
        <v>66</v>
      </c>
      <c r="Q123">
        <v>0.5</v>
      </c>
      <c r="R123">
        <v>29.85</v>
      </c>
      <c r="S123">
        <v>0.5</v>
      </c>
      <c r="T123">
        <v>29.62</v>
      </c>
      <c r="U123">
        <v>14.925000000000001</v>
      </c>
      <c r="V123">
        <v>14.81</v>
      </c>
      <c r="W123">
        <v>29.734999999999999</v>
      </c>
      <c r="X123">
        <v>40.034332214765087</v>
      </c>
      <c r="Y123">
        <v>4129.8611111111113</v>
      </c>
      <c r="Z123">
        <v>264.3717224932883</v>
      </c>
      <c r="AA123">
        <v>3865.4893886178229</v>
      </c>
      <c r="AB123">
        <v>1.330536853333333E-4</v>
      </c>
      <c r="AC123">
        <v>25.012293997017188</v>
      </c>
      <c r="AD123">
        <v>298.16229399701717</v>
      </c>
      <c r="AE123">
        <v>298.15523999999999</v>
      </c>
      <c r="AF123">
        <v>318.71489000000003</v>
      </c>
      <c r="AG123">
        <v>314.28357</v>
      </c>
      <c r="AH123">
        <v>315.67833999999999</v>
      </c>
      <c r="AI123">
        <v>315.69448999999997</v>
      </c>
      <c r="AJ123">
        <v>895.93131000000005</v>
      </c>
      <c r="AK123">
        <v>2.1613107999999999E-3</v>
      </c>
      <c r="AL123">
        <v>2.8108037E-4</v>
      </c>
      <c r="AM123">
        <v>2.8036445000000001E-4</v>
      </c>
      <c r="AN123">
        <v>166.5395102100033</v>
      </c>
      <c r="AO123">
        <v>19.048258731985118</v>
      </c>
      <c r="AP123">
        <v>2194.634290330599</v>
      </c>
      <c r="AQ123">
        <v>84</v>
      </c>
      <c r="AR123">
        <v>2110.634290330599</v>
      </c>
      <c r="AS123">
        <v>2.449556417813548</v>
      </c>
      <c r="AT123">
        <v>10.19071380698427</v>
      </c>
      <c r="AU123">
        <v>4.5654397855289526</v>
      </c>
      <c r="AV123">
        <v>945.56416206810843</v>
      </c>
      <c r="AW123">
        <v>99.353110314615677</v>
      </c>
      <c r="AZ123">
        <f t="shared" si="4"/>
        <v>18.717129684591661</v>
      </c>
      <c r="BA123">
        <f t="shared" si="5"/>
        <v>1.7383691184194045E-2</v>
      </c>
      <c r="BB123">
        <f t="shared" si="6"/>
        <v>15.708612674751475</v>
      </c>
      <c r="BC123">
        <f t="shared" si="7"/>
        <v>0.17532552997224024</v>
      </c>
      <c r="BD123">
        <v>0.74399999999999999</v>
      </c>
      <c r="BF123">
        <v>0.72</v>
      </c>
    </row>
    <row r="124" spans="1:58" x14ac:dyDescent="0.25">
      <c r="A124" t="s">
        <v>85</v>
      </c>
      <c r="B124">
        <v>6</v>
      </c>
      <c r="C124">
        <v>0.5</v>
      </c>
      <c r="D124">
        <v>1000</v>
      </c>
      <c r="E124">
        <v>2.9737971872686901</v>
      </c>
      <c r="F124">
        <v>1503.2431977087019</v>
      </c>
      <c r="G124">
        <v>13.391999999999999</v>
      </c>
      <c r="H124">
        <v>24.5</v>
      </c>
      <c r="I124">
        <v>104675</v>
      </c>
      <c r="J124">
        <v>1.8465999999999999E-5</v>
      </c>
      <c r="K124">
        <v>1007</v>
      </c>
      <c r="L124">
        <v>1.6631710666666669E-3</v>
      </c>
      <c r="M124">
        <v>1.2250000000000001</v>
      </c>
      <c r="N124">
        <v>5.0690362405416174</v>
      </c>
      <c r="O124">
        <v>82.882279069767449</v>
      </c>
      <c r="P124">
        <v>83</v>
      </c>
      <c r="Q124">
        <v>0.5</v>
      </c>
      <c r="R124">
        <v>29.85</v>
      </c>
      <c r="S124">
        <v>0.5</v>
      </c>
      <c r="T124">
        <v>29.62</v>
      </c>
      <c r="U124">
        <v>14.925000000000001</v>
      </c>
      <c r="V124">
        <v>14.81</v>
      </c>
      <c r="W124">
        <v>29.734999999999999</v>
      </c>
      <c r="X124">
        <v>37.594468273092353</v>
      </c>
      <c r="Y124">
        <v>4129.8611111111113</v>
      </c>
      <c r="Z124">
        <v>212.37090230441709</v>
      </c>
      <c r="AA124">
        <v>3917.4902088066942</v>
      </c>
      <c r="AB124">
        <v>1.6631710666666671E-4</v>
      </c>
      <c r="AC124">
        <v>25.034247991967909</v>
      </c>
      <c r="AD124">
        <v>298.18424799196788</v>
      </c>
      <c r="AE124">
        <v>298.17266999999998</v>
      </c>
      <c r="AF124">
        <v>315.10271</v>
      </c>
      <c r="AG124">
        <v>311.36991999999998</v>
      </c>
      <c r="AH124">
        <v>312.71309000000002</v>
      </c>
      <c r="AI124">
        <v>312.81013000000002</v>
      </c>
      <c r="AJ124">
        <v>1354.6529</v>
      </c>
      <c r="AK124">
        <v>2.1613107999999999E-3</v>
      </c>
      <c r="AL124">
        <v>2.8108037E-4</v>
      </c>
      <c r="AM124">
        <v>2.8036445000000001E-4</v>
      </c>
      <c r="AN124">
        <v>206.39449167706621</v>
      </c>
      <c r="AO124">
        <v>23.60674456988502</v>
      </c>
      <c r="AP124">
        <v>3274.0130522088348</v>
      </c>
      <c r="AQ124">
        <v>104</v>
      </c>
      <c r="AR124">
        <v>3170.0130522088348</v>
      </c>
      <c r="AS124">
        <v>2.416864904809811</v>
      </c>
      <c r="AT124">
        <v>9.8486074386900704</v>
      </c>
      <c r="AU124">
        <v>4.4121761325331512</v>
      </c>
      <c r="AV124">
        <v>1420.1658473895579</v>
      </c>
      <c r="AW124">
        <v>124.19138789326961</v>
      </c>
      <c r="AZ124">
        <f t="shared" si="4"/>
        <v>22.3243476851802</v>
      </c>
      <c r="BA124">
        <f t="shared" si="5"/>
        <v>5.4323326154033361E-2</v>
      </c>
      <c r="BB124">
        <f t="shared" si="6"/>
        <v>19.431514065189223</v>
      </c>
      <c r="BC124">
        <f t="shared" si="7"/>
        <v>0.1768660008302082</v>
      </c>
      <c r="BD124">
        <v>0.74399999999999999</v>
      </c>
      <c r="BF124">
        <v>0.72</v>
      </c>
    </row>
    <row r="125" spans="1:58" x14ac:dyDescent="0.25">
      <c r="A125" t="s">
        <v>85</v>
      </c>
      <c r="B125">
        <v>6</v>
      </c>
      <c r="C125">
        <v>0.5</v>
      </c>
      <c r="D125">
        <v>1200</v>
      </c>
      <c r="E125">
        <v>2.9737971872686901</v>
      </c>
      <c r="F125">
        <v>1792.927925488709</v>
      </c>
      <c r="G125">
        <v>13.391999999999999</v>
      </c>
      <c r="H125">
        <v>24.5</v>
      </c>
      <c r="I125">
        <v>105725</v>
      </c>
      <c r="J125">
        <v>1.8467000000000001E-5</v>
      </c>
      <c r="K125">
        <v>1007</v>
      </c>
      <c r="L125">
        <v>1.9959133600000001E-3</v>
      </c>
      <c r="M125">
        <v>1.238</v>
      </c>
      <c r="N125">
        <v>6.0192946672765837</v>
      </c>
      <c r="O125">
        <v>99.464120930232568</v>
      </c>
      <c r="P125">
        <v>99</v>
      </c>
      <c r="Q125">
        <v>0.5</v>
      </c>
      <c r="R125">
        <v>29.85</v>
      </c>
      <c r="S125">
        <v>0.5</v>
      </c>
      <c r="T125">
        <v>29.62</v>
      </c>
      <c r="U125">
        <v>14.925000000000001</v>
      </c>
      <c r="V125">
        <v>14.81</v>
      </c>
      <c r="W125">
        <v>29.734999999999999</v>
      </c>
      <c r="X125">
        <v>36.089974648445242</v>
      </c>
      <c r="Y125">
        <v>4129.8611111111113</v>
      </c>
      <c r="Z125">
        <v>180.30562968231351</v>
      </c>
      <c r="AA125">
        <v>3949.555481428798</v>
      </c>
      <c r="AB125">
        <v>1.9959133600000001E-4</v>
      </c>
      <c r="AC125">
        <v>25.00796791443852</v>
      </c>
      <c r="AD125">
        <v>298.15796791443847</v>
      </c>
      <c r="AE125">
        <v>298.14944000000003</v>
      </c>
      <c r="AF125">
        <v>312.28552000000002</v>
      </c>
      <c r="AG125">
        <v>309.48345999999998</v>
      </c>
      <c r="AH125">
        <v>310.83326</v>
      </c>
      <c r="AI125">
        <v>310.87436000000002</v>
      </c>
      <c r="AJ125">
        <v>1816.3353999999999</v>
      </c>
      <c r="AK125">
        <v>2.1613107999999999E-3</v>
      </c>
      <c r="AL125">
        <v>2.8108037E-4</v>
      </c>
      <c r="AM125">
        <v>2.8036445000000001E-4</v>
      </c>
      <c r="AN125">
        <v>229.6145236764886</v>
      </c>
      <c r="AO125">
        <v>26.262577871737761</v>
      </c>
      <c r="AP125">
        <v>4448.0920314253644</v>
      </c>
      <c r="AQ125">
        <v>125</v>
      </c>
      <c r="AR125">
        <v>4323.0920314253644</v>
      </c>
      <c r="AS125">
        <v>2.4489375868715459</v>
      </c>
      <c r="AT125">
        <v>9.3762321745511628</v>
      </c>
      <c r="AU125">
        <v>4.2005520141989212</v>
      </c>
      <c r="AV125">
        <v>1936.7452300785631</v>
      </c>
      <c r="AW125">
        <v>149.03773596176819</v>
      </c>
      <c r="AZ125">
        <f t="shared" si="4"/>
        <v>25.781971609953597</v>
      </c>
      <c r="BA125">
        <f t="shared" si="5"/>
        <v>1.8300041379462756E-2</v>
      </c>
      <c r="BB125">
        <f t="shared" si="6"/>
        <v>23.119447653337502</v>
      </c>
      <c r="BC125">
        <f t="shared" si="7"/>
        <v>0.11968094806803831</v>
      </c>
      <c r="BD125">
        <v>0.74399999999999999</v>
      </c>
      <c r="BF125">
        <v>0.72</v>
      </c>
    </row>
    <row r="126" spans="1:58" x14ac:dyDescent="0.25">
      <c r="A126" t="s">
        <v>85</v>
      </c>
      <c r="B126">
        <v>6</v>
      </c>
      <c r="C126">
        <v>0.5</v>
      </c>
      <c r="D126">
        <v>1400</v>
      </c>
      <c r="E126">
        <v>2.9737971872686901</v>
      </c>
      <c r="F126">
        <v>2100.8044379463672</v>
      </c>
      <c r="G126">
        <v>13.391999999999999</v>
      </c>
      <c r="H126">
        <v>24.5</v>
      </c>
      <c r="I126">
        <v>107225</v>
      </c>
      <c r="J126">
        <v>1.8467000000000001E-5</v>
      </c>
      <c r="K126">
        <v>1007</v>
      </c>
      <c r="L126">
        <v>2.328565586666667E-3</v>
      </c>
      <c r="M126">
        <v>1.2549999999999999</v>
      </c>
      <c r="N126">
        <v>6.9273848056598784</v>
      </c>
      <c r="O126">
        <v>116.04147441860469</v>
      </c>
      <c r="P126">
        <v>116</v>
      </c>
      <c r="Q126">
        <v>0.5</v>
      </c>
      <c r="R126">
        <v>29.85</v>
      </c>
      <c r="S126">
        <v>0.5</v>
      </c>
      <c r="T126">
        <v>29.62</v>
      </c>
      <c r="U126">
        <v>14.925000000000001</v>
      </c>
      <c r="V126">
        <v>14.81</v>
      </c>
      <c r="W126">
        <v>29.734999999999999</v>
      </c>
      <c r="X126">
        <v>34.842265428516157</v>
      </c>
      <c r="Y126">
        <v>4129.8611111111113</v>
      </c>
      <c r="Z126">
        <v>153.71320307796489</v>
      </c>
      <c r="AA126">
        <v>3976.147908033146</v>
      </c>
      <c r="AB126">
        <v>2.328565586666667E-4</v>
      </c>
      <c r="AC126">
        <v>25.042259624685691</v>
      </c>
      <c r="AD126">
        <v>298.19225962468568</v>
      </c>
      <c r="AE126">
        <v>298.17586999999997</v>
      </c>
      <c r="AF126">
        <v>310.41397999999998</v>
      </c>
      <c r="AG126">
        <v>308.03494000000001</v>
      </c>
      <c r="AH126">
        <v>309.41653000000002</v>
      </c>
      <c r="AI126">
        <v>309.39278000000002</v>
      </c>
      <c r="AJ126">
        <v>2489.1469999999999</v>
      </c>
      <c r="AK126">
        <v>2.1613107999999999E-3</v>
      </c>
      <c r="AL126">
        <v>2.8108037E-4</v>
      </c>
      <c r="AM126">
        <v>2.8036445000000001E-4</v>
      </c>
      <c r="AN126">
        <v>261.39342717467872</v>
      </c>
      <c r="AO126">
        <v>29.89734763471472</v>
      </c>
      <c r="AP126">
        <v>5877.4482491777917</v>
      </c>
      <c r="AQ126">
        <v>146</v>
      </c>
      <c r="AR126">
        <v>5731.4482491777917</v>
      </c>
      <c r="AS126">
        <v>2.3612298707861741</v>
      </c>
      <c r="AT126">
        <v>9.1967072806864412</v>
      </c>
      <c r="AU126">
        <v>4.1201248617475246</v>
      </c>
      <c r="AV126">
        <v>2567.6888156316509</v>
      </c>
      <c r="AW126">
        <v>173.87735862206301</v>
      </c>
      <c r="AZ126">
        <f t="shared" si="4"/>
        <v>29.119955052200716</v>
      </c>
      <c r="BA126">
        <f t="shared" si="5"/>
        <v>2.6002058510747283E-2</v>
      </c>
      <c r="BB126">
        <f t="shared" si="6"/>
        <v>26.778553699453507</v>
      </c>
      <c r="BC126">
        <f t="shared" si="7"/>
        <v>0.10431674318961613</v>
      </c>
      <c r="BD126">
        <v>0.74399999999999999</v>
      </c>
      <c r="BF126">
        <v>0.72</v>
      </c>
    </row>
    <row r="127" spans="1:58" x14ac:dyDescent="0.25">
      <c r="A127" t="s">
        <v>85</v>
      </c>
      <c r="B127">
        <v>6</v>
      </c>
      <c r="C127">
        <v>0.5</v>
      </c>
      <c r="D127">
        <v>1600</v>
      </c>
      <c r="E127">
        <v>2.9737971872686901</v>
      </c>
      <c r="F127">
        <v>2408.6809504040239</v>
      </c>
      <c r="G127">
        <v>13.391999999999999</v>
      </c>
      <c r="H127">
        <v>24.5</v>
      </c>
      <c r="I127">
        <v>108825</v>
      </c>
      <c r="J127">
        <v>1.8467000000000001E-5</v>
      </c>
      <c r="K127">
        <v>1007</v>
      </c>
      <c r="L127">
        <v>2.6612178133333339E-3</v>
      </c>
      <c r="M127">
        <v>1.274</v>
      </c>
      <c r="N127">
        <v>7.7989396107675679</v>
      </c>
      <c r="O127">
        <v>132.6188279069768</v>
      </c>
      <c r="P127">
        <v>133</v>
      </c>
      <c r="Q127">
        <v>0.6</v>
      </c>
      <c r="R127">
        <v>35.81</v>
      </c>
      <c r="S127">
        <v>0.6</v>
      </c>
      <c r="T127">
        <v>35.5</v>
      </c>
      <c r="U127">
        <v>21.486000000000001</v>
      </c>
      <c r="V127">
        <v>21.3</v>
      </c>
      <c r="W127">
        <v>42.786000000000001</v>
      </c>
      <c r="X127">
        <v>37.819731948565767</v>
      </c>
      <c r="Y127">
        <v>5942.5</v>
      </c>
      <c r="Z127">
        <v>217.17194701978241</v>
      </c>
      <c r="AA127">
        <v>5725.3280529802178</v>
      </c>
      <c r="AB127">
        <v>2.661217813333334E-4</v>
      </c>
      <c r="AC127">
        <v>25.07313353115731</v>
      </c>
      <c r="AD127">
        <v>298.22313353115732</v>
      </c>
      <c r="AE127">
        <v>298.20181000000002</v>
      </c>
      <c r="AF127">
        <v>313.59143999999998</v>
      </c>
      <c r="AG127">
        <v>310.86604999999997</v>
      </c>
      <c r="AH127">
        <v>312.85309999999998</v>
      </c>
      <c r="AI127">
        <v>312.75310000000002</v>
      </c>
      <c r="AJ127">
        <v>3201.1003000000001</v>
      </c>
      <c r="AK127">
        <v>2.1613107999999999E-3</v>
      </c>
      <c r="AL127">
        <v>2.8108037E-4</v>
      </c>
      <c r="AM127">
        <v>2.8036445000000001E-4</v>
      </c>
      <c r="AN127">
        <v>281.99511022110869</v>
      </c>
      <c r="AO127">
        <v>32.253702523040673</v>
      </c>
      <c r="AP127">
        <v>7564.8710847345856</v>
      </c>
      <c r="AQ127">
        <v>167</v>
      </c>
      <c r="AR127">
        <v>7397.8710847345856</v>
      </c>
      <c r="AS127">
        <v>2.3632096391152091</v>
      </c>
      <c r="AT127">
        <v>9.1590400117168507</v>
      </c>
      <c r="AU127">
        <v>4.1032499252491492</v>
      </c>
      <c r="AV127">
        <v>3314.2462459610952</v>
      </c>
      <c r="AW127">
        <v>198.71698128235769</v>
      </c>
      <c r="AZ127">
        <f t="shared" si="4"/>
        <v>32.358824754513037</v>
      </c>
      <c r="BA127">
        <f t="shared" si="5"/>
        <v>-3.2592298945297738E-3</v>
      </c>
      <c r="BB127">
        <f t="shared" si="6"/>
        <v>30.413161038663684</v>
      </c>
      <c r="BC127">
        <f t="shared" si="7"/>
        <v>5.7064502379600722E-2</v>
      </c>
      <c r="BD127">
        <v>0.74399999999999999</v>
      </c>
      <c r="BF127">
        <v>0.72</v>
      </c>
    </row>
    <row r="128" spans="1:58" x14ac:dyDescent="0.25">
      <c r="A128" t="s">
        <v>85</v>
      </c>
      <c r="B128">
        <v>6</v>
      </c>
      <c r="C128">
        <v>0.5</v>
      </c>
      <c r="D128">
        <v>1800</v>
      </c>
      <c r="E128">
        <v>2.9737971872686901</v>
      </c>
      <c r="F128">
        <v>2697.716664260623</v>
      </c>
      <c r="G128">
        <v>13.391999999999999</v>
      </c>
      <c r="H128">
        <v>24.6</v>
      </c>
      <c r="I128">
        <v>110425</v>
      </c>
      <c r="J128">
        <v>1.8471999999999999E-5</v>
      </c>
      <c r="K128">
        <v>1007</v>
      </c>
      <c r="L128">
        <v>2.99468064E-3</v>
      </c>
      <c r="M128">
        <v>1.292</v>
      </c>
      <c r="N128">
        <v>8.6539138009476559</v>
      </c>
      <c r="O128">
        <v>149.2365767441861</v>
      </c>
      <c r="P128">
        <v>149</v>
      </c>
      <c r="Q128">
        <v>0.6</v>
      </c>
      <c r="R128">
        <v>35.81</v>
      </c>
      <c r="S128">
        <v>0.6</v>
      </c>
      <c r="T128">
        <v>35.5</v>
      </c>
      <c r="U128">
        <v>21.486000000000001</v>
      </c>
      <c r="V128">
        <v>21.3</v>
      </c>
      <c r="W128">
        <v>42.786000000000001</v>
      </c>
      <c r="X128">
        <v>36.784047298596427</v>
      </c>
      <c r="Y128">
        <v>5942.5</v>
      </c>
      <c r="Z128">
        <v>195.09840007498559</v>
      </c>
      <c r="AA128">
        <v>5747.4015999250141</v>
      </c>
      <c r="AB128">
        <v>2.9946806400000002E-4</v>
      </c>
      <c r="AC128">
        <v>25.078963660834479</v>
      </c>
      <c r="AD128">
        <v>298.22896366083438</v>
      </c>
      <c r="AE128">
        <v>298.20731000000001</v>
      </c>
      <c r="AF128">
        <v>311.95548000000002</v>
      </c>
      <c r="AG128">
        <v>309.69195000000002</v>
      </c>
      <c r="AH128">
        <v>311.50065000000001</v>
      </c>
      <c r="AI128">
        <v>311.72926999999999</v>
      </c>
      <c r="AJ128">
        <v>3814.4328</v>
      </c>
      <c r="AK128">
        <v>2.1613107999999999E-3</v>
      </c>
      <c r="AL128">
        <v>2.8108037E-4</v>
      </c>
      <c r="AM128">
        <v>2.8036445000000001E-4</v>
      </c>
      <c r="AN128">
        <v>303.53775048687521</v>
      </c>
      <c r="AO128">
        <v>34.717681101066731</v>
      </c>
      <c r="AP128">
        <v>9180.9671217073646</v>
      </c>
      <c r="AQ128">
        <v>188</v>
      </c>
      <c r="AR128">
        <v>8992.9671217073646</v>
      </c>
      <c r="AS128">
        <v>2.4069023110611272</v>
      </c>
      <c r="AT128">
        <v>8.8565491225364941</v>
      </c>
      <c r="AU128">
        <v>3.9677340068963489</v>
      </c>
      <c r="AV128">
        <v>4028.8492705249</v>
      </c>
      <c r="AW128">
        <v>223.61713261648751</v>
      </c>
      <c r="AZ128">
        <f t="shared" si="4"/>
        <v>35.513461267710134</v>
      </c>
      <c r="BA128">
        <f t="shared" si="5"/>
        <v>-2.2921466567044208E-2</v>
      </c>
      <c r="BB128">
        <f t="shared" si="6"/>
        <v>34.026484124503938</v>
      </c>
      <c r="BC128">
        <f t="shared" si="7"/>
        <v>1.9909076719457377E-2</v>
      </c>
      <c r="BD128">
        <v>0.74399999999999999</v>
      </c>
      <c r="BF128">
        <v>0.72</v>
      </c>
    </row>
    <row r="129" spans="1:58" x14ac:dyDescent="0.25">
      <c r="A129" t="s">
        <v>85</v>
      </c>
      <c r="B129">
        <v>6</v>
      </c>
      <c r="C129">
        <v>0.5</v>
      </c>
      <c r="D129">
        <v>2000</v>
      </c>
      <c r="E129">
        <v>2.9737971872686901</v>
      </c>
      <c r="F129">
        <v>3005.509840719888</v>
      </c>
      <c r="G129">
        <v>13.391999999999999</v>
      </c>
      <c r="H129">
        <v>24.6</v>
      </c>
      <c r="I129">
        <v>112325</v>
      </c>
      <c r="J129">
        <v>1.8471999999999999E-5</v>
      </c>
      <c r="K129">
        <v>1007</v>
      </c>
      <c r="L129">
        <v>3.3274229333333329E-3</v>
      </c>
      <c r="M129">
        <v>1.3140000000000001</v>
      </c>
      <c r="N129">
        <v>9.4544703456996206</v>
      </c>
      <c r="O129">
        <v>165.81841860465121</v>
      </c>
      <c r="P129">
        <v>166</v>
      </c>
      <c r="Q129">
        <v>0.6</v>
      </c>
      <c r="R129">
        <v>35.81</v>
      </c>
      <c r="S129">
        <v>0.6</v>
      </c>
      <c r="T129">
        <v>35.5</v>
      </c>
      <c r="U129">
        <v>21.486000000000001</v>
      </c>
      <c r="V129">
        <v>21.3</v>
      </c>
      <c r="W129">
        <v>42.786000000000001</v>
      </c>
      <c r="X129">
        <v>35.889299606017182</v>
      </c>
      <c r="Y129">
        <v>5942.5</v>
      </c>
      <c r="Z129">
        <v>176.0286425030441</v>
      </c>
      <c r="AA129">
        <v>5766.4713574969564</v>
      </c>
      <c r="AB129">
        <v>3.3274229333333328E-4</v>
      </c>
      <c r="AC129">
        <v>25.069853151862471</v>
      </c>
      <c r="AD129">
        <v>298.21985315186248</v>
      </c>
      <c r="AE129">
        <v>298.19232</v>
      </c>
      <c r="AF129">
        <v>310.64517999999998</v>
      </c>
      <c r="AG129">
        <v>308.65172000000001</v>
      </c>
      <c r="AH129">
        <v>310.61412000000001</v>
      </c>
      <c r="AI129">
        <v>310.54933999999997</v>
      </c>
      <c r="AJ129">
        <v>4720.4443000000001</v>
      </c>
      <c r="AK129">
        <v>2.1613107999999999E-3</v>
      </c>
      <c r="AL129">
        <v>2.8108037E-4</v>
      </c>
      <c r="AM129">
        <v>2.8036445000000001E-4</v>
      </c>
      <c r="AN129">
        <v>329.27849115976289</v>
      </c>
      <c r="AO129">
        <v>37.661825032268503</v>
      </c>
      <c r="AP129">
        <v>11078.46913801337</v>
      </c>
      <c r="AQ129">
        <v>209</v>
      </c>
      <c r="AR129">
        <v>10869.46913801337</v>
      </c>
      <c r="AS129">
        <v>2.3469123739079749</v>
      </c>
      <c r="AT129">
        <v>8.7475081935294998</v>
      </c>
      <c r="AU129">
        <v>3.918883670701216</v>
      </c>
      <c r="AV129">
        <v>4869.5221738299906</v>
      </c>
      <c r="AW129">
        <v>248.46348068498611</v>
      </c>
      <c r="AZ129">
        <f t="shared" si="4"/>
        <v>38.595108687965713</v>
      </c>
      <c r="BA129">
        <f t="shared" si="5"/>
        <v>-2.47806274628905E-2</v>
      </c>
      <c r="BB129">
        <f t="shared" si="6"/>
        <v>37.621003122671205</v>
      </c>
      <c r="BC129">
        <f t="shared" si="7"/>
        <v>1.083906835696945E-3</v>
      </c>
      <c r="BD129">
        <v>0.74399999999999999</v>
      </c>
      <c r="BF129">
        <v>0.72</v>
      </c>
    </row>
    <row r="130" spans="1:58" x14ac:dyDescent="0.25">
      <c r="A130" t="s">
        <v>85</v>
      </c>
      <c r="B130">
        <v>6</v>
      </c>
      <c r="C130">
        <v>0.5</v>
      </c>
      <c r="D130">
        <v>2500</v>
      </c>
      <c r="E130">
        <v>2.9737971872686901</v>
      </c>
      <c r="F130">
        <v>3747.631678666161</v>
      </c>
      <c r="G130">
        <v>13.391999999999999</v>
      </c>
      <c r="H130">
        <v>24.6</v>
      </c>
      <c r="I130">
        <v>117525</v>
      </c>
      <c r="J130">
        <v>1.8473000000000001E-5</v>
      </c>
      <c r="K130">
        <v>1007</v>
      </c>
      <c r="L130">
        <v>4.1595038333333339E-3</v>
      </c>
      <c r="M130">
        <v>1.375</v>
      </c>
      <c r="N130">
        <v>11.294405977336091</v>
      </c>
      <c r="O130">
        <v>207.28424418604649</v>
      </c>
      <c r="P130">
        <v>207</v>
      </c>
      <c r="Q130">
        <v>0.6</v>
      </c>
      <c r="R130">
        <v>35.81</v>
      </c>
      <c r="S130">
        <v>0.6</v>
      </c>
      <c r="T130">
        <v>35.5</v>
      </c>
      <c r="U130">
        <v>21.486000000000001</v>
      </c>
      <c r="V130">
        <v>21.3</v>
      </c>
      <c r="W130">
        <v>42.786000000000001</v>
      </c>
      <c r="X130">
        <v>34.357055331179318</v>
      </c>
      <c r="Y130">
        <v>5942.5</v>
      </c>
      <c r="Z130">
        <v>143.37192027342499</v>
      </c>
      <c r="AA130">
        <v>5799.1280797265754</v>
      </c>
      <c r="AB130">
        <v>4.1595038333333339E-4</v>
      </c>
      <c r="AC130">
        <v>25.06223647011312</v>
      </c>
      <c r="AD130">
        <v>298.21223647011311</v>
      </c>
      <c r="AE130">
        <v>298.16872999999998</v>
      </c>
      <c r="AF130">
        <v>308.14323000000002</v>
      </c>
      <c r="AG130">
        <v>306.68340000000001</v>
      </c>
      <c r="AH130">
        <v>308.65224000000001</v>
      </c>
      <c r="AI130">
        <v>308.58015999999998</v>
      </c>
      <c r="AJ130">
        <v>7168.8339999999998</v>
      </c>
      <c r="AK130">
        <v>2.1613107999999999E-3</v>
      </c>
      <c r="AL130">
        <v>2.8108037E-4</v>
      </c>
      <c r="AM130">
        <v>2.8036445000000001E-4</v>
      </c>
      <c r="AN130">
        <v>390.60540925989432</v>
      </c>
      <c r="AO130">
        <v>44.676202591884973</v>
      </c>
      <c r="AP130">
        <v>16214.69944803446</v>
      </c>
      <c r="AQ130">
        <v>261</v>
      </c>
      <c r="AR130">
        <v>15953.69944803446</v>
      </c>
      <c r="AS130">
        <v>2.2618321819189098</v>
      </c>
      <c r="AT130">
        <v>8.4161833002394495</v>
      </c>
      <c r="AU130">
        <v>3.7704501185072741</v>
      </c>
      <c r="AV130">
        <v>7147.25735271944</v>
      </c>
      <c r="AW130">
        <v>310.59616437674242</v>
      </c>
      <c r="AZ130">
        <f t="shared" si="4"/>
        <v>46.033266842552386</v>
      </c>
      <c r="BA130">
        <f t="shared" si="5"/>
        <v>-3.0375550560197157E-2</v>
      </c>
      <c r="BB130">
        <f t="shared" si="6"/>
        <v>46.537085512312984</v>
      </c>
      <c r="BC130">
        <f t="shared" si="7"/>
        <v>-4.1652665456531519E-2</v>
      </c>
      <c r="BD130">
        <v>0.74399999999999999</v>
      </c>
      <c r="BF130">
        <v>0.72</v>
      </c>
    </row>
    <row r="131" spans="1:58" x14ac:dyDescent="0.25">
      <c r="A131" t="s">
        <v>85</v>
      </c>
      <c r="B131">
        <v>6</v>
      </c>
      <c r="C131">
        <v>0.5</v>
      </c>
      <c r="D131">
        <v>3000</v>
      </c>
      <c r="E131">
        <v>2.9737971872686901</v>
      </c>
      <c r="F131">
        <v>4507.7766951752001</v>
      </c>
      <c r="G131">
        <v>13.391999999999999</v>
      </c>
      <c r="H131">
        <v>24.6</v>
      </c>
      <c r="I131">
        <v>123725</v>
      </c>
      <c r="J131">
        <v>1.8474E-5</v>
      </c>
      <c r="K131">
        <v>1007</v>
      </c>
      <c r="L131">
        <v>4.9916748E-3</v>
      </c>
      <c r="M131">
        <v>1.448</v>
      </c>
      <c r="N131">
        <v>12.87070350402978</v>
      </c>
      <c r="O131">
        <v>248.75455813953491</v>
      </c>
      <c r="P131">
        <v>249</v>
      </c>
      <c r="Q131">
        <v>0.6</v>
      </c>
      <c r="R131">
        <v>35.81</v>
      </c>
      <c r="S131">
        <v>0.6</v>
      </c>
      <c r="T131">
        <v>35.5</v>
      </c>
      <c r="U131">
        <v>21.486000000000001</v>
      </c>
      <c r="V131">
        <v>21.3</v>
      </c>
      <c r="W131">
        <v>42.786000000000001</v>
      </c>
      <c r="X131">
        <v>33.027414471097153</v>
      </c>
      <c r="Y131">
        <v>5942.5</v>
      </c>
      <c r="Z131">
        <v>115.0332846224934</v>
      </c>
      <c r="AA131">
        <v>5827.4667153775063</v>
      </c>
      <c r="AB131">
        <v>4.9916748000000005E-4</v>
      </c>
      <c r="AC131">
        <v>25.05259044435709</v>
      </c>
      <c r="AD131">
        <v>298.20259044435699</v>
      </c>
      <c r="AE131">
        <v>298.14440999999999</v>
      </c>
      <c r="AF131">
        <v>306.46161000000001</v>
      </c>
      <c r="AG131">
        <v>305.2491</v>
      </c>
      <c r="AH131">
        <v>307.23998</v>
      </c>
      <c r="AI131">
        <v>307.06589000000002</v>
      </c>
      <c r="AJ131">
        <v>10781.739</v>
      </c>
      <c r="AK131">
        <v>2.1613107999999999E-3</v>
      </c>
      <c r="AL131">
        <v>2.8108037E-4</v>
      </c>
      <c r="AM131">
        <v>2.8036445000000001E-4</v>
      </c>
      <c r="AN131">
        <v>461.55899139805138</v>
      </c>
      <c r="AO131">
        <v>52.791647322234567</v>
      </c>
      <c r="AP131">
        <v>22534.39998689212</v>
      </c>
      <c r="AQ131">
        <v>314</v>
      </c>
      <c r="AR131">
        <v>22220.39998689212</v>
      </c>
      <c r="AS131">
        <v>2.0900524476517308</v>
      </c>
      <c r="AT131">
        <v>8.3709394373096675</v>
      </c>
      <c r="AU131">
        <v>3.750180867914731</v>
      </c>
      <c r="AV131">
        <v>9954.739194127671</v>
      </c>
      <c r="AW131">
        <v>372.73557347670248</v>
      </c>
      <c r="AZ131">
        <f t="shared" si="4"/>
        <v>53.162958917539498</v>
      </c>
      <c r="BA131">
        <f t="shared" si="5"/>
        <v>-7.0335292444746959E-3</v>
      </c>
      <c r="BB131">
        <f t="shared" si="6"/>
        <v>55.369422518045724</v>
      </c>
      <c r="BC131">
        <f t="shared" si="7"/>
        <v>-4.8829224442963344E-2</v>
      </c>
      <c r="BD131">
        <v>0.74399999999999999</v>
      </c>
      <c r="BF131">
        <v>0.72</v>
      </c>
    </row>
    <row r="132" spans="1:58" x14ac:dyDescent="0.25">
      <c r="A132" t="s">
        <v>85</v>
      </c>
      <c r="B132">
        <v>6</v>
      </c>
      <c r="C132">
        <v>0.5</v>
      </c>
      <c r="D132">
        <v>3500</v>
      </c>
      <c r="E132">
        <v>2.9737971872686901</v>
      </c>
      <c r="F132">
        <v>5249.736881671929</v>
      </c>
      <c r="G132">
        <v>13.391999999999999</v>
      </c>
      <c r="H132">
        <v>24.6</v>
      </c>
      <c r="I132">
        <v>129725</v>
      </c>
      <c r="J132">
        <v>1.8474999999999998E-5</v>
      </c>
      <c r="K132">
        <v>1007</v>
      </c>
      <c r="L132">
        <v>5.8239358333333326E-3</v>
      </c>
      <c r="M132">
        <v>1.518</v>
      </c>
      <c r="N132">
        <v>14.32416692967281</v>
      </c>
      <c r="O132">
        <v>290.22936046511632</v>
      </c>
      <c r="P132">
        <v>290</v>
      </c>
      <c r="Q132">
        <v>0.6</v>
      </c>
      <c r="R132">
        <v>35.81</v>
      </c>
      <c r="S132">
        <v>0.6</v>
      </c>
      <c r="T132">
        <v>35.5</v>
      </c>
      <c r="U132">
        <v>21.486000000000001</v>
      </c>
      <c r="V132">
        <v>21.3</v>
      </c>
      <c r="W132">
        <v>42.786000000000001</v>
      </c>
      <c r="X132">
        <v>32.329875479313827</v>
      </c>
      <c r="Y132">
        <v>5942.5</v>
      </c>
      <c r="Z132">
        <v>100.1666360906156</v>
      </c>
      <c r="AA132">
        <v>5842.3333639093844</v>
      </c>
      <c r="AB132">
        <v>5.823935833333333E-4</v>
      </c>
      <c r="AC132">
        <v>25.003695257315851</v>
      </c>
      <c r="AD132">
        <v>298.1536952573158</v>
      </c>
      <c r="AE132">
        <v>298.07733000000002</v>
      </c>
      <c r="AF132">
        <v>305.23930000000001</v>
      </c>
      <c r="AG132">
        <v>304.18110000000001</v>
      </c>
      <c r="AH132">
        <v>306.10944999999998</v>
      </c>
      <c r="AI132">
        <v>306.03636</v>
      </c>
      <c r="AJ132">
        <v>13010.498</v>
      </c>
      <c r="AK132">
        <v>2.1613107999999999E-3</v>
      </c>
      <c r="AL132">
        <v>2.8108037E-4</v>
      </c>
      <c r="AM132">
        <v>2.8036445000000001E-4</v>
      </c>
      <c r="AN132">
        <v>530.37806163024834</v>
      </c>
      <c r="AO132">
        <v>60.662953379425097</v>
      </c>
      <c r="AP132">
        <v>28431.268079381101</v>
      </c>
      <c r="AQ132">
        <v>366</v>
      </c>
      <c r="AR132">
        <v>28065.268079381101</v>
      </c>
      <c r="AS132">
        <v>2.1852559432683591</v>
      </c>
      <c r="AT132">
        <v>7.9728995347658804</v>
      </c>
      <c r="AU132">
        <v>3.5718589915751151</v>
      </c>
      <c r="AV132">
        <v>12573.24009956273</v>
      </c>
      <c r="AW132">
        <v>434.88170798486658</v>
      </c>
      <c r="AZ132">
        <f t="shared" ref="AZ132:AZ195" si="8" xml:space="preserve"> 0.126*D132^0.7898*(E132/B132)^0.2409*BF132^(1/3)</f>
        <v>60.045949842062129</v>
      </c>
      <c r="BA132">
        <f t="shared" ref="BA132:BA195" si="9">(AO132-AZ132)/AO132</f>
        <v>1.0171010526042676E-2</v>
      </c>
      <c r="BB132">
        <f t="shared" ref="BB132:BB195" si="10">0.01175*D132^0.95314*(E132/B132)^(-1.33383)*BF132^(1/3)</f>
        <v>64.132719623739675</v>
      </c>
      <c r="BC132">
        <f t="shared" ref="BC132:BC195" si="11">(AO132-BB132)/AO132</f>
        <v>-5.7197450025428691E-2</v>
      </c>
      <c r="BD132">
        <v>0.74399999999999999</v>
      </c>
      <c r="BF132">
        <v>0.72</v>
      </c>
    </row>
    <row r="133" spans="1:58" x14ac:dyDescent="0.25">
      <c r="A133" t="s">
        <v>85</v>
      </c>
      <c r="B133">
        <v>6</v>
      </c>
      <c r="C133">
        <v>0.5</v>
      </c>
      <c r="D133">
        <v>4000</v>
      </c>
      <c r="E133">
        <v>2.9737971872686901</v>
      </c>
      <c r="F133">
        <v>6011.345111556252</v>
      </c>
      <c r="G133">
        <v>13.391999999999999</v>
      </c>
      <c r="H133">
        <v>24.5</v>
      </c>
      <c r="I133">
        <v>136825</v>
      </c>
      <c r="J133">
        <v>1.8471E-5</v>
      </c>
      <c r="K133">
        <v>1007</v>
      </c>
      <c r="L133">
        <v>6.6544855999999993E-3</v>
      </c>
      <c r="M133">
        <v>1.6020000000000001</v>
      </c>
      <c r="N133">
        <v>15.50874094061037</v>
      </c>
      <c r="O133">
        <v>331.61888372093023</v>
      </c>
      <c r="P133">
        <v>332</v>
      </c>
      <c r="Q133">
        <v>0.7</v>
      </c>
      <c r="R133">
        <v>41.8</v>
      </c>
      <c r="S133">
        <v>0.7</v>
      </c>
      <c r="T133">
        <v>41.44</v>
      </c>
      <c r="U133">
        <v>29.259999999999991</v>
      </c>
      <c r="V133">
        <v>29.007999999999999</v>
      </c>
      <c r="W133">
        <v>58.267999999999986</v>
      </c>
      <c r="X133">
        <v>34.06531592381701</v>
      </c>
      <c r="Y133">
        <v>8092.7777777777756</v>
      </c>
      <c r="Z133">
        <v>137.15407828431191</v>
      </c>
      <c r="AA133">
        <v>7955.6236994934643</v>
      </c>
      <c r="AB133">
        <v>6.6544855999999995E-4</v>
      </c>
      <c r="AC133">
        <v>24.940643039465929</v>
      </c>
      <c r="AD133">
        <v>298.09064303946587</v>
      </c>
      <c r="AE133">
        <v>298.00116000000003</v>
      </c>
      <c r="AF133">
        <v>306.41057999999998</v>
      </c>
      <c r="AG133">
        <v>305.36824999999999</v>
      </c>
      <c r="AH133">
        <v>307.91090000000003</v>
      </c>
      <c r="AI133">
        <v>307.79808000000003</v>
      </c>
      <c r="AJ133">
        <v>16808.954000000002</v>
      </c>
      <c r="AK133">
        <v>2.1613107999999999E-3</v>
      </c>
      <c r="AL133">
        <v>2.8108037E-4</v>
      </c>
      <c r="AM133">
        <v>2.8036445000000001E-4</v>
      </c>
      <c r="AN133">
        <v>572.44341567955223</v>
      </c>
      <c r="AO133">
        <v>65.474254593012844</v>
      </c>
      <c r="AP133">
        <v>35761.573074154068</v>
      </c>
      <c r="AQ133">
        <v>418</v>
      </c>
      <c r="AR133">
        <v>35343.573074154068</v>
      </c>
      <c r="AS133">
        <v>2.127531140495361</v>
      </c>
      <c r="AT133">
        <v>7.9290077755312742</v>
      </c>
      <c r="AU133">
        <v>3.5521954834380112</v>
      </c>
      <c r="AV133">
        <v>15833.92073722102</v>
      </c>
      <c r="AW133">
        <v>496.90005973715648</v>
      </c>
      <c r="AZ133">
        <f t="shared" si="8"/>
        <v>66.724566184065154</v>
      </c>
      <c r="BA133">
        <f t="shared" si="9"/>
        <v>-1.9096232539403932E-2</v>
      </c>
      <c r="BB133">
        <f t="shared" si="10"/>
        <v>72.837344079716473</v>
      </c>
      <c r="BC133">
        <f t="shared" si="11"/>
        <v>-0.11245778256617814</v>
      </c>
      <c r="BD133">
        <v>0.74399999999999999</v>
      </c>
      <c r="BF133">
        <v>0.72</v>
      </c>
    </row>
    <row r="134" spans="1:58" x14ac:dyDescent="0.25">
      <c r="A134" t="s">
        <v>85</v>
      </c>
      <c r="B134">
        <v>6</v>
      </c>
      <c r="C134">
        <v>0.5</v>
      </c>
      <c r="D134">
        <v>4500</v>
      </c>
      <c r="E134">
        <v>2.9737971872686901</v>
      </c>
      <c r="F134">
        <v>6754.8071138064643</v>
      </c>
      <c r="G134">
        <v>13.391999999999999</v>
      </c>
      <c r="H134">
        <v>24.4</v>
      </c>
      <c r="I134">
        <v>144725</v>
      </c>
      <c r="J134">
        <v>1.8468E-5</v>
      </c>
      <c r="K134">
        <v>1007</v>
      </c>
      <c r="L134">
        <v>7.4850803999999991E-3</v>
      </c>
      <c r="M134">
        <v>1.6950000000000001</v>
      </c>
      <c r="N134">
        <v>16.487367970311151</v>
      </c>
      <c r="O134">
        <v>373.01065116279068</v>
      </c>
      <c r="P134">
        <v>373</v>
      </c>
      <c r="Q134">
        <v>0.7</v>
      </c>
      <c r="R134">
        <v>41.94</v>
      </c>
      <c r="S134">
        <v>0.7</v>
      </c>
      <c r="T134">
        <v>41.97</v>
      </c>
      <c r="U134">
        <v>29.358000000000001</v>
      </c>
      <c r="V134">
        <v>29.379000000000001</v>
      </c>
      <c r="W134">
        <v>58.736999999999988</v>
      </c>
      <c r="X134">
        <v>33.364476543704889</v>
      </c>
      <c r="Y134">
        <v>8157.9166666666661</v>
      </c>
      <c r="Z134">
        <v>122.2170885759823</v>
      </c>
      <c r="AA134">
        <v>8035.6995780906836</v>
      </c>
      <c r="AB134">
        <v>7.4850803999999989E-4</v>
      </c>
      <c r="AC134">
        <v>24.91109763432237</v>
      </c>
      <c r="AD134">
        <v>298.06109763432232</v>
      </c>
      <c r="AE134">
        <v>297.95612999999997</v>
      </c>
      <c r="AF134">
        <v>305.61552</v>
      </c>
      <c r="AG134">
        <v>304.47892999999999</v>
      </c>
      <c r="AH134">
        <v>307.02888000000002</v>
      </c>
      <c r="AI134">
        <v>306.97861999999998</v>
      </c>
      <c r="AJ134">
        <v>21703.892</v>
      </c>
      <c r="AK134">
        <v>2.1613107999999999E-3</v>
      </c>
      <c r="AL134">
        <v>2.8108037E-4</v>
      </c>
      <c r="AM134">
        <v>2.8036445000000001E-4</v>
      </c>
      <c r="AN134">
        <v>661.2057575780733</v>
      </c>
      <c r="AO134">
        <v>75.626608541982236</v>
      </c>
      <c r="AP134">
        <v>43365.137997861537</v>
      </c>
      <c r="AQ134">
        <v>470</v>
      </c>
      <c r="AR134">
        <v>42895.137997861537</v>
      </c>
      <c r="AS134">
        <v>1.9980350988597591</v>
      </c>
      <c r="AT134">
        <v>7.8591012259252722</v>
      </c>
      <c r="AU134">
        <v>3.5208773492145218</v>
      </c>
      <c r="AV134">
        <v>19217.02182304197</v>
      </c>
      <c r="AW134">
        <v>558.92177419354834</v>
      </c>
      <c r="AZ134">
        <f t="shared" si="8"/>
        <v>73.229491947233726</v>
      </c>
      <c r="BA134">
        <f t="shared" si="9"/>
        <v>3.1696735328516162E-2</v>
      </c>
      <c r="BB134">
        <f t="shared" si="10"/>
        <v>81.490994272143041</v>
      </c>
      <c r="BC134">
        <f t="shared" si="11"/>
        <v>-7.7543947073936775E-2</v>
      </c>
      <c r="BD134">
        <v>0.74399999999999999</v>
      </c>
      <c r="BF134">
        <v>0.72</v>
      </c>
    </row>
    <row r="135" spans="1:58" x14ac:dyDescent="0.25">
      <c r="A135" t="s">
        <v>85</v>
      </c>
      <c r="B135">
        <v>6</v>
      </c>
      <c r="C135">
        <v>0.5</v>
      </c>
      <c r="D135">
        <v>5000</v>
      </c>
      <c r="E135">
        <v>2.9737971872686901</v>
      </c>
      <c r="F135">
        <v>7496.8866749688677</v>
      </c>
      <c r="G135">
        <v>13.391999999999999</v>
      </c>
      <c r="H135">
        <v>24.4</v>
      </c>
      <c r="I135">
        <v>152825</v>
      </c>
      <c r="J135">
        <v>1.8468999999999999E-5</v>
      </c>
      <c r="K135">
        <v>1007</v>
      </c>
      <c r="L135">
        <v>8.3172063333333338E-3</v>
      </c>
      <c r="M135">
        <v>1.79</v>
      </c>
      <c r="N135">
        <v>17.347983815346549</v>
      </c>
      <c r="O135">
        <v>414.47872093023261</v>
      </c>
      <c r="P135">
        <v>414</v>
      </c>
      <c r="Q135">
        <v>0.7</v>
      </c>
      <c r="R135">
        <v>41.94</v>
      </c>
      <c r="S135">
        <v>0.7</v>
      </c>
      <c r="T135">
        <v>41.97</v>
      </c>
      <c r="U135">
        <v>29.358000000000001</v>
      </c>
      <c r="V135">
        <v>29.379000000000001</v>
      </c>
      <c r="W135">
        <v>58.736999999999988</v>
      </c>
      <c r="X135">
        <v>32.732172535211262</v>
      </c>
      <c r="Y135">
        <v>8157.9166666666661</v>
      </c>
      <c r="Z135">
        <v>108.74079324295759</v>
      </c>
      <c r="AA135">
        <v>8049.1758734237083</v>
      </c>
      <c r="AB135">
        <v>8.3172063333333335E-4</v>
      </c>
      <c r="AC135">
        <v>24.842603780578202</v>
      </c>
      <c r="AD135">
        <v>297.99260378057818</v>
      </c>
      <c r="AE135">
        <v>297.87094000000002</v>
      </c>
      <c r="AF135">
        <v>304.77479</v>
      </c>
      <c r="AG135">
        <v>303.74146000000002</v>
      </c>
      <c r="AH135">
        <v>306.33233000000001</v>
      </c>
      <c r="AI135">
        <v>306.08308</v>
      </c>
      <c r="AJ135">
        <v>26288.142</v>
      </c>
      <c r="AK135">
        <v>2.1613107999999999E-3</v>
      </c>
      <c r="AL135">
        <v>2.8108037E-4</v>
      </c>
      <c r="AM135">
        <v>2.8036445000000001E-4</v>
      </c>
      <c r="AN135">
        <v>727.15330517871485</v>
      </c>
      <c r="AO135">
        <v>83.169478986676694</v>
      </c>
      <c r="AP135">
        <v>51486.669137632824</v>
      </c>
      <c r="AQ135">
        <v>522</v>
      </c>
      <c r="AR135">
        <v>50964.669137632824</v>
      </c>
      <c r="AS135">
        <v>1.958551088838185</v>
      </c>
      <c r="AT135">
        <v>7.8114717345525841</v>
      </c>
      <c r="AU135">
        <v>3.499539337079558</v>
      </c>
      <c r="AV135">
        <v>22832.171773659498</v>
      </c>
      <c r="AW135">
        <v>621.05782058940667</v>
      </c>
      <c r="AZ135">
        <f t="shared" si="8"/>
        <v>79.583912690531037</v>
      </c>
      <c r="BA135">
        <f t="shared" si="9"/>
        <v>4.311156375910502E-2</v>
      </c>
      <c r="BB135">
        <f t="shared" si="10"/>
        <v>90.099610020362874</v>
      </c>
      <c r="BC135">
        <f t="shared" si="11"/>
        <v>-8.3325411173927763E-2</v>
      </c>
      <c r="BD135">
        <v>0.74399999999999999</v>
      </c>
      <c r="BF135">
        <v>0.72</v>
      </c>
    </row>
    <row r="136" spans="1:58" x14ac:dyDescent="0.25">
      <c r="A136" t="s">
        <v>85</v>
      </c>
      <c r="B136">
        <v>6</v>
      </c>
      <c r="C136">
        <v>0.5</v>
      </c>
      <c r="D136">
        <v>6000</v>
      </c>
      <c r="E136">
        <v>2.9737971872686901</v>
      </c>
      <c r="F136">
        <v>8998.9112061549931</v>
      </c>
      <c r="G136">
        <v>13.391999999999999</v>
      </c>
      <c r="H136">
        <v>24.4</v>
      </c>
      <c r="I136">
        <v>169225</v>
      </c>
      <c r="J136">
        <v>1.8471E-5</v>
      </c>
      <c r="K136">
        <v>1007</v>
      </c>
      <c r="L136">
        <v>9.9817284000000006E-3</v>
      </c>
      <c r="M136">
        <v>1.982</v>
      </c>
      <c r="N136">
        <v>18.802979051607839</v>
      </c>
      <c r="O136">
        <v>497.42832558139543</v>
      </c>
      <c r="P136">
        <v>497</v>
      </c>
      <c r="Q136">
        <v>0.8</v>
      </c>
      <c r="R136">
        <v>47.98</v>
      </c>
      <c r="S136">
        <v>0.8</v>
      </c>
      <c r="T136">
        <v>47.96</v>
      </c>
      <c r="U136">
        <v>38.384</v>
      </c>
      <c r="V136">
        <v>38.368000000000002</v>
      </c>
      <c r="W136">
        <v>76.75200000000001</v>
      </c>
      <c r="X136">
        <v>34.042622371114838</v>
      </c>
      <c r="Y136">
        <v>10660</v>
      </c>
      <c r="Z136">
        <v>136.6704105955705</v>
      </c>
      <c r="AA136">
        <v>10523.329589404429</v>
      </c>
      <c r="AB136">
        <v>9.9817283999999997E-4</v>
      </c>
      <c r="AC136">
        <v>24.804363484087141</v>
      </c>
      <c r="AD136">
        <v>297.95436348408708</v>
      </c>
      <c r="AE136">
        <v>297.79915999999997</v>
      </c>
      <c r="AF136">
        <v>305.12680999999998</v>
      </c>
      <c r="AG136">
        <v>304.02841000000001</v>
      </c>
      <c r="AH136">
        <v>307.22872999999998</v>
      </c>
      <c r="AI136">
        <v>307.27728000000002</v>
      </c>
      <c r="AJ136">
        <v>34626.771000000001</v>
      </c>
      <c r="AK136">
        <v>2.1613107999999999E-3</v>
      </c>
      <c r="AL136">
        <v>2.8108037E-4</v>
      </c>
      <c r="AM136">
        <v>2.8036445000000001E-4</v>
      </c>
      <c r="AN136">
        <v>861.44606793176433</v>
      </c>
      <c r="AO136">
        <v>98.529457453813606</v>
      </c>
      <c r="AP136">
        <v>68146.442707363982</v>
      </c>
      <c r="AQ136">
        <v>627</v>
      </c>
      <c r="AR136">
        <v>67519.442707363982</v>
      </c>
      <c r="AS136">
        <v>1.968027648531363</v>
      </c>
      <c r="AT136">
        <v>7.6477774717219926</v>
      </c>
      <c r="AU136">
        <v>3.426204307331453</v>
      </c>
      <c r="AV136">
        <v>30248.71033289906</v>
      </c>
      <c r="AW136">
        <v>745.35008960573487</v>
      </c>
      <c r="AZ136">
        <f t="shared" si="8"/>
        <v>91.909972310563006</v>
      </c>
      <c r="BA136">
        <f t="shared" si="9"/>
        <v>6.7182803136346628E-2</v>
      </c>
      <c r="BB136">
        <f t="shared" si="10"/>
        <v>107.19973803706873</v>
      </c>
      <c r="BC136">
        <f t="shared" si="11"/>
        <v>-8.7996836756351546E-2</v>
      </c>
      <c r="BD136">
        <v>0.74399999999999999</v>
      </c>
      <c r="BF136">
        <v>0.72</v>
      </c>
    </row>
    <row r="137" spans="1:58" x14ac:dyDescent="0.25">
      <c r="A137" t="s">
        <v>86</v>
      </c>
    </row>
    <row r="138" spans="1:58" x14ac:dyDescent="0.25">
      <c r="A138" t="s">
        <v>87</v>
      </c>
      <c r="B138">
        <v>5</v>
      </c>
      <c r="C138">
        <v>0.3</v>
      </c>
      <c r="D138">
        <v>600</v>
      </c>
      <c r="E138">
        <v>2.6756401838476691</v>
      </c>
      <c r="F138">
        <v>914.00065068864535</v>
      </c>
      <c r="G138">
        <v>10.1875</v>
      </c>
      <c r="H138">
        <v>24</v>
      </c>
      <c r="I138">
        <v>102325</v>
      </c>
      <c r="J138">
        <v>1.8442000000000001E-5</v>
      </c>
      <c r="K138">
        <v>1007</v>
      </c>
      <c r="L138">
        <v>8.4261498000000031E-4</v>
      </c>
      <c r="M138">
        <v>1.2</v>
      </c>
      <c r="N138">
        <v>3.434828608116097</v>
      </c>
      <c r="O138">
        <v>41.990779734219288</v>
      </c>
      <c r="P138">
        <v>42</v>
      </c>
      <c r="Q138">
        <v>0.35</v>
      </c>
      <c r="R138">
        <v>32.130000000000003</v>
      </c>
      <c r="S138">
        <v>0.35</v>
      </c>
      <c r="T138">
        <v>32</v>
      </c>
      <c r="U138">
        <v>11.2455</v>
      </c>
      <c r="V138">
        <v>11.2</v>
      </c>
      <c r="W138">
        <v>22.445499999999999</v>
      </c>
      <c r="X138">
        <v>42.382436782141539</v>
      </c>
      <c r="Y138">
        <v>4489.0999999999995</v>
      </c>
      <c r="Z138">
        <v>314.41687513778248</v>
      </c>
      <c r="AA138">
        <v>4174.6831248622166</v>
      </c>
      <c r="AB138">
        <v>8.4261498000000028E-5</v>
      </c>
      <c r="AC138">
        <v>24.556100407558379</v>
      </c>
      <c r="AD138">
        <v>297.70610040755838</v>
      </c>
      <c r="AE138">
        <v>297.70605</v>
      </c>
      <c r="AF138">
        <v>322.61263000000002</v>
      </c>
      <c r="AG138">
        <v>316.78832999999997</v>
      </c>
      <c r="AH138">
        <v>318.50923999999998</v>
      </c>
      <c r="AI138">
        <v>318.43833999999998</v>
      </c>
      <c r="AJ138">
        <v>632.54394000000002</v>
      </c>
      <c r="AK138">
        <v>1.5215527E-3</v>
      </c>
      <c r="AL138">
        <v>2.1066807E-4</v>
      </c>
      <c r="AM138">
        <v>2.1066693E-4</v>
      </c>
      <c r="AN138">
        <v>153.5992860362368</v>
      </c>
      <c r="AO138">
        <v>15.80678545880259</v>
      </c>
      <c r="AP138">
        <v>1043.230826231938</v>
      </c>
      <c r="AQ138">
        <v>42</v>
      </c>
      <c r="AR138">
        <v>1001.230826231938</v>
      </c>
      <c r="AS138">
        <v>1.6492622255331979</v>
      </c>
      <c r="AT138">
        <v>7.4935908409782934</v>
      </c>
      <c r="AU138">
        <v>3.679353102920341</v>
      </c>
      <c r="AV138">
        <v>491.60433567988139</v>
      </c>
      <c r="AW138">
        <v>82.710672883435606</v>
      </c>
      <c r="AZ138">
        <f t="shared" si="8"/>
        <v>15.190918347735565</v>
      </c>
      <c r="BA138">
        <f t="shared" si="9"/>
        <v>3.8962198397148311E-2</v>
      </c>
      <c r="BB138">
        <f t="shared" si="10"/>
        <v>10.780536484044612</v>
      </c>
      <c r="BC138">
        <f t="shared" si="11"/>
        <v>0.31798046401388502</v>
      </c>
      <c r="BD138">
        <v>0.81499999999999995</v>
      </c>
      <c r="BF138">
        <v>0.72</v>
      </c>
    </row>
    <row r="139" spans="1:58" x14ac:dyDescent="0.25">
      <c r="A139" t="s">
        <v>87</v>
      </c>
      <c r="B139">
        <v>5</v>
      </c>
      <c r="C139">
        <v>0.3</v>
      </c>
      <c r="D139">
        <v>800</v>
      </c>
      <c r="E139">
        <v>2.6756401838476691</v>
      </c>
      <c r="F139">
        <v>1218.6675342515271</v>
      </c>
      <c r="G139">
        <v>10.1875</v>
      </c>
      <c r="H139">
        <v>24</v>
      </c>
      <c r="I139">
        <v>103125</v>
      </c>
      <c r="J139">
        <v>1.8442000000000001E-5</v>
      </c>
      <c r="K139">
        <v>1007</v>
      </c>
      <c r="L139">
        <v>1.12348664E-3</v>
      </c>
      <c r="M139">
        <v>1.2090000000000001</v>
      </c>
      <c r="N139">
        <v>4.5797714774881282</v>
      </c>
      <c r="O139">
        <v>55.987706312292367</v>
      </c>
      <c r="P139">
        <v>56</v>
      </c>
      <c r="Q139">
        <v>0.35</v>
      </c>
      <c r="R139">
        <v>32.130000000000003</v>
      </c>
      <c r="S139">
        <v>0.35</v>
      </c>
      <c r="T139">
        <v>32</v>
      </c>
      <c r="U139">
        <v>11.2455</v>
      </c>
      <c r="V139">
        <v>11.2</v>
      </c>
      <c r="W139">
        <v>22.445499999999999</v>
      </c>
      <c r="X139">
        <v>38.540281095755191</v>
      </c>
      <c r="Y139">
        <v>4489.0999999999995</v>
      </c>
      <c r="Z139">
        <v>232.5290109938303</v>
      </c>
      <c r="AA139">
        <v>4256.5709890061689</v>
      </c>
      <c r="AB139">
        <v>1.1234866400000001E-4</v>
      </c>
      <c r="AC139">
        <v>24.60445014807501</v>
      </c>
      <c r="AD139">
        <v>297.75445014807502</v>
      </c>
      <c r="AE139">
        <v>297.74304000000001</v>
      </c>
      <c r="AF139">
        <v>316.53737999999998</v>
      </c>
      <c r="AG139">
        <v>312.74383</v>
      </c>
      <c r="AH139">
        <v>314.41755999999998</v>
      </c>
      <c r="AI139">
        <v>314.43844999999999</v>
      </c>
      <c r="AJ139">
        <v>961.58181000000002</v>
      </c>
      <c r="AK139">
        <v>1.5215527E-3</v>
      </c>
      <c r="AL139">
        <v>2.1066807E-4</v>
      </c>
      <c r="AM139">
        <v>2.1066693E-4</v>
      </c>
      <c r="AN139">
        <v>183.5234159595245</v>
      </c>
      <c r="AO139">
        <v>18.88625486224209</v>
      </c>
      <c r="AP139">
        <v>1835.993089832182</v>
      </c>
      <c r="AQ139">
        <v>56</v>
      </c>
      <c r="AR139">
        <v>1779.993089832182</v>
      </c>
      <c r="AS139">
        <v>1.9093467354922009</v>
      </c>
      <c r="AT139">
        <v>7.5219006324682773</v>
      </c>
      <c r="AU139">
        <v>3.6932532105419238</v>
      </c>
      <c r="AV139">
        <v>873.97660710760124</v>
      </c>
      <c r="AW139">
        <v>110.2808971779141</v>
      </c>
      <c r="AZ139">
        <f t="shared" si="8"/>
        <v>19.066046309845287</v>
      </c>
      <c r="BA139">
        <f t="shared" si="9"/>
        <v>-9.5196982628165672E-3</v>
      </c>
      <c r="BB139">
        <f t="shared" si="10"/>
        <v>14.181575489547082</v>
      </c>
      <c r="BC139">
        <f t="shared" si="11"/>
        <v>0.24910599835760608</v>
      </c>
      <c r="BD139">
        <v>0.81499999999999995</v>
      </c>
      <c r="BF139">
        <v>0.72</v>
      </c>
    </row>
    <row r="140" spans="1:58" x14ac:dyDescent="0.25">
      <c r="A140" t="s">
        <v>87</v>
      </c>
      <c r="B140">
        <v>5</v>
      </c>
      <c r="C140">
        <v>0.3</v>
      </c>
      <c r="D140">
        <v>1000</v>
      </c>
      <c r="E140">
        <v>2.6756401838476691</v>
      </c>
      <c r="F140">
        <v>1522.5088517956499</v>
      </c>
      <c r="G140">
        <v>10.1875</v>
      </c>
      <c r="H140">
        <v>24.2</v>
      </c>
      <c r="I140">
        <v>104025</v>
      </c>
      <c r="J140">
        <v>1.8451999999999999E-5</v>
      </c>
      <c r="K140">
        <v>1007</v>
      </c>
      <c r="L140">
        <v>1.4051198000000001E-3</v>
      </c>
      <c r="M140">
        <v>1.2190000000000001</v>
      </c>
      <c r="N140">
        <v>5.7278185190469406</v>
      </c>
      <c r="O140">
        <v>70.022581395348851</v>
      </c>
      <c r="P140">
        <v>70</v>
      </c>
      <c r="Q140">
        <v>0.35</v>
      </c>
      <c r="R140">
        <v>32.130000000000003</v>
      </c>
      <c r="S140">
        <v>0.35</v>
      </c>
      <c r="T140">
        <v>32</v>
      </c>
      <c r="U140">
        <v>11.2455</v>
      </c>
      <c r="V140">
        <v>11.2</v>
      </c>
      <c r="W140">
        <v>22.445499999999999</v>
      </c>
      <c r="X140">
        <v>36.376069709127393</v>
      </c>
      <c r="Y140">
        <v>4489.0999999999995</v>
      </c>
      <c r="Z140">
        <v>186.4031737106321</v>
      </c>
      <c r="AA140">
        <v>4302.696826289367</v>
      </c>
      <c r="AB140">
        <v>1.4051198E-4</v>
      </c>
      <c r="AC140">
        <v>24.665138415245689</v>
      </c>
      <c r="AD140">
        <v>297.81513841524571</v>
      </c>
      <c r="AE140">
        <v>297.80907999999999</v>
      </c>
      <c r="AF140">
        <v>312.87855999999999</v>
      </c>
      <c r="AG140">
        <v>310.07454000000001</v>
      </c>
      <c r="AH140">
        <v>311.63031000000001</v>
      </c>
      <c r="AI140">
        <v>311.84741000000002</v>
      </c>
      <c r="AJ140">
        <v>1424.136</v>
      </c>
      <c r="AK140">
        <v>1.5215527E-3</v>
      </c>
      <c r="AL140">
        <v>2.1066807E-4</v>
      </c>
      <c r="AM140">
        <v>2.1066693E-4</v>
      </c>
      <c r="AN140">
        <v>217.4728078842476</v>
      </c>
      <c r="AO140">
        <v>22.379960910356811</v>
      </c>
      <c r="AP140">
        <v>2750.111668338348</v>
      </c>
      <c r="AQ140">
        <v>70</v>
      </c>
      <c r="AR140">
        <v>2680.111668338348</v>
      </c>
      <c r="AS140">
        <v>1.931073765664479</v>
      </c>
      <c r="AT140">
        <v>7.2707018004357256</v>
      </c>
      <c r="AU140">
        <v>3.569914584013941</v>
      </c>
      <c r="AV140">
        <v>1315.9348291541289</v>
      </c>
      <c r="AW140">
        <v>137.92586993865029</v>
      </c>
      <c r="AZ140">
        <f t="shared" si="8"/>
        <v>22.740508506126691</v>
      </c>
      <c r="BA140">
        <f t="shared" si="9"/>
        <v>-1.6110287109707543E-2</v>
      </c>
      <c r="BB140">
        <f t="shared" si="10"/>
        <v>17.54257293736709</v>
      </c>
      <c r="BC140">
        <f t="shared" si="11"/>
        <v>0.21614818686975965</v>
      </c>
      <c r="BD140">
        <v>0.81499999999999995</v>
      </c>
      <c r="BF140">
        <v>0.72</v>
      </c>
    </row>
    <row r="141" spans="1:58" x14ac:dyDescent="0.25">
      <c r="A141" t="s">
        <v>87</v>
      </c>
      <c r="B141">
        <v>5</v>
      </c>
      <c r="C141">
        <v>0.3</v>
      </c>
      <c r="D141">
        <v>1200</v>
      </c>
      <c r="E141">
        <v>2.6756401838476691</v>
      </c>
      <c r="F141">
        <v>1826.5156851059221</v>
      </c>
      <c r="G141">
        <v>10.1875</v>
      </c>
      <c r="H141">
        <v>24.3</v>
      </c>
      <c r="I141">
        <v>105425</v>
      </c>
      <c r="J141">
        <v>1.8457E-5</v>
      </c>
      <c r="K141">
        <v>1007</v>
      </c>
      <c r="L141">
        <v>1.6866006600000001E-3</v>
      </c>
      <c r="M141">
        <v>1.2350000000000001</v>
      </c>
      <c r="N141">
        <v>6.8752447261683969</v>
      </c>
      <c r="O141">
        <v>84.049866777408653</v>
      </c>
      <c r="P141">
        <v>84</v>
      </c>
      <c r="Q141">
        <v>0.35</v>
      </c>
      <c r="R141">
        <v>32.130000000000003</v>
      </c>
      <c r="S141">
        <v>0.35</v>
      </c>
      <c r="T141">
        <v>32</v>
      </c>
      <c r="U141">
        <v>11.2455</v>
      </c>
      <c r="V141">
        <v>11.2</v>
      </c>
      <c r="W141">
        <v>22.445499999999999</v>
      </c>
      <c r="X141">
        <v>34.901376945885843</v>
      </c>
      <c r="Y141">
        <v>4489.0999999999995</v>
      </c>
      <c r="Z141">
        <v>154.9730468476649</v>
      </c>
      <c r="AA141">
        <v>4334.1269531523349</v>
      </c>
      <c r="AB141">
        <v>1.6866006600000001E-4</v>
      </c>
      <c r="AC141">
        <v>24.71189306893994</v>
      </c>
      <c r="AD141">
        <v>297.86189306893988</v>
      </c>
      <c r="AE141">
        <v>297.84444999999999</v>
      </c>
      <c r="AF141">
        <v>310.49185999999997</v>
      </c>
      <c r="AG141">
        <v>308.28505000000001</v>
      </c>
      <c r="AH141">
        <v>310.02224999999999</v>
      </c>
      <c r="AI141">
        <v>309.80844999999999</v>
      </c>
      <c r="AJ141">
        <v>2004.2061000000001</v>
      </c>
      <c r="AK141">
        <v>1.5215527E-3</v>
      </c>
      <c r="AL141">
        <v>2.1066807E-4</v>
      </c>
      <c r="AM141">
        <v>2.1066693E-4</v>
      </c>
      <c r="AN141">
        <v>249.50166398767431</v>
      </c>
      <c r="AO141">
        <v>25.676026080856929</v>
      </c>
      <c r="AP141">
        <v>3788.7181863108481</v>
      </c>
      <c r="AQ141">
        <v>84</v>
      </c>
      <c r="AR141">
        <v>3704.7181863108481</v>
      </c>
      <c r="AS141">
        <v>1.8903835220892939</v>
      </c>
      <c r="AT141">
        <v>7.0218793310179759</v>
      </c>
      <c r="AU141">
        <v>3.4477427515298258</v>
      </c>
      <c r="AV141">
        <v>1819.0166294786261</v>
      </c>
      <c r="AW141">
        <v>165.55589300613499</v>
      </c>
      <c r="AZ141">
        <f t="shared" si="8"/>
        <v>26.262587958620305</v>
      </c>
      <c r="BA141">
        <f t="shared" si="9"/>
        <v>-2.2844729784750242E-2</v>
      </c>
      <c r="BB141">
        <f t="shared" si="10"/>
        <v>20.872001809518494</v>
      </c>
      <c r="BC141">
        <f t="shared" si="11"/>
        <v>0.18710154975734866</v>
      </c>
      <c r="BD141">
        <v>0.81499999999999995</v>
      </c>
      <c r="BF141">
        <v>0.72</v>
      </c>
    </row>
    <row r="142" spans="1:58" x14ac:dyDescent="0.25">
      <c r="A142" t="s">
        <v>87</v>
      </c>
      <c r="B142">
        <v>5</v>
      </c>
      <c r="C142">
        <v>0.3</v>
      </c>
      <c r="D142">
        <v>1400</v>
      </c>
      <c r="E142">
        <v>2.6756401838476691</v>
      </c>
      <c r="F142">
        <v>2129.7810508835569</v>
      </c>
      <c r="G142">
        <v>10.1875</v>
      </c>
      <c r="H142">
        <v>24.5</v>
      </c>
      <c r="I142">
        <v>106025</v>
      </c>
      <c r="J142">
        <v>1.8467000000000001E-5</v>
      </c>
      <c r="K142">
        <v>1007</v>
      </c>
      <c r="L142">
        <v>1.9687668700000011E-3</v>
      </c>
      <c r="M142">
        <v>1.2410000000000001</v>
      </c>
      <c r="N142">
        <v>8.0254646882579568</v>
      </c>
      <c r="O142">
        <v>98.111305813953521</v>
      </c>
      <c r="P142">
        <v>98</v>
      </c>
      <c r="Q142">
        <v>0.4</v>
      </c>
      <c r="R142">
        <v>36.9</v>
      </c>
      <c r="S142">
        <v>0.4</v>
      </c>
      <c r="T142">
        <v>37.090000000000003</v>
      </c>
      <c r="U142">
        <v>14.76</v>
      </c>
      <c r="V142">
        <v>14.836</v>
      </c>
      <c r="W142">
        <v>29.596</v>
      </c>
      <c r="X142">
        <v>36.759993045897062</v>
      </c>
      <c r="Y142">
        <v>5919.2000000000007</v>
      </c>
      <c r="Z142">
        <v>194.58573178720411</v>
      </c>
      <c r="AA142">
        <v>5724.6142682127966</v>
      </c>
      <c r="AB142">
        <v>1.9687668700000009E-4</v>
      </c>
      <c r="AC142">
        <v>24.875049672163701</v>
      </c>
      <c r="AD142">
        <v>298.02504967216368</v>
      </c>
      <c r="AE142">
        <v>298.00916000000001</v>
      </c>
      <c r="AF142">
        <v>312.44472000000002</v>
      </c>
      <c r="AG142">
        <v>310.05450999999999</v>
      </c>
      <c r="AH142">
        <v>312.19306</v>
      </c>
      <c r="AI142">
        <v>312.16924</v>
      </c>
      <c r="AJ142">
        <v>2675.6860999999999</v>
      </c>
      <c r="AK142">
        <v>1.5215527E-3</v>
      </c>
      <c r="AL142">
        <v>2.1066807E-4</v>
      </c>
      <c r="AM142">
        <v>2.1066693E-4</v>
      </c>
      <c r="AN142">
        <v>278.5577225052109</v>
      </c>
      <c r="AO142">
        <v>28.66616291753963</v>
      </c>
      <c r="AP142">
        <v>4910.2609444334057</v>
      </c>
      <c r="AQ142">
        <v>98</v>
      </c>
      <c r="AR142">
        <v>4812.2609444334057</v>
      </c>
      <c r="AS142">
        <v>1.835140880103016</v>
      </c>
      <c r="AT142">
        <v>6.7105116237053517</v>
      </c>
      <c r="AU142">
        <v>3.294861207239328</v>
      </c>
      <c r="AV142">
        <v>2362.8201237168018</v>
      </c>
      <c r="AW142">
        <v>193.25318969325161</v>
      </c>
      <c r="AZ142">
        <f t="shared" si="8"/>
        <v>29.662796642528281</v>
      </c>
      <c r="BA142">
        <f t="shared" si="9"/>
        <v>-3.4766903678582414E-2</v>
      </c>
      <c r="BB142">
        <f t="shared" si="10"/>
        <v>24.175405470406918</v>
      </c>
      <c r="BC142">
        <f t="shared" si="11"/>
        <v>0.15665708243027546</v>
      </c>
      <c r="BD142">
        <v>0.81499999999999995</v>
      </c>
      <c r="BF142">
        <v>0.72</v>
      </c>
    </row>
    <row r="143" spans="1:58" x14ac:dyDescent="0.25">
      <c r="A143" t="s">
        <v>87</v>
      </c>
      <c r="B143">
        <v>5</v>
      </c>
      <c r="C143">
        <v>0.3</v>
      </c>
      <c r="D143">
        <v>1600</v>
      </c>
      <c r="E143">
        <v>2.6756401838476691</v>
      </c>
      <c r="F143">
        <v>2434.0354867240658</v>
      </c>
      <c r="G143">
        <v>10.1875</v>
      </c>
      <c r="H143">
        <v>24.5</v>
      </c>
      <c r="I143">
        <v>107325</v>
      </c>
      <c r="J143">
        <v>1.8467000000000001E-5</v>
      </c>
      <c r="K143">
        <v>1007</v>
      </c>
      <c r="L143">
        <v>2.25001928E-3</v>
      </c>
      <c r="M143">
        <v>1.256</v>
      </c>
      <c r="N143">
        <v>9.1719596437233779</v>
      </c>
      <c r="O143">
        <v>112.1272066445183</v>
      </c>
      <c r="P143">
        <v>112</v>
      </c>
      <c r="Q143">
        <v>0.4</v>
      </c>
      <c r="R143">
        <v>36.9</v>
      </c>
      <c r="S143">
        <v>0.4</v>
      </c>
      <c r="T143">
        <v>37.090000000000003</v>
      </c>
      <c r="U143">
        <v>14.76</v>
      </c>
      <c r="V143">
        <v>14.836</v>
      </c>
      <c r="W143">
        <v>29.596</v>
      </c>
      <c r="X143">
        <v>35.612465784215779</v>
      </c>
      <c r="Y143">
        <v>5919.2000000000007</v>
      </c>
      <c r="Z143">
        <v>170.12848325899091</v>
      </c>
      <c r="AA143">
        <v>5749.0715167410099</v>
      </c>
      <c r="AB143">
        <v>2.2500192799999999E-4</v>
      </c>
      <c r="AC143">
        <v>24.89903196803192</v>
      </c>
      <c r="AD143">
        <v>298.0490319680319</v>
      </c>
      <c r="AE143">
        <v>298.02319</v>
      </c>
      <c r="AF143">
        <v>310.70182</v>
      </c>
      <c r="AG143">
        <v>308.71548999999999</v>
      </c>
      <c r="AH143">
        <v>310.96632</v>
      </c>
      <c r="AI143">
        <v>310.71888000000001</v>
      </c>
      <c r="AJ143">
        <v>3496.2154</v>
      </c>
      <c r="AK143">
        <v>1.5215527E-3</v>
      </c>
      <c r="AL143">
        <v>2.1066807E-4</v>
      </c>
      <c r="AM143">
        <v>2.1066693E-4</v>
      </c>
      <c r="AN143">
        <v>307.31907916385188</v>
      </c>
      <c r="AO143">
        <v>31.62597221053327</v>
      </c>
      <c r="AP143">
        <v>6245.6889776889784</v>
      </c>
      <c r="AQ143">
        <v>112</v>
      </c>
      <c r="AR143">
        <v>6133.6889776889784</v>
      </c>
      <c r="AS143">
        <v>1.786414240292225</v>
      </c>
      <c r="AT143">
        <v>6.5889107522789017</v>
      </c>
      <c r="AU143">
        <v>3.2351551793689408</v>
      </c>
      <c r="AV143">
        <v>3011.6412880452881</v>
      </c>
      <c r="AW143">
        <v>220.86078822085889</v>
      </c>
      <c r="AZ143">
        <f t="shared" si="8"/>
        <v>32.962043951087423</v>
      </c>
      <c r="BA143">
        <f t="shared" si="9"/>
        <v>-4.2246029044102074E-2</v>
      </c>
      <c r="BB143">
        <f t="shared" si="10"/>
        <v>27.456691948284021</v>
      </c>
      <c r="BC143">
        <f t="shared" si="11"/>
        <v>0.13183089628026165</v>
      </c>
      <c r="BD143">
        <v>0.81499999999999995</v>
      </c>
      <c r="BF143">
        <v>0.72</v>
      </c>
    </row>
    <row r="144" spans="1:58" x14ac:dyDescent="0.25">
      <c r="A144" t="s">
        <v>87</v>
      </c>
      <c r="B144">
        <v>5</v>
      </c>
      <c r="C144">
        <v>0.3</v>
      </c>
      <c r="D144">
        <v>1800</v>
      </c>
      <c r="E144">
        <v>2.6756401838476691</v>
      </c>
      <c r="F144">
        <v>2738.2899225645751</v>
      </c>
      <c r="G144">
        <v>10.1875</v>
      </c>
      <c r="H144">
        <v>24.5</v>
      </c>
      <c r="I144">
        <v>108825</v>
      </c>
      <c r="J144">
        <v>1.8467000000000001E-5</v>
      </c>
      <c r="K144">
        <v>1007</v>
      </c>
      <c r="L144">
        <v>2.531271690000001E-3</v>
      </c>
      <c r="M144">
        <v>1.274</v>
      </c>
      <c r="N144">
        <v>10.318454599188801</v>
      </c>
      <c r="O144">
        <v>126.1431074750831</v>
      </c>
      <c r="P144">
        <v>126</v>
      </c>
      <c r="Q144">
        <v>0.4</v>
      </c>
      <c r="R144">
        <v>36.9</v>
      </c>
      <c r="S144">
        <v>0.4</v>
      </c>
      <c r="T144">
        <v>37.090000000000003</v>
      </c>
      <c r="U144">
        <v>14.76</v>
      </c>
      <c r="V144">
        <v>14.836</v>
      </c>
      <c r="W144">
        <v>29.596</v>
      </c>
      <c r="X144">
        <v>34.758089613335983</v>
      </c>
      <c r="Y144">
        <v>5919.2000000000007</v>
      </c>
      <c r="Z144">
        <v>151.91916392902979</v>
      </c>
      <c r="AA144">
        <v>5767.2808360709714</v>
      </c>
      <c r="AB144">
        <v>2.531271690000001E-4</v>
      </c>
      <c r="AC144">
        <v>24.948516472677021</v>
      </c>
      <c r="AD144">
        <v>298.09851647267698</v>
      </c>
      <c r="AE144">
        <v>298.06668999999999</v>
      </c>
      <c r="AF144">
        <v>309.35840000000002</v>
      </c>
      <c r="AG144">
        <v>307.75128999999998</v>
      </c>
      <c r="AH144">
        <v>309.82681000000002</v>
      </c>
      <c r="AI144">
        <v>309.91521999999998</v>
      </c>
      <c r="AJ144">
        <v>4427.7116999999998</v>
      </c>
      <c r="AK144">
        <v>1.5215527E-3</v>
      </c>
      <c r="AL144">
        <v>2.1066807E-4</v>
      </c>
      <c r="AM144">
        <v>2.1066693E-4</v>
      </c>
      <c r="AN144">
        <v>329.93815406716692</v>
      </c>
      <c r="AO144">
        <v>33.953683969485951</v>
      </c>
      <c r="AP144">
        <v>7695.5655290326822</v>
      </c>
      <c r="AQ144">
        <v>126</v>
      </c>
      <c r="AR144">
        <v>7569.5655290326822</v>
      </c>
      <c r="AS144">
        <v>1.738045756012679</v>
      </c>
      <c r="AT144">
        <v>6.4720139029255694</v>
      </c>
      <c r="AU144">
        <v>3.1777588263364538</v>
      </c>
      <c r="AV144">
        <v>3716.6566747550469</v>
      </c>
      <c r="AW144">
        <v>248.46838674846629</v>
      </c>
      <c r="AZ144">
        <f t="shared" si="8"/>
        <v>36.175487831900973</v>
      </c>
      <c r="BA144">
        <f t="shared" si="9"/>
        <v>-6.5436312136607902E-2</v>
      </c>
      <c r="BB144">
        <f t="shared" si="10"/>
        <v>30.718763219054438</v>
      </c>
      <c r="BC144">
        <f t="shared" si="11"/>
        <v>9.5274514345445524E-2</v>
      </c>
      <c r="BD144">
        <v>0.81499999999999995</v>
      </c>
      <c r="BF144">
        <v>0.72</v>
      </c>
    </row>
    <row r="145" spans="1:58" x14ac:dyDescent="0.25">
      <c r="A145" t="s">
        <v>87</v>
      </c>
      <c r="B145">
        <v>5</v>
      </c>
      <c r="C145">
        <v>0.3</v>
      </c>
      <c r="D145">
        <v>2000</v>
      </c>
      <c r="E145">
        <v>2.6756401838476691</v>
      </c>
      <c r="F145">
        <v>3042.5443584050831</v>
      </c>
      <c r="G145">
        <v>10.1875</v>
      </c>
      <c r="H145">
        <v>24.5</v>
      </c>
      <c r="I145">
        <v>110325</v>
      </c>
      <c r="J145">
        <v>1.8467000000000001E-5</v>
      </c>
      <c r="K145">
        <v>1007</v>
      </c>
      <c r="L145">
        <v>2.8125241000000012E-3</v>
      </c>
      <c r="M145">
        <v>1.2909999999999999</v>
      </c>
      <c r="N145">
        <v>11.464949554654231</v>
      </c>
      <c r="O145">
        <v>140.15900830564789</v>
      </c>
      <c r="P145">
        <v>140</v>
      </c>
      <c r="Q145">
        <v>0.4</v>
      </c>
      <c r="R145">
        <v>36.9</v>
      </c>
      <c r="S145">
        <v>0.4</v>
      </c>
      <c r="T145">
        <v>37.090000000000003</v>
      </c>
      <c r="U145">
        <v>14.76</v>
      </c>
      <c r="V145">
        <v>14.836</v>
      </c>
      <c r="W145">
        <v>29.596</v>
      </c>
      <c r="X145">
        <v>34.143285798583783</v>
      </c>
      <c r="Y145">
        <v>5919.2000000000007</v>
      </c>
      <c r="Z145">
        <v>138.815850225216</v>
      </c>
      <c r="AA145">
        <v>5780.3841497747844</v>
      </c>
      <c r="AB145">
        <v>2.8125241000000011E-4</v>
      </c>
      <c r="AC145">
        <v>24.9704051927616</v>
      </c>
      <c r="AD145">
        <v>298.12040519276161</v>
      </c>
      <c r="AE145">
        <v>298.07956000000001</v>
      </c>
      <c r="AF145">
        <v>308.27722</v>
      </c>
      <c r="AG145">
        <v>306.77368999999999</v>
      </c>
      <c r="AH145">
        <v>308.84210999999999</v>
      </c>
      <c r="AI145">
        <v>308.85480000000001</v>
      </c>
      <c r="AJ145">
        <v>5255.0973999999997</v>
      </c>
      <c r="AK145">
        <v>1.5215527E-3</v>
      </c>
      <c r="AL145">
        <v>2.1066807E-4</v>
      </c>
      <c r="AM145">
        <v>2.1066693E-4</v>
      </c>
      <c r="AN145">
        <v>367.73533749851151</v>
      </c>
      <c r="AO145">
        <v>37.843363308915457</v>
      </c>
      <c r="AP145">
        <v>9248.7516391292957</v>
      </c>
      <c r="AQ145">
        <v>140</v>
      </c>
      <c r="AR145">
        <v>9108.7516391292957</v>
      </c>
      <c r="AS145">
        <v>1.7599581768226209</v>
      </c>
      <c r="AT145">
        <v>6.3517883064894312</v>
      </c>
      <c r="AU145">
        <v>3.1187280584863109</v>
      </c>
      <c r="AV145">
        <v>4472.3970548124844</v>
      </c>
      <c r="AW145">
        <v>276.07598527607371</v>
      </c>
      <c r="AZ145">
        <f t="shared" si="8"/>
        <v>39.314581988713726</v>
      </c>
      <c r="BA145">
        <f t="shared" si="9"/>
        <v>-3.8876530814365214E-2</v>
      </c>
      <c r="BB145">
        <f t="shared" si="10"/>
        <v>33.96385835104239</v>
      </c>
      <c r="BC145">
        <f t="shared" si="11"/>
        <v>0.10251480361839564</v>
      </c>
      <c r="BD145">
        <v>0.81499999999999995</v>
      </c>
      <c r="BF145">
        <v>0.72</v>
      </c>
    </row>
    <row r="146" spans="1:58" x14ac:dyDescent="0.25">
      <c r="A146" t="s">
        <v>87</v>
      </c>
      <c r="B146">
        <v>5</v>
      </c>
      <c r="C146">
        <v>0.3</v>
      </c>
      <c r="D146">
        <v>2500</v>
      </c>
      <c r="E146">
        <v>2.6756401838476691</v>
      </c>
      <c r="F146">
        <v>3802.9745144754879</v>
      </c>
      <c r="G146">
        <v>10.1875</v>
      </c>
      <c r="H146">
        <v>24.5</v>
      </c>
      <c r="I146">
        <v>114925</v>
      </c>
      <c r="J146">
        <v>1.8468E-5</v>
      </c>
      <c r="K146">
        <v>1007</v>
      </c>
      <c r="L146">
        <v>3.5158455000000011E-3</v>
      </c>
      <c r="M146">
        <v>1.345</v>
      </c>
      <c r="N146">
        <v>14.33196298636447</v>
      </c>
      <c r="O146">
        <v>175.2082475083057</v>
      </c>
      <c r="P146">
        <v>175</v>
      </c>
      <c r="Q146">
        <v>0.45</v>
      </c>
      <c r="R146">
        <v>41.54</v>
      </c>
      <c r="S146">
        <v>0.45</v>
      </c>
      <c r="T146">
        <v>41.65</v>
      </c>
      <c r="U146">
        <v>18.693000000000001</v>
      </c>
      <c r="V146">
        <v>18.7425</v>
      </c>
      <c r="W146">
        <v>37.435499999999998</v>
      </c>
      <c r="X146">
        <v>34.875608910397141</v>
      </c>
      <c r="Y146">
        <v>7487.1</v>
      </c>
      <c r="Z146">
        <v>154.42385270729429</v>
      </c>
      <c r="AA146">
        <v>7332.6761472927064</v>
      </c>
      <c r="AB146">
        <v>3.5158455000000008E-4</v>
      </c>
      <c r="AC146">
        <v>25.0244122929555</v>
      </c>
      <c r="AD146">
        <v>298.17441229295548</v>
      </c>
      <c r="AE146">
        <v>298.11029000000002</v>
      </c>
      <c r="AF146">
        <v>308.45927</v>
      </c>
      <c r="AG146">
        <v>307.08958000000001</v>
      </c>
      <c r="AH146">
        <v>309.62718999999998</v>
      </c>
      <c r="AI146">
        <v>309.74241000000001</v>
      </c>
      <c r="AJ146">
        <v>8526.7132999999994</v>
      </c>
      <c r="AK146">
        <v>1.5215527E-3</v>
      </c>
      <c r="AL146">
        <v>2.1066807E-4</v>
      </c>
      <c r="AM146">
        <v>2.1066693E-4</v>
      </c>
      <c r="AN146">
        <v>432.05791466083912</v>
      </c>
      <c r="AO146">
        <v>44.462750700614137</v>
      </c>
      <c r="AP146">
        <v>13668.65529169161</v>
      </c>
      <c r="AQ146">
        <v>175</v>
      </c>
      <c r="AR146">
        <v>13493.65529169161</v>
      </c>
      <c r="AS146">
        <v>1.603039155977205</v>
      </c>
      <c r="AT146">
        <v>6.1523842895832512</v>
      </c>
      <c r="AU146">
        <v>3.0208206861853761</v>
      </c>
      <c r="AV146">
        <v>6625.3847482205811</v>
      </c>
      <c r="AW146">
        <v>345.11366871165649</v>
      </c>
      <c r="AZ146">
        <f t="shared" si="8"/>
        <v>46.891399066176682</v>
      </c>
      <c r="BA146">
        <f t="shared" si="9"/>
        <v>-5.4622089890830776E-2</v>
      </c>
      <c r="BB146">
        <f t="shared" si="10"/>
        <v>42.013206698841458</v>
      </c>
      <c r="BC146">
        <f t="shared" si="11"/>
        <v>5.5092048134099028E-2</v>
      </c>
      <c r="BD146">
        <v>0.81499999999999995</v>
      </c>
      <c r="BF146">
        <v>0.72</v>
      </c>
    </row>
    <row r="147" spans="1:58" x14ac:dyDescent="0.25">
      <c r="A147" t="s">
        <v>87</v>
      </c>
      <c r="B147">
        <v>5</v>
      </c>
      <c r="C147">
        <v>0.3</v>
      </c>
      <c r="D147">
        <v>3000</v>
      </c>
      <c r="E147">
        <v>2.6756401838476691</v>
      </c>
      <c r="F147">
        <v>4563.3223238940936</v>
      </c>
      <c r="G147">
        <v>10.1875</v>
      </c>
      <c r="H147">
        <v>24.5</v>
      </c>
      <c r="I147">
        <v>119925</v>
      </c>
      <c r="J147">
        <v>1.8468999999999999E-5</v>
      </c>
      <c r="K147">
        <v>1007</v>
      </c>
      <c r="L147">
        <v>4.2192430499999999E-3</v>
      </c>
      <c r="M147">
        <v>1.4039999999999999</v>
      </c>
      <c r="N147">
        <v>17.1992868352934</v>
      </c>
      <c r="O147">
        <v>210.2612815614618</v>
      </c>
      <c r="P147">
        <v>210</v>
      </c>
      <c r="Q147">
        <v>0.45</v>
      </c>
      <c r="R147">
        <v>41.54</v>
      </c>
      <c r="S147">
        <v>0.45</v>
      </c>
      <c r="T147">
        <v>41.65</v>
      </c>
      <c r="U147">
        <v>18.693000000000001</v>
      </c>
      <c r="V147">
        <v>18.7425</v>
      </c>
      <c r="W147">
        <v>37.435499999999998</v>
      </c>
      <c r="X147">
        <v>33.76373034892638</v>
      </c>
      <c r="Y147">
        <v>7487.1</v>
      </c>
      <c r="Z147">
        <v>130.72638492666789</v>
      </c>
      <c r="AA147">
        <v>7356.3736150733321</v>
      </c>
      <c r="AB147">
        <v>4.2192430499999998E-4</v>
      </c>
      <c r="AC147">
        <v>25.019515912576711</v>
      </c>
      <c r="AD147">
        <v>298.16951591257668</v>
      </c>
      <c r="AE147">
        <v>298.08920000000001</v>
      </c>
      <c r="AF147">
        <v>306.69099</v>
      </c>
      <c r="AG147">
        <v>305.61908</v>
      </c>
      <c r="AH147">
        <v>308.35667999999998</v>
      </c>
      <c r="AI147">
        <v>308.01271000000003</v>
      </c>
      <c r="AJ147">
        <v>11894.096</v>
      </c>
      <c r="AK147">
        <v>1.5215527E-3</v>
      </c>
      <c r="AL147">
        <v>2.1066807E-4</v>
      </c>
      <c r="AM147">
        <v>2.1066693E-4</v>
      </c>
      <c r="AN147">
        <v>500.12473814081579</v>
      </c>
      <c r="AO147">
        <v>51.467455627148453</v>
      </c>
      <c r="AP147">
        <v>18605.298440695289</v>
      </c>
      <c r="AQ147">
        <v>210</v>
      </c>
      <c r="AR147">
        <v>18395.298440695289</v>
      </c>
      <c r="AS147">
        <v>1.5642465338009119</v>
      </c>
      <c r="AT147">
        <v>5.9593017850086278</v>
      </c>
      <c r="AU147">
        <v>2.926017176439236</v>
      </c>
      <c r="AV147">
        <v>9032.0915343813886</v>
      </c>
      <c r="AW147">
        <v>414.15882699386498</v>
      </c>
      <c r="AZ147">
        <f t="shared" si="8"/>
        <v>54.153999772979809</v>
      </c>
      <c r="BA147">
        <f t="shared" si="9"/>
        <v>-5.2198891767523792E-2</v>
      </c>
      <c r="BB147">
        <f t="shared" si="10"/>
        <v>49.986950567212737</v>
      </c>
      <c r="BC147">
        <f t="shared" si="11"/>
        <v>2.8765849057336489E-2</v>
      </c>
      <c r="BD147">
        <v>0.81499999999999995</v>
      </c>
      <c r="BF147">
        <v>0.72</v>
      </c>
    </row>
    <row r="148" spans="1:58" x14ac:dyDescent="0.25">
      <c r="A148" t="s">
        <v>87</v>
      </c>
      <c r="B148">
        <v>5</v>
      </c>
      <c r="C148">
        <v>0.3</v>
      </c>
      <c r="D148">
        <v>3500</v>
      </c>
      <c r="E148">
        <v>2.6756401838476691</v>
      </c>
      <c r="F148">
        <v>5323.5878000360944</v>
      </c>
      <c r="G148">
        <v>10.1875</v>
      </c>
      <c r="H148">
        <v>24.5</v>
      </c>
      <c r="I148">
        <v>125325</v>
      </c>
      <c r="J148">
        <v>1.8470000000000001E-5</v>
      </c>
      <c r="K148">
        <v>1007</v>
      </c>
      <c r="L148">
        <v>4.9227167500000011E-3</v>
      </c>
      <c r="M148">
        <v>1.4670000000000001</v>
      </c>
      <c r="N148">
        <v>20.066921101441011</v>
      </c>
      <c r="O148">
        <v>245.31811046511629</v>
      </c>
      <c r="P148">
        <v>245</v>
      </c>
      <c r="Q148">
        <v>0.45</v>
      </c>
      <c r="R148">
        <v>41.54</v>
      </c>
      <c r="S148">
        <v>0.45</v>
      </c>
      <c r="T148">
        <v>41.65</v>
      </c>
      <c r="U148">
        <v>18.693000000000001</v>
      </c>
      <c r="V148">
        <v>18.7425</v>
      </c>
      <c r="W148">
        <v>37.435499999999998</v>
      </c>
      <c r="X148">
        <v>32.869812574081386</v>
      </c>
      <c r="Y148">
        <v>7487.1</v>
      </c>
      <c r="Z148">
        <v>111.6743153913966</v>
      </c>
      <c r="AA148">
        <v>7375.4256846086037</v>
      </c>
      <c r="AB148">
        <v>4.9227167500000008E-4</v>
      </c>
      <c r="AC148">
        <v>25.021807585934429</v>
      </c>
      <c r="AD148">
        <v>298.1718075859344</v>
      </c>
      <c r="AE148">
        <v>298.06702000000001</v>
      </c>
      <c r="AF148">
        <v>305.60716000000002</v>
      </c>
      <c r="AG148">
        <v>304.50054</v>
      </c>
      <c r="AH148">
        <v>307.15843999999998</v>
      </c>
      <c r="AI148">
        <v>307.00655</v>
      </c>
      <c r="AJ148">
        <v>15579.056</v>
      </c>
      <c r="AK148">
        <v>1.5215527E-3</v>
      </c>
      <c r="AL148">
        <v>2.1066807E-4</v>
      </c>
      <c r="AM148">
        <v>2.1066693E-4</v>
      </c>
      <c r="AN148">
        <v>588.84201796133482</v>
      </c>
      <c r="AO148">
        <v>60.597283276742239</v>
      </c>
      <c r="AP148">
        <v>24129.331621230082</v>
      </c>
      <c r="AQ148">
        <v>245</v>
      </c>
      <c r="AR148">
        <v>23884.331621230082</v>
      </c>
      <c r="AS148">
        <v>1.5488314324841039</v>
      </c>
      <c r="AT148">
        <v>5.822033166087488</v>
      </c>
      <c r="AU148">
        <v>2.8586182845489572</v>
      </c>
      <c r="AV148">
        <v>11727.20682602397</v>
      </c>
      <c r="AW148">
        <v>483.21146012269952</v>
      </c>
      <c r="AZ148">
        <f t="shared" si="8"/>
        <v>61.165300433316929</v>
      </c>
      <c r="BA148">
        <f t="shared" si="9"/>
        <v>-9.3736406297392581E-3</v>
      </c>
      <c r="BB148">
        <f t="shared" si="10"/>
        <v>57.898365917180591</v>
      </c>
      <c r="BC148">
        <f t="shared" si="11"/>
        <v>4.4538586775184949E-2</v>
      </c>
      <c r="BD148">
        <v>0.81499999999999995</v>
      </c>
      <c r="BF148">
        <v>0.72</v>
      </c>
    </row>
    <row r="149" spans="1:58" x14ac:dyDescent="0.25">
      <c r="A149" t="s">
        <v>87</v>
      </c>
      <c r="B149">
        <v>5</v>
      </c>
      <c r="C149">
        <v>0.3</v>
      </c>
      <c r="D149">
        <v>4000</v>
      </c>
      <c r="E149">
        <v>2.6756401838476691</v>
      </c>
      <c r="F149">
        <v>6084.1003428983931</v>
      </c>
      <c r="G149">
        <v>10.1875</v>
      </c>
      <c r="H149">
        <v>24.5</v>
      </c>
      <c r="I149">
        <v>131725</v>
      </c>
      <c r="J149">
        <v>1.8470000000000001E-5</v>
      </c>
      <c r="K149">
        <v>1007</v>
      </c>
      <c r="L149">
        <v>5.6259620000000017E-3</v>
      </c>
      <c r="M149">
        <v>1.542</v>
      </c>
      <c r="N149">
        <v>22.933624115932581</v>
      </c>
      <c r="O149">
        <v>280.36355481727583</v>
      </c>
      <c r="P149">
        <v>280</v>
      </c>
      <c r="Q149">
        <v>0.5</v>
      </c>
      <c r="R149">
        <v>46.1</v>
      </c>
      <c r="S149">
        <v>0.5</v>
      </c>
      <c r="T149">
        <v>46.24</v>
      </c>
      <c r="U149">
        <v>23.05</v>
      </c>
      <c r="V149">
        <v>23.12</v>
      </c>
      <c r="W149">
        <v>46.17</v>
      </c>
      <c r="X149">
        <v>33.9412419085916</v>
      </c>
      <c r="Y149">
        <v>9234</v>
      </c>
      <c r="Z149">
        <v>134.50968879781269</v>
      </c>
      <c r="AA149">
        <v>9099.4903112021875</v>
      </c>
      <c r="AB149">
        <v>5.6259620000000013E-4</v>
      </c>
      <c r="AC149">
        <v>25.03367398979994</v>
      </c>
      <c r="AD149">
        <v>298.1836739897999</v>
      </c>
      <c r="AE149">
        <v>298.05405999999999</v>
      </c>
      <c r="AF149">
        <v>305.99047999999999</v>
      </c>
      <c r="AG149">
        <v>305.02517</v>
      </c>
      <c r="AH149">
        <v>308.10048</v>
      </c>
      <c r="AI149">
        <v>308.11315000000002</v>
      </c>
      <c r="AJ149">
        <v>19650.898000000001</v>
      </c>
      <c r="AK149">
        <v>1.5215527E-3</v>
      </c>
      <c r="AL149">
        <v>2.1066807E-4</v>
      </c>
      <c r="AM149">
        <v>2.1066693E-4</v>
      </c>
      <c r="AN149">
        <v>637.87116354181353</v>
      </c>
      <c r="AO149">
        <v>65.642835280390159</v>
      </c>
      <c r="AP149">
        <v>30076.211586242971</v>
      </c>
      <c r="AQ149">
        <v>280</v>
      </c>
      <c r="AR149">
        <v>29796.211586242971</v>
      </c>
      <c r="AS149">
        <v>1.5305260648262979</v>
      </c>
      <c r="AT149">
        <v>5.717667697133141</v>
      </c>
      <c r="AU149">
        <v>2.8073748392923719</v>
      </c>
      <c r="AV149">
        <v>14629.9398888453</v>
      </c>
      <c r="AW149">
        <v>552.24166871165664</v>
      </c>
      <c r="AZ149">
        <f t="shared" si="8"/>
        <v>67.968416648681085</v>
      </c>
      <c r="BA149">
        <f t="shared" si="9"/>
        <v>-3.5427801958238386E-2</v>
      </c>
      <c r="BB149">
        <f t="shared" si="10"/>
        <v>65.756812196717846</v>
      </c>
      <c r="BC149">
        <f t="shared" si="11"/>
        <v>-1.7363192165731397E-3</v>
      </c>
      <c r="BD149">
        <v>0.81499999999999995</v>
      </c>
      <c r="BF149">
        <v>0.72</v>
      </c>
    </row>
    <row r="150" spans="1:58" x14ac:dyDescent="0.25">
      <c r="A150" t="s">
        <v>87</v>
      </c>
      <c r="B150">
        <v>5</v>
      </c>
      <c r="C150">
        <v>0.3</v>
      </c>
      <c r="D150">
        <v>4500</v>
      </c>
      <c r="E150">
        <v>2.6756401838476691</v>
      </c>
      <c r="F150">
        <v>6844.2423258080235</v>
      </c>
      <c r="G150">
        <v>10.1875</v>
      </c>
      <c r="H150">
        <v>24.5</v>
      </c>
      <c r="I150">
        <v>138325</v>
      </c>
      <c r="J150">
        <v>1.8471E-5</v>
      </c>
      <c r="K150">
        <v>1007</v>
      </c>
      <c r="L150">
        <v>6.3295499250000014E-3</v>
      </c>
      <c r="M150">
        <v>1.619</v>
      </c>
      <c r="N150">
        <v>25.801724007908209</v>
      </c>
      <c r="O150">
        <v>315.42607599667781</v>
      </c>
      <c r="P150">
        <v>315</v>
      </c>
      <c r="Q150">
        <v>0.5</v>
      </c>
      <c r="R150">
        <v>45.83</v>
      </c>
      <c r="S150">
        <v>0.5</v>
      </c>
      <c r="T150">
        <v>45.88</v>
      </c>
      <c r="U150">
        <v>22.914999999999999</v>
      </c>
      <c r="V150">
        <v>22.94</v>
      </c>
      <c r="W150">
        <v>45.854999999999997</v>
      </c>
      <c r="X150">
        <v>33.193143961927419</v>
      </c>
      <c r="Y150">
        <v>9171</v>
      </c>
      <c r="Z150">
        <v>118.56547726055911</v>
      </c>
      <c r="AA150">
        <v>9052.4345227394406</v>
      </c>
      <c r="AB150">
        <v>6.3295499250000018E-4</v>
      </c>
      <c r="AC150">
        <v>24.999974221693439</v>
      </c>
      <c r="AD150">
        <v>298.14997422169341</v>
      </c>
      <c r="AE150">
        <v>298.00062000000003</v>
      </c>
      <c r="AF150">
        <v>304.90143999999998</v>
      </c>
      <c r="AG150">
        <v>304.11763000000002</v>
      </c>
      <c r="AH150">
        <v>307.12196</v>
      </c>
      <c r="AI150">
        <v>307.16003000000001</v>
      </c>
      <c r="AJ150">
        <v>23543.079000000002</v>
      </c>
      <c r="AK150">
        <v>1.5215527E-3</v>
      </c>
      <c r="AL150">
        <v>2.1066807E-4</v>
      </c>
      <c r="AM150">
        <v>2.1066693E-4</v>
      </c>
      <c r="AN150">
        <v>701.22229191440044</v>
      </c>
      <c r="AO150">
        <v>72.162251617535773</v>
      </c>
      <c r="AP150">
        <v>36698.231542071517</v>
      </c>
      <c r="AQ150">
        <v>315</v>
      </c>
      <c r="AR150">
        <v>36383.231542071517</v>
      </c>
      <c r="AS150">
        <v>1.558769417631038</v>
      </c>
      <c r="AT150">
        <v>5.6711273075453468</v>
      </c>
      <c r="AU150">
        <v>2.784523508004765</v>
      </c>
      <c r="AV150">
        <v>17864.166687157121</v>
      </c>
      <c r="AW150">
        <v>621.30551411042961</v>
      </c>
      <c r="AZ150">
        <f t="shared" si="8"/>
        <v>74.594604420664965</v>
      </c>
      <c r="BA150">
        <f t="shared" si="9"/>
        <v>-3.3706719906978599E-2</v>
      </c>
      <c r="BB150">
        <f t="shared" si="10"/>
        <v>73.569239430427885</v>
      </c>
      <c r="BC150">
        <f t="shared" si="11"/>
        <v>-1.9497559753944915E-2</v>
      </c>
      <c r="BD150">
        <v>0.81499999999999995</v>
      </c>
      <c r="BF150">
        <v>0.72</v>
      </c>
    </row>
    <row r="151" spans="1:58" x14ac:dyDescent="0.25">
      <c r="A151" t="s">
        <v>87</v>
      </c>
      <c r="B151">
        <v>5</v>
      </c>
      <c r="C151">
        <v>0.3</v>
      </c>
      <c r="D151">
        <v>5000</v>
      </c>
      <c r="E151">
        <v>2.6756401838476691</v>
      </c>
      <c r="F151">
        <v>7626.0285838025111</v>
      </c>
      <c r="G151">
        <v>10.1875</v>
      </c>
      <c r="H151">
        <v>24.5</v>
      </c>
      <c r="I151">
        <v>144925</v>
      </c>
      <c r="J151">
        <v>1.8471999999999999E-5</v>
      </c>
      <c r="K151">
        <v>1007</v>
      </c>
      <c r="L151">
        <v>7.0332140000000012E-3</v>
      </c>
      <c r="M151">
        <v>1.6970000000000001</v>
      </c>
      <c r="N151">
        <v>28.670134317102509</v>
      </c>
      <c r="O151">
        <v>350.4923920265781</v>
      </c>
      <c r="P151">
        <v>351</v>
      </c>
      <c r="Q151">
        <v>0.5</v>
      </c>
      <c r="R151">
        <v>46.1</v>
      </c>
      <c r="S151">
        <v>0.5</v>
      </c>
      <c r="T151">
        <v>46.24</v>
      </c>
      <c r="U151">
        <v>23.05</v>
      </c>
      <c r="V151">
        <v>23.12</v>
      </c>
      <c r="W151">
        <v>46.17</v>
      </c>
      <c r="X151">
        <v>32.646135485391142</v>
      </c>
      <c r="Y151">
        <v>9234</v>
      </c>
      <c r="Z151">
        <v>106.9070856001414</v>
      </c>
      <c r="AA151">
        <v>9127.0929143998583</v>
      </c>
      <c r="AB151">
        <v>7.0332140000000016E-4</v>
      </c>
      <c r="AC151">
        <v>24.979854853911391</v>
      </c>
      <c r="AD151">
        <v>298.12985485391141</v>
      </c>
      <c r="AE151">
        <v>297.96238</v>
      </c>
      <c r="AF151">
        <v>304.19058000000001</v>
      </c>
      <c r="AG151">
        <v>303.32238999999998</v>
      </c>
      <c r="AH151">
        <v>306.33767</v>
      </c>
      <c r="AI151">
        <v>306.36336999999997</v>
      </c>
      <c r="AJ151">
        <v>29566.359</v>
      </c>
      <c r="AK151">
        <v>1.5215527E-3</v>
      </c>
      <c r="AL151">
        <v>2.1066807E-4</v>
      </c>
      <c r="AM151">
        <v>2.1066693E-4</v>
      </c>
      <c r="AN151">
        <v>809.22437499515888</v>
      </c>
      <c r="AO151">
        <v>83.276663672540849</v>
      </c>
      <c r="AP151">
        <v>43754.459629280551</v>
      </c>
      <c r="AQ151">
        <v>351</v>
      </c>
      <c r="AR151">
        <v>43403.459629280551</v>
      </c>
      <c r="AS151">
        <v>1.47987310947826</v>
      </c>
      <c r="AT151">
        <v>5.6314102390483951</v>
      </c>
      <c r="AU151">
        <v>2.7650224273727622</v>
      </c>
      <c r="AV151">
        <v>21311.098677976752</v>
      </c>
      <c r="AW151">
        <v>690.37683435582835</v>
      </c>
      <c r="AZ151">
        <f t="shared" si="8"/>
        <v>81.067481523380351</v>
      </c>
      <c r="BA151">
        <f t="shared" si="9"/>
        <v>2.6528225936709088E-2</v>
      </c>
      <c r="BB151">
        <f t="shared" si="10"/>
        <v>81.34101002670144</v>
      </c>
      <c r="BC151">
        <f t="shared" si="11"/>
        <v>2.3243650267387689E-2</v>
      </c>
      <c r="BD151">
        <v>0.81499999999999995</v>
      </c>
      <c r="BF151">
        <v>0.72</v>
      </c>
    </row>
    <row r="152" spans="1:58" x14ac:dyDescent="0.25">
      <c r="A152" t="s">
        <v>87</v>
      </c>
      <c r="B152">
        <v>5</v>
      </c>
      <c r="C152">
        <v>0.3</v>
      </c>
      <c r="D152">
        <v>6000</v>
      </c>
      <c r="E152">
        <v>2.6756401838476691</v>
      </c>
      <c r="F152">
        <v>9145.4036986919273</v>
      </c>
      <c r="G152">
        <v>10.1875</v>
      </c>
      <c r="H152">
        <v>24.5</v>
      </c>
      <c r="I152">
        <v>160825</v>
      </c>
      <c r="J152">
        <v>1.8474999999999998E-5</v>
      </c>
      <c r="K152">
        <v>1007</v>
      </c>
      <c r="L152">
        <v>8.4412275000000005E-3</v>
      </c>
      <c r="M152">
        <v>1.883</v>
      </c>
      <c r="N152">
        <v>34.409748690459203</v>
      </c>
      <c r="O152">
        <v>420.65917774086392</v>
      </c>
      <c r="P152">
        <v>421</v>
      </c>
      <c r="Q152">
        <v>0.5</v>
      </c>
      <c r="R152">
        <v>46.1</v>
      </c>
      <c r="S152">
        <v>0.5</v>
      </c>
      <c r="T152">
        <v>46.24</v>
      </c>
      <c r="U152">
        <v>23.05</v>
      </c>
      <c r="V152">
        <v>23.12</v>
      </c>
      <c r="W152">
        <v>46.17</v>
      </c>
      <c r="X152">
        <v>31.746792279411761</v>
      </c>
      <c r="Y152">
        <v>9234</v>
      </c>
      <c r="Z152">
        <v>87.73938385110273</v>
      </c>
      <c r="AA152">
        <v>9146.2606161488966</v>
      </c>
      <c r="AB152">
        <v>8.4412275000000003E-4</v>
      </c>
      <c r="AC152">
        <v>24.95749057315231</v>
      </c>
      <c r="AD152">
        <v>298.10749057315229</v>
      </c>
      <c r="AE152">
        <v>297.90125999999998</v>
      </c>
      <c r="AF152">
        <v>302.97588999999999</v>
      </c>
      <c r="AG152">
        <v>302.07585999999998</v>
      </c>
      <c r="AH152">
        <v>305.11245000000002</v>
      </c>
      <c r="AI152">
        <v>304.97237999999999</v>
      </c>
      <c r="AJ152">
        <v>39477.427000000003</v>
      </c>
      <c r="AK152">
        <v>1.5215527E-3</v>
      </c>
      <c r="AL152">
        <v>2.1066807E-4</v>
      </c>
      <c r="AM152">
        <v>2.1066693E-4</v>
      </c>
      <c r="AN152">
        <v>1032.0823087617989</v>
      </c>
      <c r="AO152">
        <v>106.2108037831287</v>
      </c>
      <c r="AP152">
        <v>58937.726244343889</v>
      </c>
      <c r="AQ152">
        <v>421</v>
      </c>
      <c r="AR152">
        <v>58516.726244343889</v>
      </c>
      <c r="AS152">
        <v>1.492947507555239</v>
      </c>
      <c r="AT152">
        <v>5.6100518005680291</v>
      </c>
      <c r="AU152">
        <v>2.7545354340789019</v>
      </c>
      <c r="AV152">
        <v>28731.712585972851</v>
      </c>
      <c r="AW152">
        <v>828.58674846625775</v>
      </c>
      <c r="AZ152">
        <f t="shared" si="8"/>
        <v>93.623318208473592</v>
      </c>
      <c r="BA152">
        <f t="shared" si="9"/>
        <v>0.1185141730059536</v>
      </c>
      <c r="BB152">
        <f t="shared" si="10"/>
        <v>96.778831390749389</v>
      </c>
      <c r="BC152">
        <f t="shared" si="11"/>
        <v>8.8804265257594744E-2</v>
      </c>
      <c r="BD152">
        <v>0.81499999999999995</v>
      </c>
      <c r="BF152">
        <v>0.72</v>
      </c>
    </row>
    <row r="153" spans="1:58" x14ac:dyDescent="0.25">
      <c r="A153" t="s">
        <v>87</v>
      </c>
      <c r="B153">
        <v>5</v>
      </c>
      <c r="C153">
        <v>0.3</v>
      </c>
      <c r="D153">
        <v>7000</v>
      </c>
      <c r="E153">
        <v>2.6756401838476691</v>
      </c>
      <c r="F153">
        <v>10664.86262199852</v>
      </c>
      <c r="G153">
        <v>10.1875</v>
      </c>
      <c r="H153">
        <v>24.5</v>
      </c>
      <c r="I153">
        <v>175325</v>
      </c>
      <c r="J153">
        <v>1.8476999999999999E-5</v>
      </c>
      <c r="K153">
        <v>1007</v>
      </c>
      <c r="L153">
        <v>9.8491648500000032E-3</v>
      </c>
      <c r="M153">
        <v>2.0529999999999999</v>
      </c>
      <c r="N153">
        <v>40.149052646597248</v>
      </c>
      <c r="O153">
        <v>490.82216860465132</v>
      </c>
      <c r="P153">
        <v>491</v>
      </c>
      <c r="Q153">
        <v>0.5</v>
      </c>
      <c r="R153">
        <v>46.1</v>
      </c>
      <c r="S153">
        <v>0.5</v>
      </c>
      <c r="T153">
        <v>46.24</v>
      </c>
      <c r="U153">
        <v>23.05</v>
      </c>
      <c r="V153">
        <v>23.12</v>
      </c>
      <c r="W153">
        <v>46.17</v>
      </c>
      <c r="X153">
        <v>31.090976099618409</v>
      </c>
      <c r="Y153">
        <v>9234</v>
      </c>
      <c r="Z153">
        <v>73.761973611167036</v>
      </c>
      <c r="AA153">
        <v>9160.2380263888335</v>
      </c>
      <c r="AB153">
        <v>9.8491648500000041E-4</v>
      </c>
      <c r="AC153">
        <v>24.936772444265891</v>
      </c>
      <c r="AD153">
        <v>298.08677244426588</v>
      </c>
      <c r="AE153">
        <v>297.84377000000001</v>
      </c>
      <c r="AF153">
        <v>302.11374999999998</v>
      </c>
      <c r="AG153">
        <v>301.10475000000002</v>
      </c>
      <c r="AH153">
        <v>303.92732000000001</v>
      </c>
      <c r="AI153">
        <v>304.00038000000001</v>
      </c>
      <c r="AJ153">
        <v>49935.654000000002</v>
      </c>
      <c r="AK153">
        <v>1.5215527E-3</v>
      </c>
      <c r="AL153">
        <v>2.1066807E-4</v>
      </c>
      <c r="AM153">
        <v>2.1066693E-4</v>
      </c>
      <c r="AN153">
        <v>1350.147154154238</v>
      </c>
      <c r="AO153">
        <v>138.94261460625589</v>
      </c>
      <c r="AP153">
        <v>74018.860547633391</v>
      </c>
      <c r="AQ153">
        <v>491</v>
      </c>
      <c r="AR153">
        <v>73527.860547633391</v>
      </c>
      <c r="AS153">
        <v>1.482284792898344</v>
      </c>
      <c r="AT153">
        <v>5.4641266591173707</v>
      </c>
      <c r="AU153">
        <v>2.6828861896266289</v>
      </c>
      <c r="AV153">
        <v>36102.179528887988</v>
      </c>
      <c r="AW153">
        <v>966.7891877300616</v>
      </c>
      <c r="AZ153">
        <f t="shared" si="8"/>
        <v>105.74469863336964</v>
      </c>
      <c r="BA153">
        <f t="shared" si="9"/>
        <v>0.23893256987400549</v>
      </c>
      <c r="BB153">
        <f t="shared" si="10"/>
        <v>112.09597963701432</v>
      </c>
      <c r="BC153">
        <f t="shared" si="11"/>
        <v>0.19322102902209812</v>
      </c>
      <c r="BD153">
        <v>0.81499999999999995</v>
      </c>
      <c r="BF153">
        <v>0.72</v>
      </c>
    </row>
    <row r="154" spans="1:58" x14ac:dyDescent="0.25">
      <c r="A154" t="s">
        <v>87</v>
      </c>
      <c r="B154">
        <v>5</v>
      </c>
      <c r="C154">
        <v>0.3</v>
      </c>
      <c r="D154" t="s">
        <v>88</v>
      </c>
      <c r="AS154">
        <v>1.5758521947486701</v>
      </c>
    </row>
    <row r="155" spans="1:58" x14ac:dyDescent="0.25">
      <c r="A155" t="s">
        <v>89</v>
      </c>
    </row>
    <row r="156" spans="1:58" x14ac:dyDescent="0.25">
      <c r="A156" t="s">
        <v>90</v>
      </c>
      <c r="B156">
        <v>5</v>
      </c>
      <c r="C156">
        <v>0.4</v>
      </c>
      <c r="D156">
        <v>600</v>
      </c>
      <c r="E156">
        <v>2.5053163211057949</v>
      </c>
      <c r="F156">
        <v>912.31868369776998</v>
      </c>
      <c r="G156">
        <v>9.4250000000000007</v>
      </c>
      <c r="H156">
        <v>24.7</v>
      </c>
      <c r="I156">
        <v>102825</v>
      </c>
      <c r="J156">
        <v>1.8476000000000001E-5</v>
      </c>
      <c r="K156">
        <v>1007</v>
      </c>
      <c r="L156">
        <v>8.3408054400000006E-4</v>
      </c>
      <c r="M156">
        <v>1.2030000000000001</v>
      </c>
      <c r="N156">
        <v>3.6751083655718779</v>
      </c>
      <c r="O156">
        <v>41.565475614617952</v>
      </c>
      <c r="P156">
        <v>42</v>
      </c>
      <c r="Q156">
        <v>0.35</v>
      </c>
      <c r="R156">
        <v>32.090000000000003</v>
      </c>
      <c r="S156">
        <v>0.35</v>
      </c>
      <c r="T156">
        <v>31.99</v>
      </c>
      <c r="U156">
        <v>11.2315</v>
      </c>
      <c r="V156">
        <v>11.1965</v>
      </c>
      <c r="W156">
        <v>22.428000000000001</v>
      </c>
      <c r="X156">
        <v>41.861573656845763</v>
      </c>
      <c r="Y156">
        <v>4485.5999999999995</v>
      </c>
      <c r="Z156">
        <v>303.31571934835358</v>
      </c>
      <c r="AA156">
        <v>4182.2842806516464</v>
      </c>
      <c r="AB156">
        <v>8.3408054400000006E-5</v>
      </c>
      <c r="AC156">
        <v>25.2078440207972</v>
      </c>
      <c r="AD156">
        <v>298.35784402079719</v>
      </c>
      <c r="AE156">
        <v>298.35608000000002</v>
      </c>
      <c r="AF156">
        <v>323.21386999999999</v>
      </c>
      <c r="AG156">
        <v>317.48491000000001</v>
      </c>
      <c r="AH156">
        <v>318.79032000000001</v>
      </c>
      <c r="AI156">
        <v>318.83287999999999</v>
      </c>
      <c r="AJ156">
        <v>682.57862</v>
      </c>
      <c r="AK156">
        <v>1.5033519000000001E-3</v>
      </c>
      <c r="AL156">
        <v>1.9740586999999999E-4</v>
      </c>
      <c r="AM156">
        <v>1.9742758999999999E-4</v>
      </c>
      <c r="AN156">
        <v>157.92287349734519</v>
      </c>
      <c r="AO156">
        <v>15.217182786493259</v>
      </c>
      <c r="AP156">
        <v>1464.9332755632579</v>
      </c>
      <c r="AQ156">
        <v>42</v>
      </c>
      <c r="AR156">
        <v>1422.9332755632579</v>
      </c>
      <c r="AS156">
        <v>2.1461751549781298</v>
      </c>
      <c r="AT156">
        <v>8.7214630273156413</v>
      </c>
      <c r="AU156">
        <v>3.9595442144013009</v>
      </c>
      <c r="AV156">
        <v>646.01170710571932</v>
      </c>
      <c r="AW156">
        <v>88.496609442970822</v>
      </c>
      <c r="AZ156">
        <f t="shared" si="8"/>
        <v>14.952116997383747</v>
      </c>
      <c r="BA156">
        <f t="shared" si="9"/>
        <v>1.7418847682159913E-2</v>
      </c>
      <c r="BB156">
        <f t="shared" si="10"/>
        <v>11.76905024955912</v>
      </c>
      <c r="BC156">
        <f t="shared" si="11"/>
        <v>0.22659467164938668</v>
      </c>
      <c r="BD156">
        <v>0.754</v>
      </c>
      <c r="BF156">
        <v>0.72</v>
      </c>
    </row>
    <row r="157" spans="1:58" x14ac:dyDescent="0.25">
      <c r="A157" t="s">
        <v>90</v>
      </c>
      <c r="B157">
        <v>5</v>
      </c>
      <c r="C157">
        <v>0.4</v>
      </c>
      <c r="D157">
        <v>800</v>
      </c>
      <c r="E157">
        <v>2.5053163211057949</v>
      </c>
      <c r="F157">
        <v>1194.703038175651</v>
      </c>
      <c r="G157">
        <v>9.4250000000000007</v>
      </c>
      <c r="H157">
        <v>24.7</v>
      </c>
      <c r="I157">
        <v>103525</v>
      </c>
      <c r="J157">
        <v>1.8476000000000001E-5</v>
      </c>
      <c r="K157">
        <v>1007</v>
      </c>
      <c r="L157">
        <v>1.1121073919999999E-3</v>
      </c>
      <c r="M157">
        <v>1.2110000000000001</v>
      </c>
      <c r="N157">
        <v>4.9001444874291709</v>
      </c>
      <c r="O157">
        <v>55.420634152823922</v>
      </c>
      <c r="P157">
        <v>55</v>
      </c>
      <c r="Q157">
        <v>0.35</v>
      </c>
      <c r="R157">
        <v>32.090000000000003</v>
      </c>
      <c r="S157">
        <v>0.35</v>
      </c>
      <c r="T157">
        <v>31.99</v>
      </c>
      <c r="U157">
        <v>11.2315</v>
      </c>
      <c r="V157">
        <v>11.1965</v>
      </c>
      <c r="W157">
        <v>22.428000000000001</v>
      </c>
      <c r="X157">
        <v>38.744084805496087</v>
      </c>
      <c r="Y157">
        <v>4485.5999999999995</v>
      </c>
      <c r="Z157">
        <v>236.87267945953809</v>
      </c>
      <c r="AA157">
        <v>4248.7273205404617</v>
      </c>
      <c r="AB157">
        <v>1.112107392E-4</v>
      </c>
      <c r="AC157">
        <v>25.197946109921482</v>
      </c>
      <c r="AD157">
        <v>298.34794610992151</v>
      </c>
      <c r="AE157">
        <v>298.34316999999999</v>
      </c>
      <c r="AF157">
        <v>317.30597</v>
      </c>
      <c r="AG157">
        <v>313.11369999999999</v>
      </c>
      <c r="AH157">
        <v>314.41379000000001</v>
      </c>
      <c r="AI157">
        <v>314.43033000000003</v>
      </c>
      <c r="AJ157">
        <v>1140.539</v>
      </c>
      <c r="AK157">
        <v>1.5033519000000001E-3</v>
      </c>
      <c r="AL157">
        <v>1.9740586999999999E-4</v>
      </c>
      <c r="AM157">
        <v>1.9742758999999999E-4</v>
      </c>
      <c r="AN157">
        <v>201.24067096079</v>
      </c>
      <c r="AO157">
        <v>19.391212978013389</v>
      </c>
      <c r="AP157">
        <v>2347.9817987152028</v>
      </c>
      <c r="AQ157">
        <v>56</v>
      </c>
      <c r="AR157">
        <v>2291.9817987152028</v>
      </c>
      <c r="AS157">
        <v>2.0586598079637808</v>
      </c>
      <c r="AT157">
        <v>7.9284219055751546</v>
      </c>
      <c r="AU157">
        <v>3.5995035451311201</v>
      </c>
      <c r="AV157">
        <v>1040.5597366167019</v>
      </c>
      <c r="AW157">
        <v>117.99547925729441</v>
      </c>
      <c r="AZ157">
        <f t="shared" si="8"/>
        <v>18.76632791886729</v>
      </c>
      <c r="BA157">
        <f t="shared" si="9"/>
        <v>3.2225166102534217E-2</v>
      </c>
      <c r="BB157">
        <f t="shared" si="10"/>
        <v>15.481945151933401</v>
      </c>
      <c r="BC157">
        <f t="shared" si="11"/>
        <v>0.20159996337065084</v>
      </c>
      <c r="BD157">
        <v>0.754</v>
      </c>
      <c r="BF157">
        <v>0.72</v>
      </c>
    </row>
    <row r="158" spans="1:58" x14ac:dyDescent="0.25">
      <c r="A158" t="s">
        <v>90</v>
      </c>
      <c r="B158">
        <v>5</v>
      </c>
      <c r="C158">
        <v>0.4</v>
      </c>
      <c r="D158">
        <v>1000</v>
      </c>
      <c r="E158">
        <v>2.5053163211057949</v>
      </c>
      <c r="F158">
        <v>1498.809266074908</v>
      </c>
      <c r="G158">
        <v>9.4250000000000007</v>
      </c>
      <c r="H158">
        <v>24.7</v>
      </c>
      <c r="I158">
        <v>104825</v>
      </c>
      <c r="J158">
        <v>1.8476000000000001E-5</v>
      </c>
      <c r="K158">
        <v>1007</v>
      </c>
      <c r="L158">
        <v>1.39013424E-3</v>
      </c>
      <c r="M158">
        <v>1.226</v>
      </c>
      <c r="N158">
        <v>6.1251806092864616</v>
      </c>
      <c r="O158">
        <v>69.275792691029906</v>
      </c>
      <c r="P158">
        <v>69</v>
      </c>
      <c r="Q158">
        <v>0.35</v>
      </c>
      <c r="R158">
        <v>32.090000000000003</v>
      </c>
      <c r="S158">
        <v>0.35</v>
      </c>
      <c r="T158">
        <v>31.99</v>
      </c>
      <c r="U158">
        <v>11.2315</v>
      </c>
      <c r="V158">
        <v>11.1965</v>
      </c>
      <c r="W158">
        <v>22.428000000000001</v>
      </c>
      <c r="X158">
        <v>36.558120865034738</v>
      </c>
      <c r="Y158">
        <v>4485.5999999999995</v>
      </c>
      <c r="Z158">
        <v>190.2832299964854</v>
      </c>
      <c r="AA158">
        <v>4295.3167700035137</v>
      </c>
      <c r="AB158">
        <v>1.3901342399999999E-4</v>
      </c>
      <c r="AC158">
        <v>25.224578233542839</v>
      </c>
      <c r="AD158">
        <v>298.37457823354282</v>
      </c>
      <c r="AE158">
        <v>298.35937999999999</v>
      </c>
      <c r="AF158">
        <v>313.81119000000001</v>
      </c>
      <c r="AG158">
        <v>310.58758999999998</v>
      </c>
      <c r="AH158">
        <v>311.98633000000001</v>
      </c>
      <c r="AI158">
        <v>311.81513000000001</v>
      </c>
      <c r="AJ158">
        <v>1595.9277</v>
      </c>
      <c r="AK158">
        <v>1.5033519000000001E-3</v>
      </c>
      <c r="AL158">
        <v>1.9740586999999999E-4</v>
      </c>
      <c r="AM158">
        <v>1.9742758999999999E-4</v>
      </c>
      <c r="AN158">
        <v>236.92602248064199</v>
      </c>
      <c r="AO158">
        <v>22.829793500593489</v>
      </c>
      <c r="AP158">
        <v>3456.3127136398721</v>
      </c>
      <c r="AQ158">
        <v>70</v>
      </c>
      <c r="AR158">
        <v>3386.3127136398721</v>
      </c>
      <c r="AS158">
        <v>2.1657075778807982</v>
      </c>
      <c r="AT158">
        <v>7.543712858009469</v>
      </c>
      <c r="AU158">
        <v>3.4248456375362988</v>
      </c>
      <c r="AV158">
        <v>1537.3859719925019</v>
      </c>
      <c r="AW158">
        <v>147.49434907161799</v>
      </c>
      <c r="AZ158">
        <f t="shared" si="8"/>
        <v>22.383027541866252</v>
      </c>
      <c r="BA158">
        <f t="shared" si="9"/>
        <v>1.9569426184937809E-2</v>
      </c>
      <c r="BB158">
        <f t="shared" si="10"/>
        <v>19.151126913952094</v>
      </c>
      <c r="BC158">
        <f t="shared" si="11"/>
        <v>0.16113446608904997</v>
      </c>
      <c r="BD158">
        <v>0.754</v>
      </c>
      <c r="BF158">
        <v>0.72</v>
      </c>
    </row>
    <row r="159" spans="1:58" x14ac:dyDescent="0.25">
      <c r="A159" t="s">
        <v>90</v>
      </c>
      <c r="B159">
        <v>5</v>
      </c>
      <c r="C159">
        <v>0.4</v>
      </c>
      <c r="D159">
        <v>1200</v>
      </c>
      <c r="E159">
        <v>2.5053163211057949</v>
      </c>
      <c r="F159">
        <v>1824.63736739554</v>
      </c>
      <c r="G159">
        <v>9.4250000000000007</v>
      </c>
      <c r="H159">
        <v>24.7</v>
      </c>
      <c r="I159">
        <v>105925</v>
      </c>
      <c r="J159">
        <v>1.8476000000000001E-5</v>
      </c>
      <c r="K159">
        <v>1007</v>
      </c>
      <c r="L159">
        <v>1.6681610879999999E-3</v>
      </c>
      <c r="M159">
        <v>1.2390000000000001</v>
      </c>
      <c r="N159">
        <v>7.3502167311437558</v>
      </c>
      <c r="O159">
        <v>83.13095122923589</v>
      </c>
      <c r="P159">
        <v>84</v>
      </c>
      <c r="Q159">
        <v>0.35</v>
      </c>
      <c r="R159">
        <v>32.090000000000003</v>
      </c>
      <c r="S159">
        <v>0.35</v>
      </c>
      <c r="T159">
        <v>31.99</v>
      </c>
      <c r="U159">
        <v>11.2315</v>
      </c>
      <c r="V159">
        <v>11.1965</v>
      </c>
      <c r="W159">
        <v>22.428000000000001</v>
      </c>
      <c r="X159">
        <v>35.224059097657552</v>
      </c>
      <c r="Y159">
        <v>4485.5999999999995</v>
      </c>
      <c r="Z159">
        <v>161.85037154837539</v>
      </c>
      <c r="AA159">
        <v>4323.7496284516237</v>
      </c>
      <c r="AB159">
        <v>1.6681610880000001E-4</v>
      </c>
      <c r="AC159">
        <v>25.246016991092059</v>
      </c>
      <c r="AD159">
        <v>298.39601699109198</v>
      </c>
      <c r="AE159">
        <v>298.38486</v>
      </c>
      <c r="AF159">
        <v>311.18450000000001</v>
      </c>
      <c r="AG159">
        <v>308.65447999999998</v>
      </c>
      <c r="AH159">
        <v>309.92894999999999</v>
      </c>
      <c r="AI159">
        <v>309.90647000000001</v>
      </c>
      <c r="AJ159">
        <v>2263.893</v>
      </c>
      <c r="AK159">
        <v>1.5033519000000001E-3</v>
      </c>
      <c r="AL159">
        <v>1.9740586999999999E-4</v>
      </c>
      <c r="AM159">
        <v>1.9742758999999999E-4</v>
      </c>
      <c r="AN159">
        <v>275.59597031726628</v>
      </c>
      <c r="AO159">
        <v>26.555964710262899</v>
      </c>
      <c r="AP159">
        <v>4722.1629275266687</v>
      </c>
      <c r="AQ159">
        <v>84</v>
      </c>
      <c r="AR159">
        <v>4638.1629275266687</v>
      </c>
      <c r="AS159">
        <v>2.0858595912115412</v>
      </c>
      <c r="AT159">
        <v>7.213902338227947</v>
      </c>
      <c r="AU159">
        <v>3.2751116615554881</v>
      </c>
      <c r="AV159">
        <v>2105.7259690971082</v>
      </c>
      <c r="AW159">
        <v>176.99321888594159</v>
      </c>
      <c r="AZ159">
        <f t="shared" si="8"/>
        <v>25.849739878952573</v>
      </c>
      <c r="BA159">
        <f t="shared" si="9"/>
        <v>2.6593830765161256E-2</v>
      </c>
      <c r="BB159">
        <f t="shared" si="10"/>
        <v>22.785845441798656</v>
      </c>
      <c r="BC159">
        <f t="shared" si="11"/>
        <v>0.14196883109304745</v>
      </c>
      <c r="BD159">
        <v>0.754</v>
      </c>
      <c r="BF159">
        <v>0.72</v>
      </c>
    </row>
    <row r="160" spans="1:58" x14ac:dyDescent="0.25">
      <c r="A160" t="s">
        <v>90</v>
      </c>
      <c r="B160">
        <v>5</v>
      </c>
      <c r="C160">
        <v>0.4</v>
      </c>
      <c r="D160">
        <v>1400</v>
      </c>
      <c r="E160">
        <v>2.5053163211057949</v>
      </c>
      <c r="F160">
        <v>2106.907687034331</v>
      </c>
      <c r="G160">
        <v>9.4250000000000007</v>
      </c>
      <c r="H160">
        <v>24.7</v>
      </c>
      <c r="I160">
        <v>107525</v>
      </c>
      <c r="J160">
        <v>1.8476999999999999E-5</v>
      </c>
      <c r="K160">
        <v>1007</v>
      </c>
      <c r="L160">
        <v>1.946293272E-3</v>
      </c>
      <c r="M160">
        <v>1.258</v>
      </c>
      <c r="N160">
        <v>8.5757169822959725</v>
      </c>
      <c r="O160">
        <v>96.991359069767455</v>
      </c>
      <c r="P160">
        <v>97</v>
      </c>
      <c r="Q160">
        <v>0.4</v>
      </c>
      <c r="R160">
        <v>36.9</v>
      </c>
      <c r="S160">
        <v>0.4</v>
      </c>
      <c r="T160">
        <v>37.090000000000003</v>
      </c>
      <c r="U160">
        <v>14.76</v>
      </c>
      <c r="V160">
        <v>14.836</v>
      </c>
      <c r="W160">
        <v>29.596</v>
      </c>
      <c r="X160">
        <v>36.806747934281312</v>
      </c>
      <c r="Y160">
        <v>5919.2000000000007</v>
      </c>
      <c r="Z160">
        <v>195.58221872333749</v>
      </c>
      <c r="AA160">
        <v>5723.6177812766637</v>
      </c>
      <c r="AB160">
        <v>1.9462932719999999E-4</v>
      </c>
      <c r="AC160">
        <v>25.253550153727929</v>
      </c>
      <c r="AD160">
        <v>298.40355015372791</v>
      </c>
      <c r="AE160">
        <v>298.37961000000001</v>
      </c>
      <c r="AF160">
        <v>312.95591999999999</v>
      </c>
      <c r="AG160">
        <v>310.34983999999997</v>
      </c>
      <c r="AH160">
        <v>311.92986000000002</v>
      </c>
      <c r="AI160">
        <v>312.11446000000001</v>
      </c>
      <c r="AJ160">
        <v>2918.0891999999999</v>
      </c>
      <c r="AK160">
        <v>1.5033519000000001E-3</v>
      </c>
      <c r="AL160">
        <v>1.9740586999999999E-4</v>
      </c>
      <c r="AM160">
        <v>1.9742758999999999E-4</v>
      </c>
      <c r="AN160">
        <v>299.73690682977792</v>
      </c>
      <c r="AO160">
        <v>28.882144796861919</v>
      </c>
      <c r="AP160">
        <v>6203.4784140404809</v>
      </c>
      <c r="AQ160">
        <v>98</v>
      </c>
      <c r="AR160">
        <v>6105.4784140404809</v>
      </c>
      <c r="AS160">
        <v>2.125870043328518</v>
      </c>
      <c r="AT160">
        <v>7.0304721819813336</v>
      </c>
      <c r="AU160">
        <v>3.1918343706195249</v>
      </c>
      <c r="AV160">
        <v>2771.8871999743778</v>
      </c>
      <c r="AW160">
        <v>206.50326493368701</v>
      </c>
      <c r="AZ160">
        <f t="shared" si="8"/>
        <v>29.196497256849398</v>
      </c>
      <c r="BA160">
        <f t="shared" si="9"/>
        <v>-1.0883972163370413E-2</v>
      </c>
      <c r="BB160">
        <f t="shared" si="10"/>
        <v>26.392152394807297</v>
      </c>
      <c r="BC160">
        <f t="shared" si="11"/>
        <v>8.6212170860841417E-2</v>
      </c>
      <c r="BD160">
        <v>0.754</v>
      </c>
      <c r="BF160">
        <v>0.72</v>
      </c>
    </row>
    <row r="161" spans="1:58" x14ac:dyDescent="0.25">
      <c r="A161" t="s">
        <v>90</v>
      </c>
      <c r="B161">
        <v>5</v>
      </c>
      <c r="C161">
        <v>0.4</v>
      </c>
      <c r="D161">
        <v>1600</v>
      </c>
      <c r="E161">
        <v>2.5053163211057949</v>
      </c>
      <c r="F161">
        <v>2410.345200735851</v>
      </c>
      <c r="G161">
        <v>9.4250000000000007</v>
      </c>
      <c r="H161">
        <v>24.8</v>
      </c>
      <c r="I161">
        <v>109125</v>
      </c>
      <c r="J161">
        <v>1.8482E-5</v>
      </c>
      <c r="K161">
        <v>1007</v>
      </c>
      <c r="L161">
        <v>2.2249370879999998E-3</v>
      </c>
      <c r="M161">
        <v>1.276</v>
      </c>
      <c r="N161">
        <v>9.8034715757378148</v>
      </c>
      <c r="O161">
        <v>110.8772635215947</v>
      </c>
      <c r="P161">
        <v>111</v>
      </c>
      <c r="Q161">
        <v>0.4</v>
      </c>
      <c r="R161">
        <v>36.9</v>
      </c>
      <c r="S161">
        <v>0.4</v>
      </c>
      <c r="T161">
        <v>37.090000000000003</v>
      </c>
      <c r="U161">
        <v>14.76</v>
      </c>
      <c r="V161">
        <v>14.836</v>
      </c>
      <c r="W161">
        <v>29.596</v>
      </c>
      <c r="X161">
        <v>35.769936670965357</v>
      </c>
      <c r="Y161">
        <v>5919.2000000000007</v>
      </c>
      <c r="Z161">
        <v>173.48466026828481</v>
      </c>
      <c r="AA161">
        <v>5745.7153397317161</v>
      </c>
      <c r="AB161">
        <v>2.2249370879999999E-4</v>
      </c>
      <c r="AC161">
        <v>25.240255158437758</v>
      </c>
      <c r="AD161">
        <v>298.39025515843781</v>
      </c>
      <c r="AE161">
        <v>298.36398000000003</v>
      </c>
      <c r="AF161">
        <v>310.93351000000001</v>
      </c>
      <c r="AG161">
        <v>309.18173999999999</v>
      </c>
      <c r="AH161">
        <v>310.80178000000001</v>
      </c>
      <c r="AI161">
        <v>310.90796</v>
      </c>
      <c r="AJ161">
        <v>3700.4445999999998</v>
      </c>
      <c r="AK161">
        <v>1.5033519000000001E-3</v>
      </c>
      <c r="AL161">
        <v>1.9740586999999999E-4</v>
      </c>
      <c r="AM161">
        <v>1.9742758999999999E-4</v>
      </c>
      <c r="AN161">
        <v>310.07391760019158</v>
      </c>
      <c r="AO161">
        <v>29.878201788960521</v>
      </c>
      <c r="AP161">
        <v>7800.2665192827326</v>
      </c>
      <c r="AQ161">
        <v>112</v>
      </c>
      <c r="AR161">
        <v>7688.2665192827326</v>
      </c>
      <c r="AS161">
        <v>2.107926847299034</v>
      </c>
      <c r="AT161">
        <v>6.8242257780789508</v>
      </c>
      <c r="AU161">
        <v>3.0981985032478438</v>
      </c>
      <c r="AV161">
        <v>3490.4729997543609</v>
      </c>
      <c r="AW161">
        <v>236.06759554376649</v>
      </c>
      <c r="AZ161">
        <f t="shared" si="8"/>
        <v>32.443880372975045</v>
      </c>
      <c r="BA161">
        <f t="shared" si="9"/>
        <v>-8.5871251628084858E-2</v>
      </c>
      <c r="BB161">
        <f t="shared" si="10"/>
        <v>29.974314145151478</v>
      </c>
      <c r="BC161">
        <f t="shared" si="11"/>
        <v>-3.216805243830612E-3</v>
      </c>
      <c r="BD161">
        <v>0.754</v>
      </c>
      <c r="BF161">
        <v>0.72</v>
      </c>
    </row>
    <row r="162" spans="1:58" x14ac:dyDescent="0.25">
      <c r="A162" t="s">
        <v>90</v>
      </c>
      <c r="B162">
        <v>5</v>
      </c>
      <c r="C162">
        <v>0.4</v>
      </c>
      <c r="D162">
        <v>1800</v>
      </c>
      <c r="E162">
        <v>2.5053163211057949</v>
      </c>
      <c r="F162">
        <v>2714.3527035313641</v>
      </c>
      <c r="G162">
        <v>9.4250000000000007</v>
      </c>
      <c r="H162">
        <v>24.8</v>
      </c>
      <c r="I162">
        <v>110825</v>
      </c>
      <c r="J162">
        <v>1.8482E-5</v>
      </c>
      <c r="K162">
        <v>1007</v>
      </c>
      <c r="L162">
        <v>2.5030542240000011E-3</v>
      </c>
      <c r="M162">
        <v>1.296</v>
      </c>
      <c r="N162">
        <v>11.02890552270504</v>
      </c>
      <c r="O162">
        <v>124.7369214617941</v>
      </c>
      <c r="P162">
        <v>125</v>
      </c>
      <c r="Q162">
        <v>0.4</v>
      </c>
      <c r="R162">
        <v>36.9</v>
      </c>
      <c r="S162">
        <v>0.4</v>
      </c>
      <c r="T162">
        <v>37.090000000000003</v>
      </c>
      <c r="U162">
        <v>14.76</v>
      </c>
      <c r="V162">
        <v>14.836</v>
      </c>
      <c r="W162">
        <v>29.596</v>
      </c>
      <c r="X162">
        <v>34.847412213086677</v>
      </c>
      <c r="Y162">
        <v>5919.2000000000007</v>
      </c>
      <c r="Z162">
        <v>153.82289649751641</v>
      </c>
      <c r="AA162">
        <v>5765.3771035024847</v>
      </c>
      <c r="AB162">
        <v>2.5030542240000011E-4</v>
      </c>
      <c r="AC162">
        <v>25.264355087358702</v>
      </c>
      <c r="AD162">
        <v>298.41435508735867</v>
      </c>
      <c r="AE162">
        <v>298.37774999999999</v>
      </c>
      <c r="AF162">
        <v>309.98070000000001</v>
      </c>
      <c r="AG162">
        <v>308.13533999999999</v>
      </c>
      <c r="AH162">
        <v>309.69290999999998</v>
      </c>
      <c r="AI162">
        <v>309.93070999999998</v>
      </c>
      <c r="AJ162">
        <v>4914.3694999999998</v>
      </c>
      <c r="AK162">
        <v>1.5033519000000001E-3</v>
      </c>
      <c r="AL162">
        <v>1.9740586999999999E-4</v>
      </c>
      <c r="AM162">
        <v>1.9742758999999999E-4</v>
      </c>
      <c r="AN162">
        <v>352.77915974717888</v>
      </c>
      <c r="AO162">
        <v>33.99320717925368</v>
      </c>
      <c r="AP162">
        <v>9591.5467625899273</v>
      </c>
      <c r="AQ162">
        <v>126</v>
      </c>
      <c r="AR162">
        <v>9465.5467625899273</v>
      </c>
      <c r="AS162">
        <v>1.951734960627183</v>
      </c>
      <c r="AT162">
        <v>6.6922296848301608</v>
      </c>
      <c r="AU162">
        <v>3.0382722769128931</v>
      </c>
      <c r="AV162">
        <v>4297.3582302158266</v>
      </c>
      <c r="AW162">
        <v>265.57604498673737</v>
      </c>
      <c r="AZ162">
        <f t="shared" si="8"/>
        <v>35.606808891882743</v>
      </c>
      <c r="BA162">
        <f t="shared" si="9"/>
        <v>-4.7468357549206364E-2</v>
      </c>
      <c r="BB162">
        <f t="shared" si="10"/>
        <v>33.535498763390123</v>
      </c>
      <c r="BC162">
        <f t="shared" si="11"/>
        <v>1.3464702328614058E-2</v>
      </c>
      <c r="BD162">
        <v>0.754</v>
      </c>
      <c r="BF162">
        <v>0.72</v>
      </c>
    </row>
    <row r="163" spans="1:58" x14ac:dyDescent="0.25">
      <c r="A163" t="s">
        <v>90</v>
      </c>
      <c r="B163">
        <v>5</v>
      </c>
      <c r="C163">
        <v>0.4</v>
      </c>
      <c r="D163">
        <v>2000</v>
      </c>
      <c r="E163">
        <v>2.5053163211057949</v>
      </c>
      <c r="F163">
        <v>3018.3602063268768</v>
      </c>
      <c r="G163">
        <v>9.4250000000000007</v>
      </c>
      <c r="H163">
        <v>24.8</v>
      </c>
      <c r="I163">
        <v>112625</v>
      </c>
      <c r="J163">
        <v>1.8482E-5</v>
      </c>
      <c r="K163">
        <v>1007</v>
      </c>
      <c r="L163">
        <v>2.781171360000001E-3</v>
      </c>
      <c r="M163">
        <v>1.3169999999999999</v>
      </c>
      <c r="N163">
        <v>12.254339469672271</v>
      </c>
      <c r="O163">
        <v>138.59657940199341</v>
      </c>
      <c r="P163">
        <v>139</v>
      </c>
      <c r="Q163">
        <v>0.4</v>
      </c>
      <c r="R163">
        <v>36.9</v>
      </c>
      <c r="S163">
        <v>0.4</v>
      </c>
      <c r="T163">
        <v>37.090000000000003</v>
      </c>
      <c r="U163">
        <v>14.76</v>
      </c>
      <c r="V163">
        <v>14.836</v>
      </c>
      <c r="W163">
        <v>29.596</v>
      </c>
      <c r="X163">
        <v>34.19097564416024</v>
      </c>
      <c r="Y163">
        <v>5919.2000000000007</v>
      </c>
      <c r="Z163">
        <v>139.83226390398721</v>
      </c>
      <c r="AA163">
        <v>5779.3677360960137</v>
      </c>
      <c r="AB163">
        <v>2.7811713599999998E-4</v>
      </c>
      <c r="AC163">
        <v>25.252331201805539</v>
      </c>
      <c r="AD163">
        <v>298.40233120180551</v>
      </c>
      <c r="AE163">
        <v>298.36059999999998</v>
      </c>
      <c r="AF163">
        <v>308.54624000000001</v>
      </c>
      <c r="AG163">
        <v>307.23656</v>
      </c>
      <c r="AH163">
        <v>308.81673999999998</v>
      </c>
      <c r="AI163">
        <v>308.95724000000001</v>
      </c>
      <c r="AJ163">
        <v>5587.9696999999996</v>
      </c>
      <c r="AK163">
        <v>1.5033519000000001E-3</v>
      </c>
      <c r="AL163">
        <v>1.9740586999999999E-4</v>
      </c>
      <c r="AM163">
        <v>1.9742758999999999E-4</v>
      </c>
      <c r="AN163">
        <v>368.92340483137161</v>
      </c>
      <c r="AO163">
        <v>35.548839513921372</v>
      </c>
      <c r="AP163">
        <v>11498.84082502664</v>
      </c>
      <c r="AQ163">
        <v>140</v>
      </c>
      <c r="AR163">
        <v>11358.84082502664</v>
      </c>
      <c r="AS163">
        <v>2.0577851066419779</v>
      </c>
      <c r="AT163">
        <v>6.5598581830740974</v>
      </c>
      <c r="AU163">
        <v>2.97817561511564</v>
      </c>
      <c r="AV163">
        <v>5156.9137345620966</v>
      </c>
      <c r="AW163">
        <v>295.08449442970829</v>
      </c>
      <c r="AZ163">
        <f t="shared" si="8"/>
        <v>38.696556465008527</v>
      </c>
      <c r="BA163">
        <f t="shared" si="9"/>
        <v>-8.8546264635571845E-2</v>
      </c>
      <c r="BB163">
        <f t="shared" si="10"/>
        <v>37.07815062765404</v>
      </c>
      <c r="BC163">
        <f t="shared" si="11"/>
        <v>-4.3020001064557119E-2</v>
      </c>
      <c r="BD163">
        <v>0.754</v>
      </c>
      <c r="BF163">
        <v>0.72</v>
      </c>
    </row>
    <row r="164" spans="1:58" x14ac:dyDescent="0.25">
      <c r="A164" t="s">
        <v>90</v>
      </c>
      <c r="B164">
        <v>5</v>
      </c>
      <c r="C164">
        <v>0.4</v>
      </c>
      <c r="D164">
        <v>2500</v>
      </c>
      <c r="E164">
        <v>2.5053163211057949</v>
      </c>
      <c r="F164">
        <v>3767.4679400220662</v>
      </c>
      <c r="G164">
        <v>9.4250000000000007</v>
      </c>
      <c r="H164">
        <v>23.7</v>
      </c>
      <c r="I164">
        <v>116725</v>
      </c>
      <c r="J164">
        <v>1.8428999999999999E-5</v>
      </c>
      <c r="K164">
        <v>1007</v>
      </c>
      <c r="L164">
        <v>3.4664949E-3</v>
      </c>
      <c r="M164">
        <v>1.37</v>
      </c>
      <c r="N164">
        <v>15.2739978145351</v>
      </c>
      <c r="O164">
        <v>172.74891528239201</v>
      </c>
      <c r="P164">
        <v>173</v>
      </c>
      <c r="Q164">
        <v>0.45</v>
      </c>
      <c r="R164">
        <v>41.25</v>
      </c>
      <c r="S164">
        <v>0.45</v>
      </c>
      <c r="T164">
        <v>41.32</v>
      </c>
      <c r="U164">
        <v>18.5625</v>
      </c>
      <c r="V164">
        <v>18.594000000000001</v>
      </c>
      <c r="W164">
        <v>37.156500000000001</v>
      </c>
      <c r="X164">
        <v>33.968417956967599</v>
      </c>
      <c r="Y164">
        <v>7431.2999999999993</v>
      </c>
      <c r="Z164">
        <v>135.08889191685051</v>
      </c>
      <c r="AA164">
        <v>7296.2111080831492</v>
      </c>
      <c r="AB164">
        <v>3.4664948999999997E-4</v>
      </c>
      <c r="AC164">
        <v>24.290583149004661</v>
      </c>
      <c r="AD164">
        <v>297.44058314900462</v>
      </c>
      <c r="AE164">
        <v>297.38180999999997</v>
      </c>
      <c r="AF164">
        <v>307.73561000000001</v>
      </c>
      <c r="AG164">
        <v>306.82735000000002</v>
      </c>
      <c r="AH164">
        <v>308.92151000000001</v>
      </c>
      <c r="AI164">
        <v>308.86264</v>
      </c>
      <c r="AJ164">
        <v>8109.5623999999998</v>
      </c>
      <c r="AK164">
        <v>1.5033519000000001E-3</v>
      </c>
      <c r="AL164">
        <v>1.9740586999999999E-4</v>
      </c>
      <c r="AM164">
        <v>1.9742758999999999E-4</v>
      </c>
      <c r="AN164">
        <v>409.07712528689058</v>
      </c>
      <c r="AO164">
        <v>39.417984560472583</v>
      </c>
      <c r="AP164">
        <v>15989.68127890609</v>
      </c>
      <c r="AQ164">
        <v>175</v>
      </c>
      <c r="AR164">
        <v>15814.68127890609</v>
      </c>
      <c r="AS164">
        <v>1.9717070404324279</v>
      </c>
      <c r="AT164">
        <v>6.0030741863878676</v>
      </c>
      <c r="AU164">
        <v>2.725395680620093</v>
      </c>
      <c r="AV164">
        <v>7179.8653006233662</v>
      </c>
      <c r="AW164">
        <v>367.79786737400519</v>
      </c>
      <c r="AZ164">
        <f t="shared" si="8"/>
        <v>46.154265921190863</v>
      </c>
      <c r="BA164">
        <f t="shared" si="9"/>
        <v>-0.17089360188834371</v>
      </c>
      <c r="BB164">
        <f t="shared" si="10"/>
        <v>45.86557835183639</v>
      </c>
      <c r="BC164">
        <f t="shared" si="11"/>
        <v>-0.16356984922636814</v>
      </c>
      <c r="BD164">
        <v>0.754</v>
      </c>
      <c r="BF164">
        <v>0.72</v>
      </c>
    </row>
    <row r="165" spans="1:58" x14ac:dyDescent="0.25">
      <c r="A165" t="s">
        <v>90</v>
      </c>
      <c r="B165">
        <v>5</v>
      </c>
      <c r="C165">
        <v>0.4</v>
      </c>
      <c r="D165">
        <v>3000</v>
      </c>
      <c r="E165">
        <v>2.5053163211057949</v>
      </c>
      <c r="F165">
        <v>4505.2060737527117</v>
      </c>
      <c r="G165">
        <v>9.4250000000000007</v>
      </c>
      <c r="H165">
        <v>23.9</v>
      </c>
      <c r="I165">
        <v>123225</v>
      </c>
      <c r="J165">
        <v>1.844E-5</v>
      </c>
      <c r="K165">
        <v>1007</v>
      </c>
      <c r="L165">
        <v>4.1622767999999997E-3</v>
      </c>
      <c r="M165">
        <v>1.4450000000000001</v>
      </c>
      <c r="N165">
        <v>18.339737567965312</v>
      </c>
      <c r="O165">
        <v>207.4224318936877</v>
      </c>
      <c r="P165">
        <v>207</v>
      </c>
      <c r="Q165">
        <v>0.45</v>
      </c>
      <c r="R165">
        <v>41.25</v>
      </c>
      <c r="S165">
        <v>0.45</v>
      </c>
      <c r="T165">
        <v>41.32</v>
      </c>
      <c r="U165">
        <v>18.5625</v>
      </c>
      <c r="V165">
        <v>18.594000000000001</v>
      </c>
      <c r="W165">
        <v>37.156500000000001</v>
      </c>
      <c r="X165">
        <v>32.804820399443557</v>
      </c>
      <c r="Y165">
        <v>7431.2999999999993</v>
      </c>
      <c r="Z165">
        <v>110.28913717334051</v>
      </c>
      <c r="AA165">
        <v>7321.0108628266589</v>
      </c>
      <c r="AB165">
        <v>4.1622768000000002E-4</v>
      </c>
      <c r="AC165">
        <v>24.346692170111289</v>
      </c>
      <c r="AD165">
        <v>297.49669217011132</v>
      </c>
      <c r="AE165">
        <v>297.42065000000002</v>
      </c>
      <c r="AF165">
        <v>306.09008999999998</v>
      </c>
      <c r="AG165">
        <v>305.58792999999997</v>
      </c>
      <c r="AH165">
        <v>307.64112</v>
      </c>
      <c r="AI165">
        <v>307.66282999999999</v>
      </c>
      <c r="AJ165">
        <v>11053.210999999999</v>
      </c>
      <c r="AK165">
        <v>1.5033519000000001E-3</v>
      </c>
      <c r="AL165">
        <v>1.9740586999999999E-4</v>
      </c>
      <c r="AM165">
        <v>1.9742758999999999E-4</v>
      </c>
      <c r="AN165">
        <v>452.4804911327775</v>
      </c>
      <c r="AO165">
        <v>43.600259977573593</v>
      </c>
      <c r="AP165">
        <v>22121.373542660309</v>
      </c>
      <c r="AQ165">
        <v>210</v>
      </c>
      <c r="AR165">
        <v>21911.373542660309</v>
      </c>
      <c r="AS165">
        <v>2.0013526877086041</v>
      </c>
      <c r="AT165">
        <v>5.937902856396386</v>
      </c>
      <c r="AU165">
        <v>2.6958078968039589</v>
      </c>
      <c r="AV165">
        <v>9947.7635883677794</v>
      </c>
      <c r="AW165">
        <v>441.62088063660468</v>
      </c>
      <c r="AZ165">
        <f t="shared" si="8"/>
        <v>53.302698490416638</v>
      </c>
      <c r="BA165">
        <f t="shared" si="9"/>
        <v>-0.22253166650459494</v>
      </c>
      <c r="BB165">
        <f t="shared" si="10"/>
        <v>54.570469096639819</v>
      </c>
      <c r="BC165">
        <f t="shared" si="11"/>
        <v>-0.25160880060598051</v>
      </c>
      <c r="BD165">
        <v>0.754</v>
      </c>
      <c r="BF165">
        <v>0.72</v>
      </c>
    </row>
    <row r="166" spans="1:58" x14ac:dyDescent="0.25">
      <c r="A166" t="s">
        <v>90</v>
      </c>
      <c r="B166">
        <v>5</v>
      </c>
      <c r="C166">
        <v>0.4</v>
      </c>
      <c r="D166">
        <v>3500</v>
      </c>
      <c r="E166">
        <v>2.5053163211057949</v>
      </c>
      <c r="F166">
        <v>5333.4056556013584</v>
      </c>
      <c r="G166">
        <v>9.4250000000000007</v>
      </c>
      <c r="H166">
        <v>23.8</v>
      </c>
      <c r="I166">
        <v>130125</v>
      </c>
      <c r="J166">
        <v>1.8436000000000001E-5</v>
      </c>
      <c r="K166">
        <v>1007</v>
      </c>
      <c r="L166">
        <v>4.8549362399999997E-3</v>
      </c>
      <c r="M166">
        <v>1.5269999999999999</v>
      </c>
      <c r="N166">
        <v>21.3917192030103</v>
      </c>
      <c r="O166">
        <v>241.9403441860465</v>
      </c>
      <c r="P166">
        <v>245</v>
      </c>
      <c r="Q166">
        <v>0.45</v>
      </c>
      <c r="R166">
        <v>41.25</v>
      </c>
      <c r="S166">
        <v>0.45</v>
      </c>
      <c r="T166">
        <v>41.32</v>
      </c>
      <c r="U166">
        <v>18.5625</v>
      </c>
      <c r="V166">
        <v>18.594000000000001</v>
      </c>
      <c r="W166">
        <v>37.156500000000001</v>
      </c>
      <c r="X166">
        <v>31.928043979162499</v>
      </c>
      <c r="Y166">
        <v>7431.2999999999993</v>
      </c>
      <c r="Z166">
        <v>91.602401327890334</v>
      </c>
      <c r="AA166">
        <v>7339.6975986721091</v>
      </c>
      <c r="AB166">
        <v>4.8549362399999998E-4</v>
      </c>
      <c r="AC166">
        <v>24.343520336605891</v>
      </c>
      <c r="AD166">
        <v>297.49352033660591</v>
      </c>
      <c r="AE166">
        <v>297.38909999999998</v>
      </c>
      <c r="AF166">
        <v>304.82911000000001</v>
      </c>
      <c r="AG166">
        <v>304.49700999999999</v>
      </c>
      <c r="AH166">
        <v>306.47838000000002</v>
      </c>
      <c r="AI166">
        <v>306.64377999999999</v>
      </c>
      <c r="AJ166">
        <v>14845.641</v>
      </c>
      <c r="AK166">
        <v>1.5033519000000001E-3</v>
      </c>
      <c r="AL166">
        <v>1.9740586999999999E-4</v>
      </c>
      <c r="AM166">
        <v>1.9742758999999999E-4</v>
      </c>
      <c r="AN166">
        <v>506.47683806625508</v>
      </c>
      <c r="AO166">
        <v>48.803257256517142</v>
      </c>
      <c r="AP166">
        <v>28945.400387363919</v>
      </c>
      <c r="AQ166">
        <v>245</v>
      </c>
      <c r="AR166">
        <v>28700.400387363919</v>
      </c>
      <c r="AS166">
        <v>1.9497575340373601</v>
      </c>
      <c r="AT166">
        <v>5.8944783115821311</v>
      </c>
      <c r="AU166">
        <v>2.6760931534582881</v>
      </c>
      <c r="AV166">
        <v>13029.98177586322</v>
      </c>
      <c r="AW166">
        <v>515.112598408488</v>
      </c>
      <c r="AZ166">
        <f t="shared" si="8"/>
        <v>60.2037814517915</v>
      </c>
      <c r="BA166">
        <f t="shared" si="9"/>
        <v>-0.23360170685639925</v>
      </c>
      <c r="BB166">
        <f t="shared" si="10"/>
        <v>63.207316153065001</v>
      </c>
      <c r="BC166">
        <f t="shared" si="11"/>
        <v>-0.29514544123229303</v>
      </c>
      <c r="BD166">
        <v>0.754</v>
      </c>
      <c r="BF166">
        <v>0.72</v>
      </c>
    </row>
    <row r="167" spans="1:58" x14ac:dyDescent="0.25">
      <c r="A167" t="s">
        <v>90</v>
      </c>
      <c r="B167">
        <v>5</v>
      </c>
      <c r="C167">
        <v>0.4</v>
      </c>
      <c r="D167">
        <v>4000</v>
      </c>
      <c r="E167">
        <v>2.5053163211057949</v>
      </c>
      <c r="F167">
        <v>6029.6866807687429</v>
      </c>
      <c r="G167">
        <v>9.4250000000000007</v>
      </c>
      <c r="H167">
        <v>23.8</v>
      </c>
      <c r="I167">
        <v>137525</v>
      </c>
      <c r="J167">
        <v>1.8437E-5</v>
      </c>
      <c r="K167">
        <v>1007</v>
      </c>
      <c r="L167">
        <v>5.5487995199999997E-3</v>
      </c>
      <c r="M167">
        <v>1.6140000000000001</v>
      </c>
      <c r="N167">
        <v>24.44900517285441</v>
      </c>
      <c r="O167">
        <v>276.51824850498338</v>
      </c>
      <c r="P167">
        <v>277</v>
      </c>
      <c r="Q167">
        <v>0.5</v>
      </c>
      <c r="R167">
        <v>46.1</v>
      </c>
      <c r="S167">
        <v>0.5</v>
      </c>
      <c r="T167">
        <v>46.24</v>
      </c>
      <c r="U167">
        <v>23.05</v>
      </c>
      <c r="V167">
        <v>23.12</v>
      </c>
      <c r="W167">
        <v>46.17</v>
      </c>
      <c r="X167">
        <v>32.953766998659269</v>
      </c>
      <c r="Y167">
        <v>9234</v>
      </c>
      <c r="Z167">
        <v>113.46363604242489</v>
      </c>
      <c r="AA167">
        <v>9120.5363639575753</v>
      </c>
      <c r="AB167">
        <v>5.5487995199999997E-4</v>
      </c>
      <c r="AC167">
        <v>24.3807469833365</v>
      </c>
      <c r="AD167">
        <v>297.53074698333648</v>
      </c>
      <c r="AE167">
        <v>297.40681000000001</v>
      </c>
      <c r="AF167">
        <v>305.53313000000003</v>
      </c>
      <c r="AG167">
        <v>305.19056999999998</v>
      </c>
      <c r="AH167">
        <v>307.62115</v>
      </c>
      <c r="AI167">
        <v>307.81833999999998</v>
      </c>
      <c r="AJ167">
        <v>18994.690999999999</v>
      </c>
      <c r="AK167">
        <v>1.5033519000000001E-3</v>
      </c>
      <c r="AL167">
        <v>1.9740586999999999E-4</v>
      </c>
      <c r="AM167">
        <v>1.9742758999999999E-4</v>
      </c>
      <c r="AN167">
        <v>565.72036404685855</v>
      </c>
      <c r="AO167">
        <v>54.511863893404112</v>
      </c>
      <c r="AP167">
        <v>36237.444933920713</v>
      </c>
      <c r="AQ167">
        <v>280</v>
      </c>
      <c r="AR167">
        <v>35957.444933920713</v>
      </c>
      <c r="AS167">
        <v>1.907767014157836</v>
      </c>
      <c r="AT167">
        <v>5.8343663447649128</v>
      </c>
      <c r="AU167">
        <v>2.64880232052327</v>
      </c>
      <c r="AV167">
        <v>16324.68</v>
      </c>
      <c r="AW167">
        <v>588.73204456233418</v>
      </c>
      <c r="AZ167">
        <f t="shared" si="8"/>
        <v>66.899952629229659</v>
      </c>
      <c r="BA167">
        <f t="shared" si="9"/>
        <v>-0.22725491023476993</v>
      </c>
      <c r="BB167">
        <f t="shared" si="10"/>
        <v>71.786337177131514</v>
      </c>
      <c r="BC167">
        <f t="shared" si="11"/>
        <v>-0.31689382915812569</v>
      </c>
      <c r="BD167">
        <v>0.754</v>
      </c>
      <c r="BF167">
        <v>0.72</v>
      </c>
    </row>
    <row r="168" spans="1:58" x14ac:dyDescent="0.25">
      <c r="A168" t="s">
        <v>90</v>
      </c>
      <c r="B168">
        <v>5</v>
      </c>
      <c r="C168">
        <v>0.4</v>
      </c>
      <c r="D168">
        <v>4500</v>
      </c>
      <c r="E168">
        <v>2.5053163211057949</v>
      </c>
      <c r="F168">
        <v>6856.1201800531471</v>
      </c>
      <c r="G168">
        <v>9.4250000000000007</v>
      </c>
      <c r="H168">
        <v>23.8</v>
      </c>
      <c r="I168">
        <v>145025</v>
      </c>
      <c r="J168">
        <v>1.8439000000000001E-5</v>
      </c>
      <c r="K168">
        <v>1007</v>
      </c>
      <c r="L168">
        <v>6.2430766200000003E-3</v>
      </c>
      <c r="M168">
        <v>1.702</v>
      </c>
      <c r="N168">
        <v>27.50811450778572</v>
      </c>
      <c r="O168">
        <v>311.1167750830565</v>
      </c>
      <c r="P168">
        <v>315</v>
      </c>
      <c r="Q168">
        <v>0.5</v>
      </c>
      <c r="R168">
        <v>46.1</v>
      </c>
      <c r="S168">
        <v>0.5</v>
      </c>
      <c r="T168">
        <v>46.24</v>
      </c>
      <c r="U168">
        <v>23.05</v>
      </c>
      <c r="V168">
        <v>23.12</v>
      </c>
      <c r="W168">
        <v>46.17</v>
      </c>
      <c r="X168">
        <v>32.273073526493363</v>
      </c>
      <c r="Y168">
        <v>9234</v>
      </c>
      <c r="Z168">
        <v>98.956016070152828</v>
      </c>
      <c r="AA168">
        <v>9135.0439839298469</v>
      </c>
      <c r="AB168">
        <v>6.2430766200000001E-4</v>
      </c>
      <c r="AC168">
        <v>24.364803532446899</v>
      </c>
      <c r="AD168">
        <v>297.51480353244688</v>
      </c>
      <c r="AE168">
        <v>297.36716000000001</v>
      </c>
      <c r="AF168">
        <v>304.55360999999999</v>
      </c>
      <c r="AG168">
        <v>304.2919</v>
      </c>
      <c r="AH168">
        <v>306.78251</v>
      </c>
      <c r="AI168">
        <v>306.85534000000001</v>
      </c>
      <c r="AJ168">
        <v>24282.792000000001</v>
      </c>
      <c r="AK168">
        <v>1.5033519000000001E-3</v>
      </c>
      <c r="AL168">
        <v>1.9740586999999999E-4</v>
      </c>
      <c r="AM168">
        <v>1.9742758999999999E-4</v>
      </c>
      <c r="AN168">
        <v>623.84309353299716</v>
      </c>
      <c r="AO168">
        <v>60.112472462974871</v>
      </c>
      <c r="AP168">
        <v>44026.519150625121</v>
      </c>
      <c r="AQ168">
        <v>315</v>
      </c>
      <c r="AR168">
        <v>43711.519150625121</v>
      </c>
      <c r="AS168">
        <v>1.8130748371367309</v>
      </c>
      <c r="AT168">
        <v>5.7784634348503658</v>
      </c>
      <c r="AU168">
        <v>2.6234223994220658</v>
      </c>
      <c r="AV168">
        <v>19845.0296943838</v>
      </c>
      <c r="AW168">
        <v>662.39539734748007</v>
      </c>
      <c r="AZ168">
        <f t="shared" si="8"/>
        <v>73.421976679744361</v>
      </c>
      <c r="BA168">
        <f t="shared" si="9"/>
        <v>-0.22141002809304217</v>
      </c>
      <c r="BB168">
        <f t="shared" si="10"/>
        <v>80.315119471095983</v>
      </c>
      <c r="BC168">
        <f t="shared" si="11"/>
        <v>-0.33608078623890486</v>
      </c>
      <c r="BD168">
        <v>0.754</v>
      </c>
      <c r="BF168">
        <v>0.72</v>
      </c>
    </row>
    <row r="169" spans="1:58" x14ac:dyDescent="0.25">
      <c r="A169" t="s">
        <v>90</v>
      </c>
      <c r="B169">
        <v>5</v>
      </c>
      <c r="C169">
        <v>0.4</v>
      </c>
      <c r="D169">
        <v>5000</v>
      </c>
      <c r="E169">
        <v>2.5053163211057949</v>
      </c>
      <c r="F169">
        <v>7639.2624728850305</v>
      </c>
      <c r="G169">
        <v>9.4250000000000007</v>
      </c>
      <c r="H169">
        <v>23.8</v>
      </c>
      <c r="I169">
        <v>153525</v>
      </c>
      <c r="J169">
        <v>1.844E-5</v>
      </c>
      <c r="K169">
        <v>1007</v>
      </c>
      <c r="L169">
        <v>6.9371280000000007E-3</v>
      </c>
      <c r="M169">
        <v>1.802</v>
      </c>
      <c r="N169">
        <v>30.566229279942188</v>
      </c>
      <c r="O169">
        <v>345.70405315614619</v>
      </c>
      <c r="P169">
        <v>351</v>
      </c>
      <c r="Q169">
        <v>0.5</v>
      </c>
      <c r="R169">
        <v>46.1</v>
      </c>
      <c r="S169">
        <v>0.5</v>
      </c>
      <c r="T169">
        <v>46.24</v>
      </c>
      <c r="U169">
        <v>23.05</v>
      </c>
      <c r="V169">
        <v>23.12</v>
      </c>
      <c r="W169">
        <v>46.17</v>
      </c>
      <c r="X169">
        <v>31.741754644861619</v>
      </c>
      <c r="Y169">
        <v>9234</v>
      </c>
      <c r="Z169">
        <v>87.632016745935516</v>
      </c>
      <c r="AA169">
        <v>9146.3679832540638</v>
      </c>
      <c r="AB169">
        <v>6.9371280000000003E-4</v>
      </c>
      <c r="AC169">
        <v>24.362412425004841</v>
      </c>
      <c r="AD169">
        <v>297.51241242500481</v>
      </c>
      <c r="AE169">
        <v>297.34456999999998</v>
      </c>
      <c r="AF169">
        <v>303.55810000000002</v>
      </c>
      <c r="AG169">
        <v>303.44749000000002</v>
      </c>
      <c r="AH169">
        <v>305.84537999999998</v>
      </c>
      <c r="AI169">
        <v>306.11067000000003</v>
      </c>
      <c r="AJ169">
        <v>28473.433000000001</v>
      </c>
      <c r="AK169">
        <v>1.5033519000000001E-3</v>
      </c>
      <c r="AL169">
        <v>1.9740586999999999E-4</v>
      </c>
      <c r="AM169">
        <v>1.9742758999999999E-4</v>
      </c>
      <c r="AN169">
        <v>683.9530640198268</v>
      </c>
      <c r="AO169">
        <v>65.904568236891876</v>
      </c>
      <c r="AP169">
        <v>52392.716598929102</v>
      </c>
      <c r="AQ169">
        <v>351</v>
      </c>
      <c r="AR169">
        <v>52041.716598929102</v>
      </c>
      <c r="AS169">
        <v>1.8400561884802971</v>
      </c>
      <c r="AT169">
        <v>5.7644684414396661</v>
      </c>
      <c r="AU169">
        <v>2.617068672413609</v>
      </c>
      <c r="AV169">
        <v>23626.939335913808</v>
      </c>
      <c r="AW169">
        <v>736.03480106100801</v>
      </c>
      <c r="AZ169">
        <f t="shared" si="8"/>
        <v>79.793100105861242</v>
      </c>
      <c r="BA169">
        <f t="shared" si="9"/>
        <v>-0.21073701323779984</v>
      </c>
      <c r="BB169">
        <f t="shared" si="10"/>
        <v>88.799517145642255</v>
      </c>
      <c r="BC169">
        <f t="shared" si="11"/>
        <v>-0.34739547684244304</v>
      </c>
      <c r="BD169">
        <v>0.754</v>
      </c>
      <c r="BF169">
        <v>0.72</v>
      </c>
    </row>
    <row r="170" spans="1:58" x14ac:dyDescent="0.25">
      <c r="A170" t="s">
        <v>90</v>
      </c>
      <c r="B170">
        <v>5</v>
      </c>
      <c r="C170">
        <v>0.4</v>
      </c>
      <c r="D170">
        <v>6000</v>
      </c>
      <c r="E170">
        <v>2.5053163211057949</v>
      </c>
      <c r="F170">
        <v>9028.7490287490273</v>
      </c>
      <c r="G170">
        <v>9.4250000000000007</v>
      </c>
      <c r="H170">
        <v>23.9</v>
      </c>
      <c r="I170">
        <v>171325</v>
      </c>
      <c r="J170">
        <v>1.8447000000000001E-5</v>
      </c>
      <c r="K170">
        <v>1007</v>
      </c>
      <c r="L170">
        <v>8.3277136800000012E-3</v>
      </c>
      <c r="M170">
        <v>2.0099999999999998</v>
      </c>
      <c r="N170">
        <v>36.693399014778329</v>
      </c>
      <c r="O170">
        <v>415.00234285714288</v>
      </c>
      <c r="P170">
        <v>415</v>
      </c>
      <c r="Q170">
        <v>0.5</v>
      </c>
      <c r="R170">
        <v>46.1</v>
      </c>
      <c r="S170">
        <v>0.5</v>
      </c>
      <c r="T170">
        <v>46.24</v>
      </c>
      <c r="U170">
        <v>23.05</v>
      </c>
      <c r="V170">
        <v>23.12</v>
      </c>
      <c r="W170">
        <v>46.17</v>
      </c>
      <c r="X170">
        <v>30.853665103652521</v>
      </c>
      <c r="Y170">
        <v>9234</v>
      </c>
      <c r="Z170">
        <v>68.704164354146201</v>
      </c>
      <c r="AA170">
        <v>9165.295835645853</v>
      </c>
      <c r="AB170">
        <v>8.327713680000001E-4</v>
      </c>
      <c r="AC170">
        <v>24.36627936821321</v>
      </c>
      <c r="AD170">
        <v>297.51627936821319</v>
      </c>
      <c r="AE170">
        <v>297.31563999999997</v>
      </c>
      <c r="AF170">
        <v>302.47395</v>
      </c>
      <c r="AG170">
        <v>302.35088999999999</v>
      </c>
      <c r="AH170">
        <v>304.89845000000003</v>
      </c>
      <c r="AI170">
        <v>304.78494999999998</v>
      </c>
      <c r="AJ170">
        <v>38845.442999999999</v>
      </c>
      <c r="AK170">
        <v>1.5033519000000001E-3</v>
      </c>
      <c r="AL170">
        <v>1.9740586999999999E-4</v>
      </c>
      <c r="AM170">
        <v>1.9742758999999999E-4</v>
      </c>
      <c r="AN170">
        <v>811.723502591037</v>
      </c>
      <c r="AO170">
        <v>78.216313048711044</v>
      </c>
      <c r="AP170">
        <v>70078.815399802566</v>
      </c>
      <c r="AQ170">
        <v>421</v>
      </c>
      <c r="AR170">
        <v>69657.815399802566</v>
      </c>
      <c r="AS170">
        <v>1.804042121486491</v>
      </c>
      <c r="AT170">
        <v>5.7260466248936783</v>
      </c>
      <c r="AU170">
        <v>2.5996251677017299</v>
      </c>
      <c r="AV170">
        <v>31624.648191510361</v>
      </c>
      <c r="AW170">
        <v>883.57704827586213</v>
      </c>
      <c r="AZ170">
        <f t="shared" si="8"/>
        <v>92.151558944101382</v>
      </c>
      <c r="BA170">
        <f t="shared" si="9"/>
        <v>-0.17816290940116081</v>
      </c>
      <c r="BB170">
        <f t="shared" si="10"/>
        <v>105.65289876037916</v>
      </c>
      <c r="BC170">
        <f t="shared" si="11"/>
        <v>-0.35077830496281942</v>
      </c>
      <c r="BD170">
        <v>0.754</v>
      </c>
      <c r="BF170">
        <v>0.72</v>
      </c>
    </row>
    <row r="171" spans="1:58" x14ac:dyDescent="0.25">
      <c r="A171" t="s">
        <v>91</v>
      </c>
    </row>
    <row r="172" spans="1:58" x14ac:dyDescent="0.25">
      <c r="A172" t="s">
        <v>92</v>
      </c>
      <c r="B172">
        <v>5</v>
      </c>
      <c r="C172">
        <v>0.5</v>
      </c>
      <c r="D172">
        <v>600</v>
      </c>
      <c r="E172">
        <v>2.3439610915968658</v>
      </c>
      <c r="F172">
        <v>892.23873043415369</v>
      </c>
      <c r="G172">
        <v>8.6750000000000007</v>
      </c>
      <c r="H172">
        <v>24</v>
      </c>
      <c r="I172">
        <v>102925</v>
      </c>
      <c r="J172">
        <v>1.8442000000000001E-5</v>
      </c>
      <c r="K172">
        <v>1007</v>
      </c>
      <c r="L172">
        <v>8.1904610400000016E-4</v>
      </c>
      <c r="M172">
        <v>1.2070000000000001</v>
      </c>
      <c r="N172">
        <v>3.9208694553218391</v>
      </c>
      <c r="O172">
        <v>40.816251029900343</v>
      </c>
      <c r="P172">
        <v>41</v>
      </c>
      <c r="Q172">
        <v>0.35</v>
      </c>
      <c r="R172">
        <v>32.32</v>
      </c>
      <c r="S172">
        <v>0.35</v>
      </c>
      <c r="T172">
        <v>32.340000000000003</v>
      </c>
      <c r="U172">
        <v>11.311999999999999</v>
      </c>
      <c r="V172">
        <v>11.319000000000001</v>
      </c>
      <c r="W172">
        <v>22.631</v>
      </c>
      <c r="X172">
        <v>41.610353847573371</v>
      </c>
      <c r="Y172">
        <v>4526.2</v>
      </c>
      <c r="Z172">
        <v>297.96147155333119</v>
      </c>
      <c r="AA172">
        <v>4228.2385284466691</v>
      </c>
      <c r="AB172">
        <v>8.1904610400000016E-5</v>
      </c>
      <c r="AC172">
        <v>24.609773020852561</v>
      </c>
      <c r="AD172">
        <v>297.75977302085249</v>
      </c>
      <c r="AE172">
        <v>297.75628999999998</v>
      </c>
      <c r="AF172">
        <v>323.47793999999999</v>
      </c>
      <c r="AG172">
        <v>317.81724000000003</v>
      </c>
      <c r="AH172">
        <v>318.92869999999999</v>
      </c>
      <c r="AI172">
        <v>318.84753000000001</v>
      </c>
      <c r="AJ172">
        <v>894.90259000000003</v>
      </c>
      <c r="AK172">
        <v>1.4799164999999999E-3</v>
      </c>
      <c r="AL172">
        <v>1.8402511000000001E-4</v>
      </c>
      <c r="AM172">
        <v>1.8401887999999999E-4</v>
      </c>
      <c r="AN172">
        <v>154.31892565715279</v>
      </c>
      <c r="AO172">
        <v>13.91221374759213</v>
      </c>
      <c r="AP172">
        <v>1732.821861352033</v>
      </c>
      <c r="AQ172">
        <v>42</v>
      </c>
      <c r="AR172">
        <v>1690.821861352033</v>
      </c>
      <c r="AS172">
        <v>1.9363245572370431</v>
      </c>
      <c r="AT172">
        <v>8.5327840978603806</v>
      </c>
      <c r="AU172">
        <v>3.5667037529056391</v>
      </c>
      <c r="AV172">
        <v>706.76353804514974</v>
      </c>
      <c r="AW172">
        <v>94.414536484149863</v>
      </c>
      <c r="AZ172">
        <f t="shared" si="8"/>
        <v>14.714236938718521</v>
      </c>
      <c r="BA172">
        <f t="shared" si="9"/>
        <v>-5.7648854860730001E-2</v>
      </c>
      <c r="BB172">
        <f t="shared" si="10"/>
        <v>12.861906137567699</v>
      </c>
      <c r="BC172">
        <f t="shared" si="11"/>
        <v>7.5495361779228998E-2</v>
      </c>
      <c r="BD172">
        <v>0.69399999999999995</v>
      </c>
      <c r="BF172">
        <v>0.72</v>
      </c>
    </row>
    <row r="173" spans="1:58" x14ac:dyDescent="0.25">
      <c r="A173" t="s">
        <v>92</v>
      </c>
      <c r="B173">
        <v>5</v>
      </c>
      <c r="C173">
        <v>0.5</v>
      </c>
      <c r="D173">
        <v>800</v>
      </c>
      <c r="E173">
        <v>2.3439610915968658</v>
      </c>
      <c r="F173">
        <v>1173.9342397486589</v>
      </c>
      <c r="G173">
        <v>8.6750000000000007</v>
      </c>
      <c r="H173">
        <v>24.4</v>
      </c>
      <c r="I173">
        <v>103625</v>
      </c>
      <c r="J173">
        <v>1.8461000000000002E-5</v>
      </c>
      <c r="K173">
        <v>1007</v>
      </c>
      <c r="L173">
        <v>1.093186576E-3</v>
      </c>
      <c r="M173">
        <v>1.2130000000000001</v>
      </c>
      <c r="N173">
        <v>5.2332119448141166</v>
      </c>
      <c r="O173">
        <v>54.477736345514963</v>
      </c>
      <c r="P173">
        <v>54</v>
      </c>
      <c r="Q173">
        <v>0.35</v>
      </c>
      <c r="R173">
        <v>32.32</v>
      </c>
      <c r="S173">
        <v>0.35</v>
      </c>
      <c r="T173">
        <v>32.340000000000003</v>
      </c>
      <c r="U173">
        <v>11.311999999999999</v>
      </c>
      <c r="V173">
        <v>11.319000000000001</v>
      </c>
      <c r="W173">
        <v>22.631</v>
      </c>
      <c r="X173">
        <v>38.884260060007058</v>
      </c>
      <c r="Y173">
        <v>4526.2</v>
      </c>
      <c r="Z173">
        <v>239.86023465893041</v>
      </c>
      <c r="AA173">
        <v>4286.3397653410693</v>
      </c>
      <c r="AB173">
        <v>1.0931865760000001E-4</v>
      </c>
      <c r="AC173">
        <v>24.93016766678431</v>
      </c>
      <c r="AD173">
        <v>298.08016766678429</v>
      </c>
      <c r="AE173">
        <v>298.07346000000001</v>
      </c>
      <c r="AF173">
        <v>317.53604000000001</v>
      </c>
      <c r="AG173">
        <v>313.64936</v>
      </c>
      <c r="AH173">
        <v>314.79138999999998</v>
      </c>
      <c r="AI173">
        <v>314.66888</v>
      </c>
      <c r="AJ173">
        <v>1424.9475</v>
      </c>
      <c r="AK173">
        <v>1.4799164999999999E-3</v>
      </c>
      <c r="AL173">
        <v>1.8402511000000001E-4</v>
      </c>
      <c r="AM173">
        <v>1.8401887999999999E-4</v>
      </c>
      <c r="AN173">
        <v>191.38211050069131</v>
      </c>
      <c r="AO173">
        <v>17.253546947742791</v>
      </c>
      <c r="AP173">
        <v>2633.5921873161551</v>
      </c>
      <c r="AQ173">
        <v>56</v>
      </c>
      <c r="AR173">
        <v>2577.5921873161551</v>
      </c>
      <c r="AS173">
        <v>1.848202959980038</v>
      </c>
      <c r="AT173">
        <v>7.3201513346673757</v>
      </c>
      <c r="AU173">
        <v>3.059823257890963</v>
      </c>
      <c r="AV173">
        <v>1077.4335342981531</v>
      </c>
      <c r="AW173">
        <v>126.0157436311239</v>
      </c>
      <c r="AZ173">
        <f t="shared" si="8"/>
        <v>18.46776583651787</v>
      </c>
      <c r="BA173">
        <f t="shared" si="9"/>
        <v>-7.0375030273640643E-2</v>
      </c>
      <c r="BB173">
        <f t="shared" si="10"/>
        <v>16.919574744665415</v>
      </c>
      <c r="BC173">
        <f t="shared" si="11"/>
        <v>1.9356727291432015E-2</v>
      </c>
      <c r="BD173">
        <v>0.69399999999999995</v>
      </c>
      <c r="BF173">
        <v>0.72</v>
      </c>
    </row>
    <row r="174" spans="1:58" x14ac:dyDescent="0.25">
      <c r="A174" t="s">
        <v>92</v>
      </c>
      <c r="B174">
        <v>5</v>
      </c>
      <c r="C174">
        <v>0.5</v>
      </c>
      <c r="D174">
        <v>1000</v>
      </c>
      <c r="E174">
        <v>2.3439610915968658</v>
      </c>
      <c r="F174">
        <v>1499.945834687466</v>
      </c>
      <c r="G174">
        <v>8.6750000000000007</v>
      </c>
      <c r="H174">
        <v>24.4</v>
      </c>
      <c r="I174">
        <v>105125</v>
      </c>
      <c r="J174">
        <v>1.8462E-5</v>
      </c>
      <c r="K174">
        <v>1007</v>
      </c>
      <c r="L174">
        <v>1.3665572399999999E-3</v>
      </c>
      <c r="M174">
        <v>1.2310000000000001</v>
      </c>
      <c r="N174">
        <v>6.5418692734113959</v>
      </c>
      <c r="O174">
        <v>68.100859136212634</v>
      </c>
      <c r="P174">
        <v>69</v>
      </c>
      <c r="Q174">
        <v>0.35</v>
      </c>
      <c r="R174">
        <v>32.32</v>
      </c>
      <c r="S174">
        <v>0.35</v>
      </c>
      <c r="T174">
        <v>32.340000000000003</v>
      </c>
      <c r="U174">
        <v>11.311999999999999</v>
      </c>
      <c r="V174">
        <v>11.319000000000001</v>
      </c>
      <c r="W174">
        <v>22.631</v>
      </c>
      <c r="X174">
        <v>36.328834161404117</v>
      </c>
      <c r="Y174">
        <v>4526.2</v>
      </c>
      <c r="Z174">
        <v>185.39644248200591</v>
      </c>
      <c r="AA174">
        <v>4340.8035575179938</v>
      </c>
      <c r="AB174">
        <v>1.3665572399999999E-4</v>
      </c>
      <c r="AC174">
        <v>24.958766716196131</v>
      </c>
      <c r="AD174">
        <v>298.1087667161961</v>
      </c>
      <c r="AE174">
        <v>298.09978999999998</v>
      </c>
      <c r="AF174">
        <v>313.96296999999998</v>
      </c>
      <c r="AG174">
        <v>310.90116999999998</v>
      </c>
      <c r="AH174">
        <v>311.98719999999997</v>
      </c>
      <c r="AI174">
        <v>311.96411000000001</v>
      </c>
      <c r="AJ174">
        <v>2145.3634000000002</v>
      </c>
      <c r="AK174">
        <v>1.4799164999999999E-3</v>
      </c>
      <c r="AL174">
        <v>1.8402511000000001E-4</v>
      </c>
      <c r="AM174">
        <v>1.8401887999999999E-4</v>
      </c>
      <c r="AN174">
        <v>231.0256055449799</v>
      </c>
      <c r="AO174">
        <v>20.827501175386079</v>
      </c>
      <c r="AP174">
        <v>4090.5462171867262</v>
      </c>
      <c r="AQ174">
        <v>70</v>
      </c>
      <c r="AR174">
        <v>4020.5462171867262</v>
      </c>
      <c r="AS174">
        <v>1.906691527033008</v>
      </c>
      <c r="AT174">
        <v>7.361429724060474</v>
      </c>
      <c r="AU174">
        <v>3.077077624657278</v>
      </c>
      <c r="AV174">
        <v>1680.5883187840509</v>
      </c>
      <c r="AW174">
        <v>157.5282121037464</v>
      </c>
      <c r="AZ174">
        <f t="shared" si="8"/>
        <v>22.026925733293179</v>
      </c>
      <c r="BA174">
        <f t="shared" si="9"/>
        <v>-5.7588500310569155E-2</v>
      </c>
      <c r="BB174">
        <f t="shared" si="10"/>
        <v>20.929471076489435</v>
      </c>
      <c r="BC174">
        <f t="shared" si="11"/>
        <v>-4.8959258359742089E-3</v>
      </c>
      <c r="BD174">
        <v>0.69399999999999995</v>
      </c>
      <c r="BF174">
        <v>0.72</v>
      </c>
    </row>
    <row r="175" spans="1:58" x14ac:dyDescent="0.25">
      <c r="A175" t="s">
        <v>92</v>
      </c>
      <c r="B175">
        <v>5</v>
      </c>
      <c r="C175">
        <v>0.5</v>
      </c>
      <c r="D175">
        <v>1200</v>
      </c>
      <c r="E175">
        <v>2.3439610915968658</v>
      </c>
      <c r="F175">
        <v>1782.544325280757</v>
      </c>
      <c r="G175">
        <v>8.6750000000000007</v>
      </c>
      <c r="H175">
        <v>24.4</v>
      </c>
      <c r="I175">
        <v>106825</v>
      </c>
      <c r="J175">
        <v>1.8462E-5</v>
      </c>
      <c r="K175">
        <v>1007</v>
      </c>
      <c r="L175">
        <v>1.6398686879999999E-3</v>
      </c>
      <c r="M175">
        <v>1.2509999999999999</v>
      </c>
      <c r="N175">
        <v>7.8502431280936742</v>
      </c>
      <c r="O175">
        <v>81.721030963455163</v>
      </c>
      <c r="P175">
        <v>82</v>
      </c>
      <c r="Q175">
        <v>0.35</v>
      </c>
      <c r="R175">
        <v>32.32</v>
      </c>
      <c r="S175">
        <v>0.35</v>
      </c>
      <c r="T175">
        <v>32.340000000000003</v>
      </c>
      <c r="U175">
        <v>11.311999999999999</v>
      </c>
      <c r="V175">
        <v>11.319000000000001</v>
      </c>
      <c r="W175">
        <v>22.631</v>
      </c>
      <c r="X175">
        <v>34.804881079766531</v>
      </c>
      <c r="Y175">
        <v>4526.2</v>
      </c>
      <c r="Z175">
        <v>152.91643045306409</v>
      </c>
      <c r="AA175">
        <v>4373.2835695469357</v>
      </c>
      <c r="AB175">
        <v>1.6398686880000001E-4</v>
      </c>
      <c r="AC175">
        <v>24.99773929961091</v>
      </c>
      <c r="AD175">
        <v>298.14773929961092</v>
      </c>
      <c r="AE175">
        <v>298.13565</v>
      </c>
      <c r="AF175">
        <v>311.31812000000002</v>
      </c>
      <c r="AG175">
        <v>308.96224000000001</v>
      </c>
      <c r="AH175">
        <v>309.99556999999999</v>
      </c>
      <c r="AI175">
        <v>310.07632999999998</v>
      </c>
      <c r="AJ175">
        <v>3141.1615999999999</v>
      </c>
      <c r="AK175">
        <v>1.4799164999999999E-3</v>
      </c>
      <c r="AL175">
        <v>1.8402511000000001E-4</v>
      </c>
      <c r="AM175">
        <v>1.8401887999999999E-4</v>
      </c>
      <c r="AN175">
        <v>265.95201727473312</v>
      </c>
      <c r="AO175">
        <v>23.976199258602762</v>
      </c>
      <c r="AP175">
        <v>5683.1919584954594</v>
      </c>
      <c r="AQ175">
        <v>84</v>
      </c>
      <c r="AR175">
        <v>5599.1919584954594</v>
      </c>
      <c r="AS175">
        <v>1.8092644321436571</v>
      </c>
      <c r="AT175">
        <v>7.1781086748174134</v>
      </c>
      <c r="AU175">
        <v>3.0004494260736778</v>
      </c>
      <c r="AV175">
        <v>2340.4622386511019</v>
      </c>
      <c r="AW175">
        <v>189.03385452449569</v>
      </c>
      <c r="AZ175">
        <f t="shared" si="8"/>
        <v>25.438484560393871</v>
      </c>
      <c r="BA175">
        <f t="shared" si="9"/>
        <v>-6.0989036920288141E-2</v>
      </c>
      <c r="BB175">
        <f t="shared" si="10"/>
        <v>24.901703971271413</v>
      </c>
      <c r="BC175">
        <f t="shared" si="11"/>
        <v>-3.8600976855686427E-2</v>
      </c>
      <c r="BD175">
        <v>0.69399999999999995</v>
      </c>
      <c r="BF175">
        <v>0.72</v>
      </c>
    </row>
    <row r="176" spans="1:58" x14ac:dyDescent="0.25">
      <c r="A176" t="s">
        <v>92</v>
      </c>
      <c r="B176">
        <v>5</v>
      </c>
      <c r="C176">
        <v>0.5</v>
      </c>
      <c r="D176">
        <v>1400</v>
      </c>
      <c r="E176">
        <v>2.3439610915968658</v>
      </c>
      <c r="F176">
        <v>2064.024830373899</v>
      </c>
      <c r="G176">
        <v>8.6750000000000007</v>
      </c>
      <c r="H176">
        <v>24.6</v>
      </c>
      <c r="I176">
        <v>108625</v>
      </c>
      <c r="J176">
        <v>1.8471999999999999E-5</v>
      </c>
      <c r="K176">
        <v>1007</v>
      </c>
      <c r="L176">
        <v>1.9142164159999999E-3</v>
      </c>
      <c r="M176">
        <v>1.2709999999999999</v>
      </c>
      <c r="N176">
        <v>9.1635777762884523</v>
      </c>
      <c r="O176">
        <v>95.392844651162775</v>
      </c>
      <c r="P176">
        <v>95</v>
      </c>
      <c r="Q176">
        <v>0.4</v>
      </c>
      <c r="R176">
        <v>36.93</v>
      </c>
      <c r="S176">
        <v>0.4</v>
      </c>
      <c r="T176">
        <v>37.08</v>
      </c>
      <c r="U176">
        <v>14.772</v>
      </c>
      <c r="V176">
        <v>14.832000000000001</v>
      </c>
      <c r="W176">
        <v>29.603999999999999</v>
      </c>
      <c r="X176">
        <v>36.467706625046567</v>
      </c>
      <c r="Y176">
        <v>5920.7999999999993</v>
      </c>
      <c r="Z176">
        <v>188.35623129961749</v>
      </c>
      <c r="AA176">
        <v>5732.443768700382</v>
      </c>
      <c r="AB176">
        <v>1.9142164160000001E-4</v>
      </c>
      <c r="AC176">
        <v>25.024647782333229</v>
      </c>
      <c r="AD176">
        <v>298.17464778233318</v>
      </c>
      <c r="AE176">
        <v>298.15096999999997</v>
      </c>
      <c r="AF176">
        <v>313.21420999999998</v>
      </c>
      <c r="AG176">
        <v>310.48214999999999</v>
      </c>
      <c r="AH176">
        <v>311.80810000000002</v>
      </c>
      <c r="AI176">
        <v>311.96211</v>
      </c>
      <c r="AJ176">
        <v>4275.3441999999995</v>
      </c>
      <c r="AK176">
        <v>1.4799164999999999E-3</v>
      </c>
      <c r="AL176">
        <v>1.8402511000000001E-4</v>
      </c>
      <c r="AM176">
        <v>1.8401887999999999E-4</v>
      </c>
      <c r="AN176">
        <v>305.38029764071678</v>
      </c>
      <c r="AO176">
        <v>27.53075137731194</v>
      </c>
      <c r="AP176">
        <v>7384.2238166231828</v>
      </c>
      <c r="AQ176">
        <v>98</v>
      </c>
      <c r="AR176">
        <v>7286.2238166231828</v>
      </c>
      <c r="AS176">
        <v>1.727164754740258</v>
      </c>
      <c r="AT176">
        <v>6.9113708843546338</v>
      </c>
      <c r="AU176">
        <v>2.8889530296602368</v>
      </c>
      <c r="AV176">
        <v>3045.6415553484899</v>
      </c>
      <c r="AW176">
        <v>220.65895285302591</v>
      </c>
      <c r="AZ176">
        <f t="shared" si="8"/>
        <v>28.731996846540028</v>
      </c>
      <c r="BA176">
        <f t="shared" si="9"/>
        <v>-4.3632861768459853E-2</v>
      </c>
      <c r="BB176">
        <f t="shared" si="10"/>
        <v>28.842887036114938</v>
      </c>
      <c r="BC176">
        <f t="shared" si="11"/>
        <v>-4.7660728209703969E-2</v>
      </c>
      <c r="BD176">
        <v>0.69399999999999995</v>
      </c>
      <c r="BF176">
        <v>0.72</v>
      </c>
    </row>
    <row r="177" spans="1:58" x14ac:dyDescent="0.25">
      <c r="A177" t="s">
        <v>92</v>
      </c>
      <c r="B177">
        <v>5</v>
      </c>
      <c r="C177">
        <v>0.5</v>
      </c>
      <c r="D177">
        <v>1600</v>
      </c>
      <c r="E177">
        <v>2.3439610915968658</v>
      </c>
      <c r="F177">
        <v>2368.838107615386</v>
      </c>
      <c r="G177">
        <v>8.6750000000000007</v>
      </c>
      <c r="H177">
        <v>24.5</v>
      </c>
      <c r="I177">
        <v>110625</v>
      </c>
      <c r="J177">
        <v>1.8467000000000001E-5</v>
      </c>
      <c r="K177">
        <v>1007</v>
      </c>
      <c r="L177">
        <v>2.1870837440000012E-3</v>
      </c>
      <c r="M177">
        <v>1.2949999999999999</v>
      </c>
      <c r="N177">
        <v>10.46982557660824</v>
      </c>
      <c r="O177">
        <v>108.9908842524917</v>
      </c>
      <c r="P177">
        <v>109</v>
      </c>
      <c r="Q177">
        <v>0.4</v>
      </c>
      <c r="R177">
        <v>36.93</v>
      </c>
      <c r="S177">
        <v>0.4</v>
      </c>
      <c r="T177">
        <v>37.08</v>
      </c>
      <c r="U177">
        <v>14.772</v>
      </c>
      <c r="V177">
        <v>14.832000000000001</v>
      </c>
      <c r="W177">
        <v>29.603999999999999</v>
      </c>
      <c r="X177">
        <v>35.354975509598269</v>
      </c>
      <c r="Y177">
        <v>5920.7999999999993</v>
      </c>
      <c r="Z177">
        <v>164.64059303606791</v>
      </c>
      <c r="AA177">
        <v>5756.1594069639314</v>
      </c>
      <c r="AB177">
        <v>2.1870837440000009E-4</v>
      </c>
      <c r="AC177">
        <v>25.055568968929389</v>
      </c>
      <c r="AD177">
        <v>298.20556896892941</v>
      </c>
      <c r="AE177">
        <v>298.18533000000002</v>
      </c>
      <c r="AF177">
        <v>311.20467000000002</v>
      </c>
      <c r="AG177">
        <v>309.26893999999999</v>
      </c>
      <c r="AH177">
        <v>310.67520000000002</v>
      </c>
      <c r="AI177">
        <v>310.66406000000001</v>
      </c>
      <c r="AJ177">
        <v>5048.4727000000003</v>
      </c>
      <c r="AK177">
        <v>1.4799164999999999E-3</v>
      </c>
      <c r="AL177">
        <v>1.8402511000000001E-4</v>
      </c>
      <c r="AM177">
        <v>1.8401887999999999E-4</v>
      </c>
      <c r="AN177">
        <v>320.92856979170779</v>
      </c>
      <c r="AO177">
        <v>28.932464645138172</v>
      </c>
      <c r="AP177">
        <v>9355.638894386173</v>
      </c>
      <c r="AQ177">
        <v>112</v>
      </c>
      <c r="AR177">
        <v>9243.638894386173</v>
      </c>
      <c r="AS177">
        <v>1.8531622235743039</v>
      </c>
      <c r="AT177">
        <v>6.7821483267107023</v>
      </c>
      <c r="AU177">
        <v>2.8349380005650739</v>
      </c>
      <c r="AV177">
        <v>3863.8410578534199</v>
      </c>
      <c r="AW177">
        <v>252.11339988472631</v>
      </c>
      <c r="AZ177">
        <f t="shared" si="8"/>
        <v>31.927715861434546</v>
      </c>
      <c r="BA177">
        <f t="shared" si="9"/>
        <v>-0.10352561570656574</v>
      </c>
      <c r="BB177">
        <f t="shared" si="10"/>
        <v>32.757682811945529</v>
      </c>
      <c r="BC177">
        <f t="shared" si="11"/>
        <v>-0.13221197066079016</v>
      </c>
      <c r="BD177">
        <v>0.69399999999999995</v>
      </c>
      <c r="BF177">
        <v>0.72</v>
      </c>
    </row>
    <row r="178" spans="1:58" x14ac:dyDescent="0.25">
      <c r="A178" t="s">
        <v>92</v>
      </c>
      <c r="B178">
        <v>5</v>
      </c>
      <c r="C178">
        <v>0.5</v>
      </c>
      <c r="D178">
        <v>1800</v>
      </c>
      <c r="E178">
        <v>2.3439610915968658</v>
      </c>
      <c r="F178">
        <v>2672.3689909051532</v>
      </c>
      <c r="G178">
        <v>8.6750000000000007</v>
      </c>
      <c r="H178">
        <v>24.6</v>
      </c>
      <c r="I178">
        <v>112825</v>
      </c>
      <c r="J178">
        <v>1.8471999999999999E-5</v>
      </c>
      <c r="K178">
        <v>1007</v>
      </c>
      <c r="L178">
        <v>2.4611353919999999E-3</v>
      </c>
      <c r="M178">
        <v>1.32</v>
      </c>
      <c r="N178">
        <v>11.781742855228011</v>
      </c>
      <c r="O178">
        <v>122.64794312292361</v>
      </c>
      <c r="P178">
        <v>123</v>
      </c>
      <c r="Q178">
        <v>0.4</v>
      </c>
      <c r="R178">
        <v>36.93</v>
      </c>
      <c r="S178">
        <v>0.4</v>
      </c>
      <c r="T178">
        <v>37.08</v>
      </c>
      <c r="U178">
        <v>14.772</v>
      </c>
      <c r="V178">
        <v>14.832000000000001</v>
      </c>
      <c r="W178">
        <v>29.603999999999999</v>
      </c>
      <c r="X178">
        <v>34.472768375241778</v>
      </c>
      <c r="Y178">
        <v>5920.7999999999993</v>
      </c>
      <c r="Z178">
        <v>145.83811238152819</v>
      </c>
      <c r="AA178">
        <v>5774.9618876184713</v>
      </c>
      <c r="AB178">
        <v>2.4611353919999998E-4</v>
      </c>
      <c r="AC178">
        <v>25.059818181818219</v>
      </c>
      <c r="AD178">
        <v>298.20981818181821</v>
      </c>
      <c r="AE178">
        <v>298.17968999999999</v>
      </c>
      <c r="AF178">
        <v>309.76143999999999</v>
      </c>
      <c r="AG178">
        <v>308.14938000000001</v>
      </c>
      <c r="AH178">
        <v>309.54324000000003</v>
      </c>
      <c r="AI178">
        <v>309.53568999999999</v>
      </c>
      <c r="AJ178">
        <v>6476.2380999999996</v>
      </c>
      <c r="AK178">
        <v>1.4799164999999999E-3</v>
      </c>
      <c r="AL178">
        <v>1.8402511000000001E-4</v>
      </c>
      <c r="AM178">
        <v>1.8401887999999999E-4</v>
      </c>
      <c r="AN178">
        <v>350.68215931749501</v>
      </c>
      <c r="AO178">
        <v>31.61482065220698</v>
      </c>
      <c r="AP178">
        <v>11514.7695035461</v>
      </c>
      <c r="AQ178">
        <v>126</v>
      </c>
      <c r="AR178">
        <v>11388.7695035461</v>
      </c>
      <c r="AS178">
        <v>1.7780028043666429</v>
      </c>
      <c r="AT178">
        <v>6.6650709858218349</v>
      </c>
      <c r="AU178">
        <v>2.7859996720735269</v>
      </c>
      <c r="AV178">
        <v>4760.5056524822694</v>
      </c>
      <c r="AW178">
        <v>283.70436795389043</v>
      </c>
      <c r="AZ178">
        <f t="shared" si="8"/>
        <v>35.040323905872761</v>
      </c>
      <c r="BA178">
        <f t="shared" si="9"/>
        <v>-0.10835118412815199</v>
      </c>
      <c r="BB178">
        <f t="shared" si="10"/>
        <v>36.649553551477062</v>
      </c>
      <c r="BC178">
        <f t="shared" si="11"/>
        <v>-0.15925229988355527</v>
      </c>
      <c r="BD178">
        <v>0.69399999999999995</v>
      </c>
      <c r="BF178">
        <v>0.72</v>
      </c>
    </row>
    <row r="179" spans="1:58" x14ac:dyDescent="0.25">
      <c r="A179" t="s">
        <v>92</v>
      </c>
      <c r="B179">
        <v>5</v>
      </c>
      <c r="C179">
        <v>0.5</v>
      </c>
      <c r="D179">
        <v>2000</v>
      </c>
      <c r="E179">
        <v>2.3439610915968658</v>
      </c>
      <c r="F179">
        <v>2954.654540861437</v>
      </c>
      <c r="G179">
        <v>8.6750000000000007</v>
      </c>
      <c r="H179">
        <v>24.6</v>
      </c>
      <c r="I179">
        <v>114925</v>
      </c>
      <c r="J179">
        <v>1.8473000000000001E-5</v>
      </c>
      <c r="K179">
        <v>1007</v>
      </c>
      <c r="L179">
        <v>2.7347429199999999E-3</v>
      </c>
      <c r="M179">
        <v>1.345</v>
      </c>
      <c r="N179">
        <v>13.091534079485291</v>
      </c>
      <c r="O179">
        <v>136.28286976744189</v>
      </c>
      <c r="P179">
        <v>136</v>
      </c>
      <c r="Q179">
        <v>0.4</v>
      </c>
      <c r="R179">
        <v>36.93</v>
      </c>
      <c r="S179">
        <v>0.4</v>
      </c>
      <c r="T179">
        <v>37.08</v>
      </c>
      <c r="U179">
        <v>14.772</v>
      </c>
      <c r="V179">
        <v>14.832000000000001</v>
      </c>
      <c r="W179">
        <v>29.603999999999999</v>
      </c>
      <c r="X179">
        <v>33.773305160984847</v>
      </c>
      <c r="Y179">
        <v>5920.7999999999993</v>
      </c>
      <c r="Z179">
        <v>130.93045289607019</v>
      </c>
      <c r="AA179">
        <v>5789.8695471039291</v>
      </c>
      <c r="AB179">
        <v>2.7347429199999998E-4</v>
      </c>
      <c r="AC179">
        <v>25.058185606060619</v>
      </c>
      <c r="AD179">
        <v>298.20818560606062</v>
      </c>
      <c r="AE179">
        <v>298.17354999999998</v>
      </c>
      <c r="AF179">
        <v>308.50153</v>
      </c>
      <c r="AG179">
        <v>307.12648999999999</v>
      </c>
      <c r="AH179">
        <v>308.55896999999999</v>
      </c>
      <c r="AI179">
        <v>308.47048999999998</v>
      </c>
      <c r="AJ179">
        <v>7766.9727000000003</v>
      </c>
      <c r="AK179">
        <v>1.4799164999999999E-3</v>
      </c>
      <c r="AL179">
        <v>1.8402511000000001E-4</v>
      </c>
      <c r="AM179">
        <v>1.8401887999999999E-4</v>
      </c>
      <c r="AN179">
        <v>385.33553589471188</v>
      </c>
      <c r="AO179">
        <v>34.738903974878163</v>
      </c>
      <c r="AP179">
        <v>13664.79450757576</v>
      </c>
      <c r="AQ179">
        <v>140</v>
      </c>
      <c r="AR179">
        <v>13524.79450757576</v>
      </c>
      <c r="AS179">
        <v>1.759346277549779</v>
      </c>
      <c r="AT179">
        <v>6.4743694996773176</v>
      </c>
      <c r="AU179">
        <v>2.706286450865119</v>
      </c>
      <c r="AV179">
        <v>5653.3641041666669</v>
      </c>
      <c r="AW179">
        <v>315.2441406340057</v>
      </c>
      <c r="AZ179">
        <f t="shared" si="8"/>
        <v>38.080915273620768</v>
      </c>
      <c r="BA179">
        <f t="shared" si="9"/>
        <v>-9.6203705826741662E-2</v>
      </c>
      <c r="BB179">
        <f t="shared" si="10"/>
        <v>40.521170614030488</v>
      </c>
      <c r="BC179">
        <f t="shared" si="11"/>
        <v>-0.16644931121988876</v>
      </c>
      <c r="BD179">
        <v>0.69399999999999995</v>
      </c>
      <c r="BF179">
        <v>0.72</v>
      </c>
    </row>
    <row r="180" spans="1:58" x14ac:dyDescent="0.25">
      <c r="A180" t="s">
        <v>92</v>
      </c>
      <c r="B180">
        <v>5</v>
      </c>
      <c r="C180">
        <v>0.5</v>
      </c>
      <c r="D180">
        <v>2500</v>
      </c>
      <c r="E180">
        <v>2.3439610915968658</v>
      </c>
      <c r="F180">
        <v>3693.1182562881172</v>
      </c>
      <c r="G180">
        <v>8.6750000000000007</v>
      </c>
      <c r="H180">
        <v>24.6</v>
      </c>
      <c r="I180">
        <v>121325</v>
      </c>
      <c r="J180">
        <v>1.8474E-5</v>
      </c>
      <c r="K180">
        <v>1007</v>
      </c>
      <c r="L180">
        <v>3.4186136999999998E-3</v>
      </c>
      <c r="M180">
        <v>1.42</v>
      </c>
      <c r="N180">
        <v>16.365303455340989</v>
      </c>
      <c r="O180">
        <v>170.36280897009959</v>
      </c>
      <c r="P180">
        <v>170</v>
      </c>
      <c r="Q180">
        <v>0.45</v>
      </c>
      <c r="R180">
        <v>41.54</v>
      </c>
      <c r="S180">
        <v>0.45</v>
      </c>
      <c r="T180">
        <v>41.7</v>
      </c>
      <c r="U180">
        <v>18.693000000000001</v>
      </c>
      <c r="V180">
        <v>18.765000000000001</v>
      </c>
      <c r="W180">
        <v>37.457999999999998</v>
      </c>
      <c r="X180">
        <v>34.47633463151589</v>
      </c>
      <c r="Y180">
        <v>7491.5999999999995</v>
      </c>
      <c r="Z180">
        <v>145.91412000149811</v>
      </c>
      <c r="AA180">
        <v>7345.6858799985012</v>
      </c>
      <c r="AB180">
        <v>3.4186136999999998E-4</v>
      </c>
      <c r="AC180">
        <v>25.098825644098259</v>
      </c>
      <c r="AD180">
        <v>298.24882564409819</v>
      </c>
      <c r="AE180">
        <v>298.19675000000001</v>
      </c>
      <c r="AF180">
        <v>308.90629999999999</v>
      </c>
      <c r="AG180">
        <v>307.35948999999999</v>
      </c>
      <c r="AH180">
        <v>309.15708000000001</v>
      </c>
      <c r="AI180">
        <v>309.04667000000001</v>
      </c>
      <c r="AJ180">
        <v>11736.300999999999</v>
      </c>
      <c r="AK180">
        <v>1.4799164999999999E-3</v>
      </c>
      <c r="AL180">
        <v>1.8402511000000001E-4</v>
      </c>
      <c r="AM180">
        <v>1.8401887999999999E-4</v>
      </c>
      <c r="AN180">
        <v>478.34415793992628</v>
      </c>
      <c r="AO180">
        <v>43.123849792455893</v>
      </c>
      <c r="AP180">
        <v>20076.349776978899</v>
      </c>
      <c r="AQ180">
        <v>175</v>
      </c>
      <c r="AR180">
        <v>19901.349776978899</v>
      </c>
      <c r="AS180">
        <v>1.71061987733434</v>
      </c>
      <c r="AT180">
        <v>6.2767524415677638</v>
      </c>
      <c r="AU180">
        <v>2.6236825205753251</v>
      </c>
      <c r="AV180">
        <v>8318.7642067771776</v>
      </c>
      <c r="AW180">
        <v>394.07650720461089</v>
      </c>
      <c r="AZ180">
        <f t="shared" si="8"/>
        <v>45.419976623768669</v>
      </c>
      <c r="BA180">
        <f t="shared" si="9"/>
        <v>-5.3244940847430131E-2</v>
      </c>
      <c r="BB180">
        <f t="shared" si="10"/>
        <v>50.124585348650001</v>
      </c>
      <c r="BC180">
        <f t="shared" si="11"/>
        <v>-0.16234022680922194</v>
      </c>
      <c r="BD180">
        <v>0.69399999999999995</v>
      </c>
      <c r="BF180">
        <v>0.72</v>
      </c>
    </row>
    <row r="181" spans="1:58" x14ac:dyDescent="0.25">
      <c r="A181" t="s">
        <v>92</v>
      </c>
      <c r="B181">
        <v>5</v>
      </c>
      <c r="C181">
        <v>0.5</v>
      </c>
      <c r="D181">
        <v>3000</v>
      </c>
      <c r="E181">
        <v>2.3439610915968658</v>
      </c>
      <c r="F181">
        <v>4431.5020297699593</v>
      </c>
      <c r="G181">
        <v>8.6750000000000007</v>
      </c>
      <c r="H181">
        <v>24.6</v>
      </c>
      <c r="I181">
        <v>128325</v>
      </c>
      <c r="J181">
        <v>1.8474999999999998E-5</v>
      </c>
      <c r="K181">
        <v>1007</v>
      </c>
      <c r="L181">
        <v>4.1025584999999998E-3</v>
      </c>
      <c r="M181">
        <v>1.502</v>
      </c>
      <c r="N181">
        <v>19.63942717359043</v>
      </c>
      <c r="O181">
        <v>204.44643687707639</v>
      </c>
      <c r="P181">
        <v>204</v>
      </c>
      <c r="Q181">
        <v>0.45</v>
      </c>
      <c r="R181">
        <v>41.54</v>
      </c>
      <c r="S181">
        <v>0.45</v>
      </c>
      <c r="T181">
        <v>41.7</v>
      </c>
      <c r="U181">
        <v>18.693000000000001</v>
      </c>
      <c r="V181">
        <v>18.765000000000001</v>
      </c>
      <c r="W181">
        <v>37.457999999999998</v>
      </c>
      <c r="X181">
        <v>33.240570000000019</v>
      </c>
      <c r="Y181">
        <v>7491.5999999999995</v>
      </c>
      <c r="Z181">
        <v>119.5762684100004</v>
      </c>
      <c r="AA181">
        <v>7372.0237315899994</v>
      </c>
      <c r="AB181">
        <v>4.1025585000000001E-4</v>
      </c>
      <c r="AC181">
        <v>25.048005000000021</v>
      </c>
      <c r="AD181">
        <v>298.19800500000002</v>
      </c>
      <c r="AE181">
        <v>298.12988000000001</v>
      </c>
      <c r="AF181">
        <v>306.97102999999998</v>
      </c>
      <c r="AG181">
        <v>305.65559999999999</v>
      </c>
      <c r="AH181">
        <v>307.39643999999998</v>
      </c>
      <c r="AI181">
        <v>307.40548999999999</v>
      </c>
      <c r="AJ181">
        <v>16755.482</v>
      </c>
      <c r="AK181">
        <v>1.4799164999999999E-3</v>
      </c>
      <c r="AL181">
        <v>1.8402511000000001E-4</v>
      </c>
      <c r="AM181">
        <v>1.8401887999999999E-4</v>
      </c>
      <c r="AN181">
        <v>577.6944306787326</v>
      </c>
      <c r="AO181">
        <v>52.080510320890461</v>
      </c>
      <c r="AP181">
        <v>27231.583999999999</v>
      </c>
      <c r="AQ181">
        <v>210</v>
      </c>
      <c r="AR181">
        <v>27021.583999999999</v>
      </c>
      <c r="AS181">
        <v>1.625234296452946</v>
      </c>
      <c r="AT181">
        <v>6.1034892258197342</v>
      </c>
      <c r="AU181">
        <v>2.551258496392649</v>
      </c>
      <c r="AV181">
        <v>11295.022112000001</v>
      </c>
      <c r="AW181">
        <v>472.9174063400576</v>
      </c>
      <c r="AZ181">
        <f t="shared" si="8"/>
        <v>52.454681514216283</v>
      </c>
      <c r="BA181">
        <f t="shared" si="9"/>
        <v>-7.1844763236840747E-3</v>
      </c>
      <c r="BB181">
        <f t="shared" si="10"/>
        <v>59.637798847049126</v>
      </c>
      <c r="BC181">
        <f t="shared" si="11"/>
        <v>-0.14510780481210639</v>
      </c>
      <c r="BD181">
        <v>0.69399999999999995</v>
      </c>
      <c r="BF181">
        <v>0.72</v>
      </c>
    </row>
    <row r="182" spans="1:58" x14ac:dyDescent="0.25">
      <c r="A182" t="s">
        <v>92</v>
      </c>
      <c r="B182">
        <v>5</v>
      </c>
      <c r="C182">
        <v>0.5</v>
      </c>
      <c r="D182">
        <v>3500</v>
      </c>
      <c r="E182">
        <v>2.3439610915968658</v>
      </c>
      <c r="F182">
        <v>5191.5277477087393</v>
      </c>
      <c r="G182">
        <v>8.6750000000000007</v>
      </c>
      <c r="H182">
        <v>24.6</v>
      </c>
      <c r="I182">
        <v>136825</v>
      </c>
      <c r="J182">
        <v>1.8476000000000001E-5</v>
      </c>
      <c r="K182">
        <v>1007</v>
      </c>
      <c r="L182">
        <v>4.7865773200000006E-3</v>
      </c>
      <c r="M182">
        <v>1.601</v>
      </c>
      <c r="N182">
        <v>22.913905234233631</v>
      </c>
      <c r="O182">
        <v>238.5337534883721</v>
      </c>
      <c r="P182">
        <v>239</v>
      </c>
      <c r="Q182">
        <v>0.45</v>
      </c>
      <c r="R182">
        <v>41.54</v>
      </c>
      <c r="S182">
        <v>0.45</v>
      </c>
      <c r="T182">
        <v>41.7</v>
      </c>
      <c r="U182">
        <v>18.693000000000001</v>
      </c>
      <c r="V182">
        <v>18.765000000000001</v>
      </c>
      <c r="W182">
        <v>37.457999999999998</v>
      </c>
      <c r="X182">
        <v>32.413650062881793</v>
      </c>
      <c r="Y182">
        <v>7491.5999999999995</v>
      </c>
      <c r="Z182">
        <v>101.95212379019949</v>
      </c>
      <c r="AA182">
        <v>7389.6478762098004</v>
      </c>
      <c r="AB182">
        <v>4.7865773200000012E-4</v>
      </c>
      <c r="AC182">
        <v>25.048516888250091</v>
      </c>
      <c r="AD182">
        <v>298.19851688825008</v>
      </c>
      <c r="AE182">
        <v>298.11198000000002</v>
      </c>
      <c r="AF182">
        <v>305.72692000000001</v>
      </c>
      <c r="AG182">
        <v>304.52933000000002</v>
      </c>
      <c r="AH182">
        <v>306.33382</v>
      </c>
      <c r="AI182">
        <v>306.18182000000002</v>
      </c>
      <c r="AJ182">
        <v>21808.922999999999</v>
      </c>
      <c r="AK182">
        <v>1.4799164999999999E-3</v>
      </c>
      <c r="AL182">
        <v>1.8402511000000001E-4</v>
      </c>
      <c r="AM182">
        <v>1.8401887999999999E-4</v>
      </c>
      <c r="AN182">
        <v>676.81726668697354</v>
      </c>
      <c r="AO182">
        <v>61.01666689366175</v>
      </c>
      <c r="AP182">
        <v>35305.65546772068</v>
      </c>
      <c r="AQ182">
        <v>245</v>
      </c>
      <c r="AR182">
        <v>35060.65546772068</v>
      </c>
      <c r="AS182">
        <v>1.618862860294416</v>
      </c>
      <c r="AT182">
        <v>6.0314281928316982</v>
      </c>
      <c r="AU182">
        <v>2.52113698460365</v>
      </c>
      <c r="AV182">
        <v>14655.353985507239</v>
      </c>
      <c r="AW182">
        <v>551.76683804034587</v>
      </c>
      <c r="AZ182">
        <f t="shared" si="8"/>
        <v>59.24597199470081</v>
      </c>
      <c r="BA182">
        <f t="shared" si="9"/>
        <v>2.9019856198419701E-2</v>
      </c>
      <c r="BB182">
        <f t="shared" si="10"/>
        <v>69.076650224918808</v>
      </c>
      <c r="BC182">
        <f t="shared" si="11"/>
        <v>-0.13209478232076796</v>
      </c>
      <c r="BD182">
        <v>0.69399999999999995</v>
      </c>
      <c r="BF182">
        <v>0.72</v>
      </c>
    </row>
    <row r="183" spans="1:58" x14ac:dyDescent="0.25">
      <c r="A183" t="s">
        <v>92</v>
      </c>
      <c r="B183">
        <v>5</v>
      </c>
      <c r="C183">
        <v>0.5</v>
      </c>
      <c r="D183">
        <v>4000</v>
      </c>
      <c r="E183">
        <v>2.3439610915968658</v>
      </c>
      <c r="F183">
        <v>5929.7505006223964</v>
      </c>
      <c r="G183">
        <v>8.6750000000000007</v>
      </c>
      <c r="H183">
        <v>24.6</v>
      </c>
      <c r="I183">
        <v>144925</v>
      </c>
      <c r="J183">
        <v>1.8476999999999999E-5</v>
      </c>
      <c r="K183">
        <v>1007</v>
      </c>
      <c r="L183">
        <v>5.4706701600000006E-3</v>
      </c>
      <c r="M183">
        <v>1.696</v>
      </c>
      <c r="N183">
        <v>26.188737637270581</v>
      </c>
      <c r="O183">
        <v>272.62475880398682</v>
      </c>
      <c r="P183">
        <v>273</v>
      </c>
      <c r="Q183">
        <v>0.5</v>
      </c>
      <c r="R183">
        <v>46.09</v>
      </c>
      <c r="S183">
        <v>0.5</v>
      </c>
      <c r="T183">
        <v>46.24</v>
      </c>
      <c r="U183">
        <v>23.045000000000002</v>
      </c>
      <c r="V183">
        <v>23.12</v>
      </c>
      <c r="W183">
        <v>46.165000000000013</v>
      </c>
      <c r="X183">
        <v>33.317238389328068</v>
      </c>
      <c r="Y183">
        <v>9233</v>
      </c>
      <c r="Z183">
        <v>121.2103017917491</v>
      </c>
      <c r="AA183">
        <v>9111.7896982082511</v>
      </c>
      <c r="AB183">
        <v>5.4706701600000019E-4</v>
      </c>
      <c r="AC183">
        <v>25.012417984189739</v>
      </c>
      <c r="AD183">
        <v>298.16241798418969</v>
      </c>
      <c r="AE183">
        <v>298.05599999999998</v>
      </c>
      <c r="AF183">
        <v>306.21372000000002</v>
      </c>
      <c r="AG183">
        <v>305.06704999999999</v>
      </c>
      <c r="AH183">
        <v>307.14688000000001</v>
      </c>
      <c r="AI183">
        <v>307.25090999999998</v>
      </c>
      <c r="AJ183">
        <v>28014.210999999999</v>
      </c>
      <c r="AK183">
        <v>1.4799164999999999E-3</v>
      </c>
      <c r="AL183">
        <v>1.8402511000000001E-4</v>
      </c>
      <c r="AM183">
        <v>1.8401887999999999E-4</v>
      </c>
      <c r="AN183">
        <v>734.44461432515368</v>
      </c>
      <c r="AO183">
        <v>66.211907688885617</v>
      </c>
      <c r="AP183">
        <v>43698.136693017128</v>
      </c>
      <c r="AQ183">
        <v>280</v>
      </c>
      <c r="AR183">
        <v>43418.136693017128</v>
      </c>
      <c r="AS183">
        <v>1.5598560563785691</v>
      </c>
      <c r="AT183">
        <v>5.9124388356928774</v>
      </c>
      <c r="AU183">
        <v>2.4713994333196219</v>
      </c>
      <c r="AV183">
        <v>18148.781137681159</v>
      </c>
      <c r="AW183">
        <v>630.62480230547567</v>
      </c>
      <c r="AZ183">
        <f t="shared" si="8"/>
        <v>65.835610726412369</v>
      </c>
      <c r="BA183">
        <f t="shared" si="9"/>
        <v>5.683221879686352E-3</v>
      </c>
      <c r="BB183">
        <f t="shared" si="10"/>
        <v>78.452305934086752</v>
      </c>
      <c r="BC183">
        <f t="shared" si="11"/>
        <v>-0.18486702275240163</v>
      </c>
      <c r="BD183">
        <v>0.69399999999999995</v>
      </c>
      <c r="BF183">
        <v>0.72</v>
      </c>
    </row>
    <row r="184" spans="1:58" x14ac:dyDescent="0.25">
      <c r="A184" t="s">
        <v>92</v>
      </c>
      <c r="B184">
        <v>5</v>
      </c>
      <c r="C184">
        <v>0.5</v>
      </c>
      <c r="D184">
        <v>4500</v>
      </c>
      <c r="E184">
        <v>2.3439610915968658</v>
      </c>
      <c r="F184">
        <v>6667.5325143856971</v>
      </c>
      <c r="G184">
        <v>8.6750000000000007</v>
      </c>
      <c r="H184">
        <v>24.6</v>
      </c>
      <c r="I184">
        <v>154325</v>
      </c>
      <c r="J184">
        <v>1.8479E-5</v>
      </c>
      <c r="K184">
        <v>1007</v>
      </c>
      <c r="L184">
        <v>6.1551701100000002E-3</v>
      </c>
      <c r="M184">
        <v>1.806</v>
      </c>
      <c r="N184">
        <v>29.465518923473141</v>
      </c>
      <c r="O184">
        <v>306.73605199335549</v>
      </c>
      <c r="P184">
        <v>307</v>
      </c>
      <c r="Q184">
        <v>0.5</v>
      </c>
      <c r="R184">
        <v>46.09</v>
      </c>
      <c r="S184">
        <v>0.5</v>
      </c>
      <c r="T184">
        <v>45.88</v>
      </c>
      <c r="U184">
        <v>23.045000000000002</v>
      </c>
      <c r="V184">
        <v>22.94</v>
      </c>
      <c r="W184">
        <v>45.984999999999999</v>
      </c>
      <c r="X184">
        <v>32.662819272445809</v>
      </c>
      <c r="Y184">
        <v>9196.9999999999982</v>
      </c>
      <c r="Z184">
        <v>107.26266715363749</v>
      </c>
      <c r="AA184">
        <v>9089.73733284636</v>
      </c>
      <c r="AB184">
        <v>6.1551701100000006E-4</v>
      </c>
      <c r="AC184">
        <v>25.009987422600641</v>
      </c>
      <c r="AD184">
        <v>298.15998742260058</v>
      </c>
      <c r="AE184">
        <v>298.04129999999998</v>
      </c>
      <c r="AF184">
        <v>305.15087999999997</v>
      </c>
      <c r="AG184">
        <v>303.90411</v>
      </c>
      <c r="AH184">
        <v>305.9812</v>
      </c>
      <c r="AI184">
        <v>305.97512</v>
      </c>
      <c r="AJ184">
        <v>35009.811000000002</v>
      </c>
      <c r="AK184">
        <v>1.4799164999999999E-3</v>
      </c>
      <c r="AL184">
        <v>1.8402511000000001E-4</v>
      </c>
      <c r="AM184">
        <v>1.8401887999999999E-4</v>
      </c>
      <c r="AN184">
        <v>903.82708400129945</v>
      </c>
      <c r="AO184">
        <v>81.482135324249938</v>
      </c>
      <c r="AP184">
        <v>52891.564434984517</v>
      </c>
      <c r="AQ184">
        <v>315</v>
      </c>
      <c r="AR184">
        <v>52576.564434984517</v>
      </c>
      <c r="AS184">
        <v>1.510764066535079</v>
      </c>
      <c r="AT184">
        <v>5.8711484964625349</v>
      </c>
      <c r="AU184">
        <v>2.4541400715213388</v>
      </c>
      <c r="AV184">
        <v>21977.003933823529</v>
      </c>
      <c r="AW184">
        <v>709.52969567723335</v>
      </c>
      <c r="AZ184">
        <f t="shared" si="8"/>
        <v>72.253872917384115</v>
      </c>
      <c r="BA184">
        <f t="shared" si="9"/>
        <v>0.11325503891304375</v>
      </c>
      <c r="BB184">
        <f t="shared" si="10"/>
        <v>87.773057822016668</v>
      </c>
      <c r="BC184">
        <f t="shared" si="11"/>
        <v>-7.7206156573249307E-2</v>
      </c>
      <c r="BD184">
        <v>0.69399999999999995</v>
      </c>
      <c r="BF184">
        <v>0.72</v>
      </c>
    </row>
    <row r="185" spans="1:58" x14ac:dyDescent="0.25">
      <c r="A185" t="s">
        <v>92</v>
      </c>
      <c r="B185">
        <v>5</v>
      </c>
      <c r="C185">
        <v>0.5</v>
      </c>
      <c r="D185">
        <v>5000</v>
      </c>
      <c r="E185">
        <v>2.3439610915968658</v>
      </c>
      <c r="F185">
        <v>7405.5555555555547</v>
      </c>
      <c r="G185">
        <v>8.6750000000000007</v>
      </c>
      <c r="H185">
        <v>24.6</v>
      </c>
      <c r="I185">
        <v>163525</v>
      </c>
      <c r="J185">
        <v>1.8479999999999999E-5</v>
      </c>
      <c r="K185">
        <v>1007</v>
      </c>
      <c r="L185">
        <v>6.8394479999999997E-3</v>
      </c>
      <c r="M185">
        <v>1.9139999999999999</v>
      </c>
      <c r="N185">
        <v>32.741237182494473</v>
      </c>
      <c r="O185">
        <v>340.83627906976739</v>
      </c>
      <c r="P185">
        <v>341</v>
      </c>
      <c r="Q185">
        <v>0.5</v>
      </c>
      <c r="R185">
        <v>46.09</v>
      </c>
      <c r="S185">
        <v>0.5</v>
      </c>
      <c r="T185">
        <v>46.24</v>
      </c>
      <c r="U185">
        <v>23.045000000000002</v>
      </c>
      <c r="V185">
        <v>23.12</v>
      </c>
      <c r="W185">
        <v>46.165000000000013</v>
      </c>
      <c r="X185">
        <v>32.037557339449542</v>
      </c>
      <c r="Y185">
        <v>9233</v>
      </c>
      <c r="Z185">
        <v>93.936459575688104</v>
      </c>
      <c r="AA185">
        <v>9139.0635404243112</v>
      </c>
      <c r="AB185">
        <v>6.8394479999999997E-4</v>
      </c>
      <c r="AC185">
        <v>24.98186082741908</v>
      </c>
      <c r="AD185">
        <v>298.13186082741908</v>
      </c>
      <c r="AE185">
        <v>297.99484000000001</v>
      </c>
      <c r="AF185">
        <v>304.33623999999998</v>
      </c>
      <c r="AG185">
        <v>303.25009</v>
      </c>
      <c r="AH185">
        <v>305.45078000000001</v>
      </c>
      <c r="AI185">
        <v>305.26035000000002</v>
      </c>
      <c r="AJ185">
        <v>40519.07</v>
      </c>
      <c r="AK185">
        <v>1.4799164999999999E-3</v>
      </c>
      <c r="AL185">
        <v>1.8402511000000001E-4</v>
      </c>
      <c r="AM185">
        <v>1.8401887999999999E-4</v>
      </c>
      <c r="AN185">
        <v>987.56400230477345</v>
      </c>
      <c r="AO185">
        <v>89.031215264002554</v>
      </c>
      <c r="AP185">
        <v>62402.265304944893</v>
      </c>
      <c r="AQ185">
        <v>351</v>
      </c>
      <c r="AR185">
        <v>62051.265304944893</v>
      </c>
      <c r="AS185">
        <v>1.5400715096606341</v>
      </c>
      <c r="AT185">
        <v>5.8141916283961654</v>
      </c>
      <c r="AU185">
        <v>2.430332100669597</v>
      </c>
      <c r="AV185">
        <v>25937.428897466969</v>
      </c>
      <c r="AW185">
        <v>788.40899135446671</v>
      </c>
      <c r="AZ185">
        <f t="shared" si="8"/>
        <v>78.523635230915175</v>
      </c>
      <c r="BA185">
        <f t="shared" si="9"/>
        <v>0.11802130299950926</v>
      </c>
      <c r="BB185">
        <f t="shared" si="10"/>
        <v>97.045303603098262</v>
      </c>
      <c r="BC185">
        <f t="shared" si="11"/>
        <v>-9.0014365358618148E-2</v>
      </c>
      <c r="BD185">
        <v>0.69399999999999995</v>
      </c>
      <c r="BF185">
        <v>0.72</v>
      </c>
    </row>
    <row r="186" spans="1:58" x14ac:dyDescent="0.25">
      <c r="A186" t="s">
        <v>92</v>
      </c>
      <c r="B186">
        <v>5</v>
      </c>
      <c r="C186">
        <v>0.5</v>
      </c>
      <c r="D186">
        <v>6000</v>
      </c>
      <c r="E186">
        <v>2.3439610915968658</v>
      </c>
      <c r="F186">
        <v>8880.8815307760269</v>
      </c>
      <c r="G186">
        <v>8.6750000000000007</v>
      </c>
      <c r="H186">
        <v>24.6</v>
      </c>
      <c r="I186">
        <v>183825</v>
      </c>
      <c r="J186">
        <v>1.8482999999999999E-5</v>
      </c>
      <c r="K186">
        <v>1007</v>
      </c>
      <c r="L186">
        <v>8.2086699599999997E-3</v>
      </c>
      <c r="M186">
        <v>2.1509999999999998</v>
      </c>
      <c r="N186">
        <v>39.29586278208086</v>
      </c>
      <c r="O186">
        <v>409.06993156146177</v>
      </c>
      <c r="P186">
        <v>409</v>
      </c>
      <c r="Q186">
        <v>0.5</v>
      </c>
      <c r="R186">
        <v>46.09</v>
      </c>
      <c r="S186">
        <v>0.5</v>
      </c>
      <c r="T186">
        <v>46.24</v>
      </c>
      <c r="U186">
        <v>23.045000000000002</v>
      </c>
      <c r="V186">
        <v>23.12</v>
      </c>
      <c r="W186">
        <v>46.165000000000013</v>
      </c>
      <c r="X186">
        <v>31.255944052518121</v>
      </c>
      <c r="Y186">
        <v>9233</v>
      </c>
      <c r="Z186">
        <v>77.277935591318737</v>
      </c>
      <c r="AA186">
        <v>9155.722064408681</v>
      </c>
      <c r="AB186">
        <v>8.2086699599999999E-4</v>
      </c>
      <c r="AC186">
        <v>24.968258867332931</v>
      </c>
      <c r="AD186">
        <v>298.11825886733288</v>
      </c>
      <c r="AE186">
        <v>297.96019999999999</v>
      </c>
      <c r="AF186">
        <v>303.18932000000001</v>
      </c>
      <c r="AG186">
        <v>301.81394999999998</v>
      </c>
      <c r="AH186">
        <v>303.83852000000002</v>
      </c>
      <c r="AI186">
        <v>304.03113999999999</v>
      </c>
      <c r="AJ186">
        <v>55241.173000000003</v>
      </c>
      <c r="AK186">
        <v>1.4799164999999999E-3</v>
      </c>
      <c r="AL186">
        <v>1.8402511000000001E-4</v>
      </c>
      <c r="AM186">
        <v>1.8401887999999999E-4</v>
      </c>
      <c r="AN186">
        <v>1490.8925088009339</v>
      </c>
      <c r="AO186">
        <v>134.40746278394721</v>
      </c>
      <c r="AP186">
        <v>82875.479129923566</v>
      </c>
      <c r="AQ186">
        <v>421</v>
      </c>
      <c r="AR186">
        <v>82454.479129923566</v>
      </c>
      <c r="AS186">
        <v>1.500248358772605</v>
      </c>
      <c r="AT186">
        <v>5.7727718283071434</v>
      </c>
      <c r="AU186">
        <v>2.413018624232385</v>
      </c>
      <c r="AV186">
        <v>34465.97227630805</v>
      </c>
      <c r="AW186">
        <v>946.24437579250707</v>
      </c>
      <c r="AZ186">
        <f t="shared" si="8"/>
        <v>90.685477702792852</v>
      </c>
      <c r="BA186">
        <f t="shared" si="9"/>
        <v>0.32529432648717654</v>
      </c>
      <c r="BB186">
        <f t="shared" si="10"/>
        <v>115.46366428921016</v>
      </c>
      <c r="BC186">
        <f t="shared" si="11"/>
        <v>0.14094305555926007</v>
      </c>
      <c r="BD186">
        <v>0.69399999999999995</v>
      </c>
      <c r="BF186">
        <v>0.72</v>
      </c>
    </row>
    <row r="187" spans="1:58" x14ac:dyDescent="0.25">
      <c r="A187" t="s">
        <v>92</v>
      </c>
      <c r="B187">
        <v>5</v>
      </c>
      <c r="C187">
        <v>0.5</v>
      </c>
      <c r="D187" t="s">
        <v>88</v>
      </c>
      <c r="AS187">
        <v>1.6456168330919321</v>
      </c>
    </row>
    <row r="188" spans="1:58" x14ac:dyDescent="0.25">
      <c r="A188" t="s">
        <v>93</v>
      </c>
    </row>
    <row r="189" spans="1:58" x14ac:dyDescent="0.25">
      <c r="A189" t="s">
        <v>94</v>
      </c>
      <c r="B189">
        <v>4</v>
      </c>
      <c r="C189">
        <v>0.3</v>
      </c>
      <c r="D189">
        <v>600</v>
      </c>
      <c r="E189">
        <v>2.0370860927152319</v>
      </c>
      <c r="F189">
        <v>921.9819819819819</v>
      </c>
      <c r="G189">
        <v>6.1520000000000001</v>
      </c>
      <c r="H189">
        <v>25.2</v>
      </c>
      <c r="I189">
        <v>105575</v>
      </c>
      <c r="J189">
        <v>1.8499999999999999E-5</v>
      </c>
      <c r="K189">
        <v>1007</v>
      </c>
      <c r="L189">
        <v>6.704399999999999E-4</v>
      </c>
      <c r="M189">
        <v>1.2330000000000001</v>
      </c>
      <c r="N189">
        <v>4.5257140265003093</v>
      </c>
      <c r="O189">
        <v>33.410631229235882</v>
      </c>
      <c r="P189">
        <v>34</v>
      </c>
      <c r="Q189">
        <v>0.2</v>
      </c>
      <c r="R189">
        <v>32.15</v>
      </c>
      <c r="S189">
        <v>0.2</v>
      </c>
      <c r="T189">
        <v>31.81</v>
      </c>
      <c r="U189">
        <v>6.43</v>
      </c>
      <c r="V189">
        <v>6.3620000000000001</v>
      </c>
      <c r="W189">
        <v>12.792</v>
      </c>
      <c r="X189">
        <v>36.99277739912759</v>
      </c>
      <c r="Y189">
        <v>3997.5</v>
      </c>
      <c r="Z189">
        <v>199.5470647076063</v>
      </c>
      <c r="AA189">
        <v>3797.9529352923942</v>
      </c>
      <c r="AB189">
        <v>6.704399999999999E-5</v>
      </c>
      <c r="AC189">
        <v>25.645687022900741</v>
      </c>
      <c r="AD189">
        <v>298.79568702290072</v>
      </c>
      <c r="AE189">
        <v>298.90289000000001</v>
      </c>
      <c r="AF189">
        <v>317.02337</v>
      </c>
      <c r="AG189">
        <v>313.26467000000002</v>
      </c>
      <c r="AH189">
        <v>314.30029000000002</v>
      </c>
      <c r="AI189">
        <v>314.23018000000002</v>
      </c>
      <c r="AJ189">
        <v>1124.8606</v>
      </c>
      <c r="AK189">
        <v>9.6482195000000004E-4</v>
      </c>
      <c r="AL189">
        <v>1.2850002000000001E-4</v>
      </c>
      <c r="AM189">
        <v>1.2850002000000001E-4</v>
      </c>
      <c r="AN189">
        <v>180.46058997737569</v>
      </c>
      <c r="AO189">
        <v>14.13899069715761</v>
      </c>
      <c r="AP189">
        <v>4360.5925118138848</v>
      </c>
      <c r="AQ189">
        <v>41</v>
      </c>
      <c r="AR189">
        <v>4319.5925118138848</v>
      </c>
      <c r="AS189">
        <v>3.8765625819002678</v>
      </c>
      <c r="AT189">
        <v>17.96704788137076</v>
      </c>
      <c r="AU189">
        <v>8.3187431690746649</v>
      </c>
      <c r="AV189">
        <v>1999.9713329698291</v>
      </c>
      <c r="AW189">
        <v>108.97919375812739</v>
      </c>
      <c r="AZ189">
        <f t="shared" si="8"/>
        <v>15.010759845234203</v>
      </c>
      <c r="BA189">
        <f t="shared" si="9"/>
        <v>-6.165709892233303E-2</v>
      </c>
      <c r="BB189">
        <f t="shared" si="10"/>
        <v>11.516719959580145</v>
      </c>
      <c r="BC189">
        <f t="shared" si="11"/>
        <v>0.1854637854811394</v>
      </c>
      <c r="BD189">
        <v>0.76900000000000002</v>
      </c>
      <c r="BF189">
        <v>0.72</v>
      </c>
    </row>
    <row r="190" spans="1:58" x14ac:dyDescent="0.25">
      <c r="A190" t="s">
        <v>94</v>
      </c>
      <c r="B190">
        <v>4</v>
      </c>
      <c r="C190">
        <v>0.3</v>
      </c>
      <c r="D190">
        <v>800</v>
      </c>
      <c r="E190">
        <v>2.0370860927152319</v>
      </c>
      <c r="F190">
        <v>1220.2043132803631</v>
      </c>
      <c r="G190">
        <v>6.1520000000000001</v>
      </c>
      <c r="H190">
        <v>25.2</v>
      </c>
      <c r="I190">
        <v>108325</v>
      </c>
      <c r="J190">
        <v>1.8501000000000001E-5</v>
      </c>
      <c r="K190">
        <v>1007</v>
      </c>
      <c r="L190">
        <v>8.9396832000000022E-4</v>
      </c>
      <c r="M190">
        <v>1.2649999999999999</v>
      </c>
      <c r="N190">
        <v>6.0346115462545757</v>
      </c>
      <c r="O190">
        <v>44.549916279069777</v>
      </c>
      <c r="P190">
        <v>45</v>
      </c>
      <c r="Q190">
        <v>0.2</v>
      </c>
      <c r="R190">
        <v>32.15</v>
      </c>
      <c r="S190">
        <v>0.2</v>
      </c>
      <c r="T190">
        <v>31.81</v>
      </c>
      <c r="U190">
        <v>6.43</v>
      </c>
      <c r="V190">
        <v>6.3620000000000001</v>
      </c>
      <c r="W190">
        <v>12.792</v>
      </c>
      <c r="X190">
        <v>34.835575887797482</v>
      </c>
      <c r="Y190">
        <v>3997.5</v>
      </c>
      <c r="Z190">
        <v>153.57062889662771</v>
      </c>
      <c r="AA190">
        <v>3843.929371103372</v>
      </c>
      <c r="AB190">
        <v>8.9396832000000019E-5</v>
      </c>
      <c r="AC190">
        <v>25.6993039289762</v>
      </c>
      <c r="AD190">
        <v>298.84930392897621</v>
      </c>
      <c r="AE190">
        <v>298.83837999999997</v>
      </c>
      <c r="AF190">
        <v>312.47739999999999</v>
      </c>
      <c r="AG190">
        <v>309.82963000000001</v>
      </c>
      <c r="AH190">
        <v>310.80685999999997</v>
      </c>
      <c r="AI190">
        <v>310.80685999999997</v>
      </c>
      <c r="AJ190">
        <v>1829.8516999999999</v>
      </c>
      <c r="AK190">
        <v>9.6482195000000004E-4</v>
      </c>
      <c r="AL190">
        <v>1.2850002000000001E-4</v>
      </c>
      <c r="AM190">
        <v>1.2850002000000001E-4</v>
      </c>
      <c r="AN190">
        <v>229.9915637595916</v>
      </c>
      <c r="AO190">
        <v>18.019715999095869</v>
      </c>
      <c r="AP190">
        <v>7003.508059438358</v>
      </c>
      <c r="AQ190">
        <v>54</v>
      </c>
      <c r="AR190">
        <v>6949.508059438358</v>
      </c>
      <c r="AS190">
        <v>3.8273637472579649</v>
      </c>
      <c r="AT190">
        <v>16.472404535244419</v>
      </c>
      <c r="AU190">
        <v>7.6267232998181678</v>
      </c>
      <c r="AV190">
        <v>3217.6222315199602</v>
      </c>
      <c r="AW190">
        <v>145.31344603381021</v>
      </c>
      <c r="AZ190">
        <f t="shared" si="8"/>
        <v>18.839930266484721</v>
      </c>
      <c r="BA190">
        <f t="shared" si="9"/>
        <v>-4.5517602354554661E-2</v>
      </c>
      <c r="BB190">
        <f t="shared" si="10"/>
        <v>15.1500098107811</v>
      </c>
      <c r="BC190">
        <f t="shared" si="11"/>
        <v>0.15925368571062692</v>
      </c>
      <c r="BD190">
        <v>0.76900000000000002</v>
      </c>
      <c r="BF190">
        <v>0.72</v>
      </c>
    </row>
    <row r="191" spans="1:58" x14ac:dyDescent="0.25">
      <c r="A191" t="s">
        <v>94</v>
      </c>
      <c r="B191">
        <v>4</v>
      </c>
      <c r="C191">
        <v>0.3</v>
      </c>
      <c r="D191">
        <v>1000</v>
      </c>
      <c r="E191">
        <v>2.0370860927152319</v>
      </c>
      <c r="F191">
        <v>1518.4764787488959</v>
      </c>
      <c r="G191">
        <v>6.1520000000000001</v>
      </c>
      <c r="H191">
        <v>25.2</v>
      </c>
      <c r="I191">
        <v>111625</v>
      </c>
      <c r="J191">
        <v>1.8501000000000001E-5</v>
      </c>
      <c r="K191">
        <v>1007</v>
      </c>
      <c r="L191">
        <v>1.1174603999999999E-3</v>
      </c>
      <c r="M191">
        <v>1.304</v>
      </c>
      <c r="N191">
        <v>7.5432644328182192</v>
      </c>
      <c r="O191">
        <v>55.687395348837221</v>
      </c>
      <c r="P191">
        <v>56</v>
      </c>
      <c r="Q191">
        <v>0.25</v>
      </c>
      <c r="R191">
        <v>40.22</v>
      </c>
      <c r="S191">
        <v>0.25</v>
      </c>
      <c r="T191">
        <v>39.729999999999997</v>
      </c>
      <c r="U191">
        <v>10.055</v>
      </c>
      <c r="V191">
        <v>9.9324999999999992</v>
      </c>
      <c r="W191">
        <v>19.987500000000001</v>
      </c>
      <c r="X191">
        <v>37.685931885534352</v>
      </c>
      <c r="Y191">
        <v>6246.0937499999991</v>
      </c>
      <c r="Z191">
        <v>214.3202662763936</v>
      </c>
      <c r="AA191">
        <v>6031.7734837236058</v>
      </c>
      <c r="AB191">
        <v>1.1174604E-4</v>
      </c>
      <c r="AC191">
        <v>25.677498610853849</v>
      </c>
      <c r="AD191">
        <v>298.82749861085381</v>
      </c>
      <c r="AE191">
        <v>298.81049000000002</v>
      </c>
      <c r="AF191">
        <v>315.88945000000001</v>
      </c>
      <c r="AG191">
        <v>312.85176999999999</v>
      </c>
      <c r="AH191">
        <v>314.44954000000001</v>
      </c>
      <c r="AI191">
        <v>314.44954000000001</v>
      </c>
      <c r="AJ191">
        <v>2823.4805000000001</v>
      </c>
      <c r="AK191">
        <v>9.6482195000000004E-4</v>
      </c>
      <c r="AL191">
        <v>1.2850002000000001E-4</v>
      </c>
      <c r="AM191">
        <v>1.2850002000000001E-4</v>
      </c>
      <c r="AN191">
        <v>270.6026733071584</v>
      </c>
      <c r="AO191">
        <v>21.201574709445222</v>
      </c>
      <c r="AP191">
        <v>10204.681422485641</v>
      </c>
      <c r="AQ191">
        <v>68</v>
      </c>
      <c r="AR191">
        <v>10136.681422485641</v>
      </c>
      <c r="AS191">
        <v>3.6142206126394871</v>
      </c>
      <c r="AT191">
        <v>15.62133451681313</v>
      </c>
      <c r="AU191">
        <v>7.2326778812844799</v>
      </c>
      <c r="AV191">
        <v>4693.2834986108537</v>
      </c>
      <c r="AW191">
        <v>181.64180754226271</v>
      </c>
      <c r="AZ191">
        <f t="shared" si="8"/>
        <v>22.470814741417989</v>
      </c>
      <c r="BA191">
        <f t="shared" si="9"/>
        <v>-5.9865366104496276E-2</v>
      </c>
      <c r="BB191">
        <f t="shared" si="10"/>
        <v>18.74052373823681</v>
      </c>
      <c r="BC191">
        <f t="shared" si="11"/>
        <v>0.11607868778313069</v>
      </c>
      <c r="BD191">
        <v>0.76900000000000002</v>
      </c>
      <c r="BF191">
        <v>0.72</v>
      </c>
    </row>
    <row r="192" spans="1:58" x14ac:dyDescent="0.25">
      <c r="A192" t="s">
        <v>94</v>
      </c>
      <c r="B192">
        <v>4</v>
      </c>
      <c r="C192">
        <v>0.3</v>
      </c>
      <c r="D192">
        <v>1200</v>
      </c>
      <c r="E192">
        <v>2.0370860927152319</v>
      </c>
      <c r="F192">
        <v>1816.74864421743</v>
      </c>
      <c r="G192">
        <v>6.1520000000000001</v>
      </c>
      <c r="H192">
        <v>25.2</v>
      </c>
      <c r="I192">
        <v>110325</v>
      </c>
      <c r="J192">
        <v>1.8501000000000001E-5</v>
      </c>
      <c r="K192">
        <v>1007</v>
      </c>
      <c r="L192">
        <v>1.3409524800000001E-3</v>
      </c>
      <c r="M192">
        <v>1.29</v>
      </c>
      <c r="N192">
        <v>9.0519173193818609</v>
      </c>
      <c r="O192">
        <v>66.824874418604637</v>
      </c>
      <c r="P192">
        <v>67</v>
      </c>
      <c r="Q192">
        <v>0.25</v>
      </c>
      <c r="R192">
        <v>40.22</v>
      </c>
      <c r="S192">
        <v>0.25</v>
      </c>
      <c r="T192">
        <v>39.729999999999997</v>
      </c>
      <c r="U192">
        <v>10.055</v>
      </c>
      <c r="V192">
        <v>9.9324999999999992</v>
      </c>
      <c r="W192">
        <v>19.987500000000001</v>
      </c>
      <c r="X192">
        <v>36.213879124116247</v>
      </c>
      <c r="Y192">
        <v>6246.0937499999991</v>
      </c>
      <c r="Z192">
        <v>182.94640577228949</v>
      </c>
      <c r="AA192">
        <v>6063.1473442277093</v>
      </c>
      <c r="AB192">
        <v>1.3409524799999999E-4</v>
      </c>
      <c r="AC192">
        <v>25.711132168106829</v>
      </c>
      <c r="AD192">
        <v>298.86113216810679</v>
      </c>
      <c r="AE192">
        <v>298.83789000000002</v>
      </c>
      <c r="AF192">
        <v>313.18421999999998</v>
      </c>
      <c r="AG192">
        <v>310.79536999999999</v>
      </c>
      <c r="AH192">
        <v>312.29696000000001</v>
      </c>
      <c r="AI192">
        <v>312.29696000000001</v>
      </c>
      <c r="AJ192">
        <v>4016.7107000000001</v>
      </c>
      <c r="AK192">
        <v>9.6482195000000004E-4</v>
      </c>
      <c r="AL192">
        <v>1.2850002000000001E-4</v>
      </c>
      <c r="AM192">
        <v>1.2850002000000001E-4</v>
      </c>
      <c r="AN192">
        <v>311.35525553516788</v>
      </c>
      <c r="AO192">
        <v>24.394517728634149</v>
      </c>
      <c r="AP192">
        <v>13716.169154228861</v>
      </c>
      <c r="AQ192">
        <v>82</v>
      </c>
      <c r="AR192">
        <v>13634.169154228861</v>
      </c>
      <c r="AS192">
        <v>3.414776462300074</v>
      </c>
      <c r="AT192">
        <v>14.50927515536951</v>
      </c>
      <c r="AU192">
        <v>6.7177943969360836</v>
      </c>
      <c r="AV192">
        <v>6312.6203184079604</v>
      </c>
      <c r="AW192">
        <v>217.97016905071521</v>
      </c>
      <c r="AZ192">
        <f t="shared" si="8"/>
        <v>25.951123673833294</v>
      </c>
      <c r="BA192">
        <f t="shared" si="9"/>
        <v>-6.3809662585459087E-2</v>
      </c>
      <c r="BB192">
        <f t="shared" si="10"/>
        <v>22.297313328686084</v>
      </c>
      <c r="BC192">
        <f t="shared" si="11"/>
        <v>8.5970316088125762E-2</v>
      </c>
      <c r="BD192">
        <v>0.76900000000000002</v>
      </c>
      <c r="BF192">
        <v>0.72</v>
      </c>
    </row>
    <row r="193" spans="1:58" x14ac:dyDescent="0.25">
      <c r="A193" t="s">
        <v>94</v>
      </c>
      <c r="B193">
        <v>4</v>
      </c>
      <c r="C193">
        <v>0.3</v>
      </c>
      <c r="D193">
        <v>1400</v>
      </c>
      <c r="E193">
        <v>2.0370860927152319</v>
      </c>
      <c r="F193">
        <v>2114.9064965949628</v>
      </c>
      <c r="G193">
        <v>6.1520000000000001</v>
      </c>
      <c r="H193">
        <v>25.2</v>
      </c>
      <c r="I193">
        <v>118825</v>
      </c>
      <c r="J193">
        <v>1.8502E-5</v>
      </c>
      <c r="K193">
        <v>1007</v>
      </c>
      <c r="L193">
        <v>1.56452912E-3</v>
      </c>
      <c r="M193">
        <v>1.3879999999999999</v>
      </c>
      <c r="N193">
        <v>10.561141016723621</v>
      </c>
      <c r="O193">
        <v>77.966567441860462</v>
      </c>
      <c r="P193">
        <v>78</v>
      </c>
      <c r="Q193">
        <v>0.25</v>
      </c>
      <c r="R193">
        <v>40.22</v>
      </c>
      <c r="S193">
        <v>0.25</v>
      </c>
      <c r="T193">
        <v>39.729999999999997</v>
      </c>
      <c r="U193">
        <v>10.055</v>
      </c>
      <c r="V193">
        <v>9.9324999999999992</v>
      </c>
      <c r="W193">
        <v>19.987500000000001</v>
      </c>
      <c r="X193">
        <v>35.087040851610368</v>
      </c>
      <c r="Y193">
        <v>6246.0937499999991</v>
      </c>
      <c r="Z193">
        <v>158.93010167037181</v>
      </c>
      <c r="AA193">
        <v>6087.163648329627</v>
      </c>
      <c r="AB193">
        <v>1.56452912E-4</v>
      </c>
      <c r="AC193">
        <v>25.740503852993481</v>
      </c>
      <c r="AD193">
        <v>298.89050385299339</v>
      </c>
      <c r="AE193">
        <v>298.8605</v>
      </c>
      <c r="AF193">
        <v>311.30023999999997</v>
      </c>
      <c r="AG193">
        <v>309.13729000000001</v>
      </c>
      <c r="AH193">
        <v>310.70819</v>
      </c>
      <c r="AI193">
        <v>310.70819</v>
      </c>
      <c r="AJ193">
        <v>5425.6082999999999</v>
      </c>
      <c r="AK193">
        <v>9.6482195000000004E-4</v>
      </c>
      <c r="AL193">
        <v>1.2850002000000001E-4</v>
      </c>
      <c r="AM193">
        <v>1.2850002000000001E-4</v>
      </c>
      <c r="AN193">
        <v>363.37510034502282</v>
      </c>
      <c r="AO193">
        <v>28.470244744301841</v>
      </c>
      <c r="AP193">
        <v>17586.440756108801</v>
      </c>
      <c r="AQ193">
        <v>95</v>
      </c>
      <c r="AR193">
        <v>17491.440756108801</v>
      </c>
      <c r="AS193">
        <v>3.2413767790993688</v>
      </c>
      <c r="AT193">
        <v>14.21412155205714</v>
      </c>
      <c r="AU193">
        <v>6.5811382786024577</v>
      </c>
      <c r="AV193">
        <v>8098.5370700783769</v>
      </c>
      <c r="AW193">
        <v>254.31227568270481</v>
      </c>
      <c r="AZ193">
        <f t="shared" si="8"/>
        <v>29.311007178534684</v>
      </c>
      <c r="BA193">
        <f t="shared" si="9"/>
        <v>-2.9531268234043444E-2</v>
      </c>
      <c r="BB193">
        <f t="shared" si="10"/>
        <v>25.826300492934372</v>
      </c>
      <c r="BC193">
        <f t="shared" si="11"/>
        <v>9.2866930899729583E-2</v>
      </c>
      <c r="BD193">
        <v>0.76900000000000002</v>
      </c>
      <c r="BF193">
        <v>0.72</v>
      </c>
    </row>
    <row r="194" spans="1:58" x14ac:dyDescent="0.25">
      <c r="A194" t="s">
        <v>94</v>
      </c>
      <c r="B194">
        <v>4</v>
      </c>
      <c r="C194">
        <v>0.3</v>
      </c>
      <c r="D194">
        <v>1600</v>
      </c>
      <c r="E194">
        <v>2.0370860927152319</v>
      </c>
      <c r="F194">
        <v>2440.144841377074</v>
      </c>
      <c r="G194">
        <v>6.1520000000000001</v>
      </c>
      <c r="H194">
        <v>25.2</v>
      </c>
      <c r="I194">
        <v>123525</v>
      </c>
      <c r="J194">
        <v>1.8502999999999999E-5</v>
      </c>
      <c r="K194">
        <v>1007</v>
      </c>
      <c r="L194">
        <v>1.7881299200000001E-3</v>
      </c>
      <c r="M194">
        <v>1.4430000000000001</v>
      </c>
      <c r="N194">
        <v>12.070527802859131</v>
      </c>
      <c r="O194">
        <v>89.109464451827236</v>
      </c>
      <c r="P194">
        <v>90</v>
      </c>
      <c r="Q194">
        <v>0.25</v>
      </c>
      <c r="R194">
        <v>40.22</v>
      </c>
      <c r="S194">
        <v>0.25</v>
      </c>
      <c r="T194">
        <v>39.729999999999997</v>
      </c>
      <c r="U194">
        <v>10.055</v>
      </c>
      <c r="V194">
        <v>9.9324999999999992</v>
      </c>
      <c r="W194">
        <v>19.987500000000001</v>
      </c>
      <c r="X194">
        <v>34.15685984026819</v>
      </c>
      <c r="Y194">
        <v>6246.0937499999991</v>
      </c>
      <c r="Z194">
        <v>139.1051537756359</v>
      </c>
      <c r="AA194">
        <v>6106.9885962243634</v>
      </c>
      <c r="AB194">
        <v>1.78812992E-4</v>
      </c>
      <c r="AC194">
        <v>25.736666338000411</v>
      </c>
      <c r="AD194">
        <v>298.8866663380004</v>
      </c>
      <c r="AE194">
        <v>298.84793000000002</v>
      </c>
      <c r="AF194">
        <v>309.64702</v>
      </c>
      <c r="AG194">
        <v>307.92266999999998</v>
      </c>
      <c r="AH194">
        <v>309.57011999999997</v>
      </c>
      <c r="AI194">
        <v>309.27981999999997</v>
      </c>
      <c r="AJ194">
        <v>6861.7516999999998</v>
      </c>
      <c r="AK194">
        <v>9.6482195000000004E-4</v>
      </c>
      <c r="AL194">
        <v>1.2850002000000001E-4</v>
      </c>
      <c r="AM194">
        <v>1.2850002000000001E-4</v>
      </c>
      <c r="AN194">
        <v>400.74361541667372</v>
      </c>
      <c r="AO194">
        <v>31.398047911912592</v>
      </c>
      <c r="AP194">
        <v>22236.0346414251</v>
      </c>
      <c r="AQ194">
        <v>109</v>
      </c>
      <c r="AR194">
        <v>22127.0346414251</v>
      </c>
      <c r="AS194">
        <v>3.2405769858191018</v>
      </c>
      <c r="AT194">
        <v>14.058783161040781</v>
      </c>
      <c r="AU194">
        <v>6.5092166035618817</v>
      </c>
      <c r="AV194">
        <v>10244.81703897982</v>
      </c>
      <c r="AW194">
        <v>290.65830949284782</v>
      </c>
      <c r="AZ194">
        <f t="shared" si="8"/>
        <v>32.57112667132354</v>
      </c>
      <c r="BA194">
        <f t="shared" si="9"/>
        <v>-3.7361518865823382E-2</v>
      </c>
      <c r="BB194">
        <f t="shared" si="10"/>
        <v>29.331660131464151</v>
      </c>
      <c r="BC194">
        <f t="shared" si="11"/>
        <v>6.5812619505699971E-2</v>
      </c>
      <c r="BD194">
        <v>0.76900000000000002</v>
      </c>
      <c r="BF194">
        <v>0.72</v>
      </c>
    </row>
    <row r="195" spans="1:58" x14ac:dyDescent="0.25">
      <c r="A195" t="s">
        <v>94</v>
      </c>
      <c r="B195">
        <v>4</v>
      </c>
      <c r="C195">
        <v>0.3</v>
      </c>
      <c r="D195">
        <v>1800</v>
      </c>
      <c r="E195">
        <v>2.0370860927152319</v>
      </c>
      <c r="F195">
        <v>2711.125522409568</v>
      </c>
      <c r="G195">
        <v>6.1520000000000001</v>
      </c>
      <c r="H195">
        <v>25.2</v>
      </c>
      <c r="I195">
        <v>127725</v>
      </c>
      <c r="J195">
        <v>1.8504000000000001E-5</v>
      </c>
      <c r="K195">
        <v>1007</v>
      </c>
      <c r="L195">
        <v>2.0117548800000001E-3</v>
      </c>
      <c r="M195">
        <v>1.492</v>
      </c>
      <c r="N195">
        <v>13.58007767778839</v>
      </c>
      <c r="O195">
        <v>100.253565448505</v>
      </c>
      <c r="P195">
        <v>100</v>
      </c>
      <c r="Q195">
        <v>0.28000000000000003</v>
      </c>
      <c r="R195">
        <v>45.04</v>
      </c>
      <c r="S195">
        <v>0.28000000000000003</v>
      </c>
      <c r="T195">
        <v>44.6</v>
      </c>
      <c r="U195">
        <v>12.6112</v>
      </c>
      <c r="V195">
        <v>12.488</v>
      </c>
      <c r="W195">
        <v>25.0992</v>
      </c>
      <c r="X195">
        <v>35.505708632019143</v>
      </c>
      <c r="Y195">
        <v>7843.5</v>
      </c>
      <c r="Z195">
        <v>167.85316807422379</v>
      </c>
      <c r="AA195">
        <v>7675.6468319257756</v>
      </c>
      <c r="AB195">
        <v>2.01175488E-4</v>
      </c>
      <c r="AC195">
        <v>25.749270211071298</v>
      </c>
      <c r="AD195">
        <v>298.89927021107133</v>
      </c>
      <c r="AE195">
        <v>298.85140999999999</v>
      </c>
      <c r="AF195">
        <v>310.95364000000001</v>
      </c>
      <c r="AG195">
        <v>309.05995999999999</v>
      </c>
      <c r="AH195">
        <v>310.99765000000002</v>
      </c>
      <c r="AI195">
        <v>310.86743999999999</v>
      </c>
      <c r="AJ195">
        <v>8772.4591999999993</v>
      </c>
      <c r="AK195">
        <v>9.6482195000000004E-4</v>
      </c>
      <c r="AL195">
        <v>1.2850002000000001E-4</v>
      </c>
      <c r="AM195">
        <v>1.2850002000000001E-4</v>
      </c>
      <c r="AN195">
        <v>441.69235544385822</v>
      </c>
      <c r="AO195">
        <v>34.606359789742953</v>
      </c>
      <c r="AP195">
        <v>26488.243395725469</v>
      </c>
      <c r="AQ195">
        <v>123</v>
      </c>
      <c r="AR195">
        <v>26365.243395725469</v>
      </c>
      <c r="AS195">
        <v>3.0194775252674271</v>
      </c>
      <c r="AT195">
        <v>13.48050639911918</v>
      </c>
      <c r="AU195">
        <v>6.2414744627921834</v>
      </c>
      <c r="AV195">
        <v>12207.10769222089</v>
      </c>
      <c r="AW195">
        <v>327.00827048114439</v>
      </c>
      <c r="AZ195">
        <f t="shared" si="8"/>
        <v>35.746460332321064</v>
      </c>
      <c r="BA195">
        <f t="shared" si="9"/>
        <v>-3.2944827179310188E-2</v>
      </c>
      <c r="BB195">
        <f t="shared" si="10"/>
        <v>32.816492390902859</v>
      </c>
      <c r="BC195">
        <f t="shared" si="11"/>
        <v>5.1720764903178194E-2</v>
      </c>
      <c r="BD195">
        <v>0.76900000000000002</v>
      </c>
      <c r="BF195">
        <v>0.72</v>
      </c>
    </row>
    <row r="196" spans="1:58" x14ac:dyDescent="0.25">
      <c r="A196" t="s">
        <v>94</v>
      </c>
      <c r="B196">
        <v>4</v>
      </c>
      <c r="C196">
        <v>0.3</v>
      </c>
      <c r="D196">
        <v>2000</v>
      </c>
      <c r="E196">
        <v>2.0370860927152319</v>
      </c>
      <c r="F196">
        <v>3009.3493298746212</v>
      </c>
      <c r="G196">
        <v>6.1520000000000001</v>
      </c>
      <c r="H196">
        <v>25.2</v>
      </c>
      <c r="I196">
        <v>132125</v>
      </c>
      <c r="J196">
        <v>1.8504000000000001E-5</v>
      </c>
      <c r="K196">
        <v>1007</v>
      </c>
      <c r="L196">
        <v>2.2352831999999999E-3</v>
      </c>
      <c r="M196">
        <v>1.5429999999999999</v>
      </c>
      <c r="N196">
        <v>15.08897519754265</v>
      </c>
      <c r="O196">
        <v>111.3928504983389</v>
      </c>
      <c r="P196">
        <v>111</v>
      </c>
      <c r="Q196">
        <v>0.28000000000000003</v>
      </c>
      <c r="R196">
        <v>45.04</v>
      </c>
      <c r="S196">
        <v>0.28000000000000003</v>
      </c>
      <c r="T196">
        <v>44.6</v>
      </c>
      <c r="U196">
        <v>12.6112</v>
      </c>
      <c r="V196">
        <v>12.488</v>
      </c>
      <c r="W196">
        <v>25.0992</v>
      </c>
      <c r="X196">
        <v>34.758671598505693</v>
      </c>
      <c r="Y196">
        <v>7843.5</v>
      </c>
      <c r="Z196">
        <v>151.9315677789518</v>
      </c>
      <c r="AA196">
        <v>7691.5684322210482</v>
      </c>
      <c r="AB196">
        <v>2.2352831999999999E-4</v>
      </c>
      <c r="AC196">
        <v>25.74130554463235</v>
      </c>
      <c r="AD196">
        <v>298.8913055446323</v>
      </c>
      <c r="AE196">
        <v>298.83377000000002</v>
      </c>
      <c r="AF196">
        <v>309.63297999999998</v>
      </c>
      <c r="AG196">
        <v>308.05221</v>
      </c>
      <c r="AH196">
        <v>309.95443</v>
      </c>
      <c r="AI196">
        <v>309.89231000000001</v>
      </c>
      <c r="AJ196">
        <v>10547.046</v>
      </c>
      <c r="AK196">
        <v>9.6482195000000004E-4</v>
      </c>
      <c r="AL196">
        <v>1.2850002000000001E-4</v>
      </c>
      <c r="AM196">
        <v>1.2850002000000001E-4</v>
      </c>
      <c r="AN196">
        <v>478.21754312114058</v>
      </c>
      <c r="AO196">
        <v>37.468088707097003</v>
      </c>
      <c r="AP196">
        <v>31261.929807314191</v>
      </c>
      <c r="AQ196">
        <v>136</v>
      </c>
      <c r="AR196">
        <v>31125.929807314191</v>
      </c>
      <c r="AS196">
        <v>2.964046028367961</v>
      </c>
      <c r="AT196">
        <v>13.13580200479252</v>
      </c>
      <c r="AU196">
        <v>6.0818763282189368</v>
      </c>
      <c r="AV196">
        <v>14411.30550078647</v>
      </c>
      <c r="AW196">
        <v>363.34252275682712</v>
      </c>
      <c r="AZ196">
        <f t="shared" ref="AZ196:AZ219" si="12" xml:space="preserve"> 0.126*D196^0.7898*(E196/B196)^0.2409*BF196^(1/3)</f>
        <v>38.848326028710524</v>
      </c>
      <c r="BA196">
        <f t="shared" ref="BA196:BA219" si="13">(AO196-AZ196)/AO196</f>
        <v>-3.6837676253074624E-2</v>
      </c>
      <c r="BB196">
        <f t="shared" ref="BB196:BB219" si="14">0.01175*D196^0.95314*(E196/B196)^(-1.33383)*BF196^(1/3)</f>
        <v>36.283189241529392</v>
      </c>
      <c r="BC196">
        <f t="shared" ref="BC196:BC219" si="15">(AO196-BB196)/AO196</f>
        <v>3.1624230283814121E-2</v>
      </c>
      <c r="BD196">
        <v>0.76900000000000002</v>
      </c>
      <c r="BF196">
        <v>0.72</v>
      </c>
    </row>
    <row r="197" spans="1:58" x14ac:dyDescent="0.25">
      <c r="A197" t="s">
        <v>94</v>
      </c>
      <c r="B197">
        <v>4</v>
      </c>
      <c r="C197">
        <v>0.3</v>
      </c>
      <c r="D197">
        <v>2500</v>
      </c>
      <c r="E197">
        <v>2.0370860927152319</v>
      </c>
      <c r="F197">
        <v>3768.0572066717109</v>
      </c>
      <c r="G197">
        <v>6.1520000000000001</v>
      </c>
      <c r="H197">
        <v>25.2</v>
      </c>
      <c r="I197">
        <v>145725</v>
      </c>
      <c r="J197">
        <v>1.8505999999999999E-5</v>
      </c>
      <c r="K197">
        <v>1007</v>
      </c>
      <c r="L197">
        <v>2.7944060000000001E-3</v>
      </c>
      <c r="M197">
        <v>1.702</v>
      </c>
      <c r="N197">
        <v>18.863257606850159</v>
      </c>
      <c r="O197">
        <v>139.2561129568106</v>
      </c>
      <c r="P197">
        <v>139</v>
      </c>
      <c r="Q197">
        <v>0.28000000000000003</v>
      </c>
      <c r="R197">
        <v>45.04</v>
      </c>
      <c r="S197">
        <v>0.28000000000000003</v>
      </c>
      <c r="T197">
        <v>44.6</v>
      </c>
      <c r="U197">
        <v>12.6112</v>
      </c>
      <c r="V197">
        <v>12.488</v>
      </c>
      <c r="W197">
        <v>25.0992</v>
      </c>
      <c r="X197">
        <v>33.458092500000006</v>
      </c>
      <c r="Y197">
        <v>7843.5</v>
      </c>
      <c r="Z197">
        <v>124.21232545250029</v>
      </c>
      <c r="AA197">
        <v>7719.2876745474996</v>
      </c>
      <c r="AB197">
        <v>2.7944059999999998E-4</v>
      </c>
      <c r="AC197">
        <v>25.75235500000003</v>
      </c>
      <c r="AD197">
        <v>298.902355</v>
      </c>
      <c r="AE197">
        <v>298.82071000000002</v>
      </c>
      <c r="AF197">
        <v>307.66618999999997</v>
      </c>
      <c r="AG197">
        <v>306.27141</v>
      </c>
      <c r="AH197">
        <v>308.26618000000002</v>
      </c>
      <c r="AI197">
        <v>308.26618000000002</v>
      </c>
      <c r="AJ197">
        <v>15560.998</v>
      </c>
      <c r="AK197">
        <v>9.6482195000000004E-4</v>
      </c>
      <c r="AL197">
        <v>1.2850002000000001E-4</v>
      </c>
      <c r="AM197">
        <v>1.2850002000000001E-4</v>
      </c>
      <c r="AN197">
        <v>586.42105028970457</v>
      </c>
      <c r="AO197">
        <v>45.945775616177578</v>
      </c>
      <c r="AP197">
        <v>44472.863333333327</v>
      </c>
      <c r="AQ197">
        <v>170</v>
      </c>
      <c r="AR197">
        <v>44302.863333333327</v>
      </c>
      <c r="AS197">
        <v>2.8579698637152542</v>
      </c>
      <c r="AT197">
        <v>12.658823654988289</v>
      </c>
      <c r="AU197">
        <v>5.8610353522595764</v>
      </c>
      <c r="AV197">
        <v>20512.22572333334</v>
      </c>
      <c r="AW197">
        <v>454.22724317295189</v>
      </c>
      <c r="AZ197">
        <f t="shared" si="12"/>
        <v>46.335284943081845</v>
      </c>
      <c r="BA197">
        <f t="shared" si="13"/>
        <v>-8.4775873664241878E-3</v>
      </c>
      <c r="BB197">
        <f t="shared" si="14"/>
        <v>44.882213132029818</v>
      </c>
      <c r="BC197">
        <f t="shared" si="15"/>
        <v>2.3148210469501301E-2</v>
      </c>
      <c r="BD197">
        <v>0.76900000000000002</v>
      </c>
      <c r="BF197">
        <v>0.72</v>
      </c>
    </row>
    <row r="198" spans="1:58" x14ac:dyDescent="0.25">
      <c r="A198" t="s">
        <v>94</v>
      </c>
      <c r="B198">
        <v>4</v>
      </c>
      <c r="C198">
        <v>0.3</v>
      </c>
      <c r="D198">
        <v>3000</v>
      </c>
      <c r="E198">
        <v>2.0370860927152319</v>
      </c>
      <c r="F198">
        <v>4526.3565472652936</v>
      </c>
      <c r="G198">
        <v>6.1520000000000001</v>
      </c>
      <c r="H198">
        <v>25.2</v>
      </c>
      <c r="I198">
        <v>160325</v>
      </c>
      <c r="J198">
        <v>1.8508999999999998E-5</v>
      </c>
      <c r="K198">
        <v>1007</v>
      </c>
      <c r="L198">
        <v>3.3538307999999989E-3</v>
      </c>
      <c r="M198">
        <v>1.873</v>
      </c>
      <c r="N198">
        <v>22.639578626079508</v>
      </c>
      <c r="O198">
        <v>167.1344252491694</v>
      </c>
      <c r="P198">
        <v>167</v>
      </c>
      <c r="Q198">
        <v>0.28000000000000003</v>
      </c>
      <c r="R198">
        <v>45.04</v>
      </c>
      <c r="S198">
        <v>0.28000000000000003</v>
      </c>
      <c r="T198">
        <v>44.6</v>
      </c>
      <c r="U198">
        <v>12.6112</v>
      </c>
      <c r="V198">
        <v>12.488</v>
      </c>
      <c r="W198">
        <v>25.0992</v>
      </c>
      <c r="X198">
        <v>32.541479775730878</v>
      </c>
      <c r="Y198">
        <v>7843.5</v>
      </c>
      <c r="Z198">
        <v>104.67655846015209</v>
      </c>
      <c r="AA198">
        <v>7738.8234415398474</v>
      </c>
      <c r="AB198">
        <v>3.3538307999999992E-4</v>
      </c>
      <c r="AC198">
        <v>25.75902282739289</v>
      </c>
      <c r="AD198">
        <v>298.90902282739279</v>
      </c>
      <c r="AE198">
        <v>298.80380000000002</v>
      </c>
      <c r="AF198">
        <v>306.16980000000001</v>
      </c>
      <c r="AG198">
        <v>304.94018999999997</v>
      </c>
      <c r="AH198">
        <v>306.77026999999998</v>
      </c>
      <c r="AI198">
        <v>306.79577999999998</v>
      </c>
      <c r="AJ198">
        <v>22048.447</v>
      </c>
      <c r="AK198">
        <v>9.6482195000000004E-4</v>
      </c>
      <c r="AL198">
        <v>1.2850002000000001E-4</v>
      </c>
      <c r="AM198">
        <v>1.2850002000000001E-4</v>
      </c>
      <c r="AN198">
        <v>713.41701484671171</v>
      </c>
      <c r="AO198">
        <v>55.895841509640483</v>
      </c>
      <c r="AP198">
        <v>59049.766720064079</v>
      </c>
      <c r="AQ198">
        <v>204</v>
      </c>
      <c r="AR198">
        <v>58845.766720064079</v>
      </c>
      <c r="AS198">
        <v>2.678182582204728</v>
      </c>
      <c r="AT198">
        <v>12.36247551735311</v>
      </c>
      <c r="AU198">
        <v>5.7238261645344881</v>
      </c>
      <c r="AV198">
        <v>27245.589991389668</v>
      </c>
      <c r="AW198">
        <v>545.16105331599476</v>
      </c>
      <c r="AZ198">
        <f t="shared" si="12"/>
        <v>53.511753973204733</v>
      </c>
      <c r="BA198">
        <f t="shared" si="13"/>
        <v>4.2652323894695476E-2</v>
      </c>
      <c r="BB198">
        <f t="shared" si="14"/>
        <v>53.400469648981776</v>
      </c>
      <c r="BC198">
        <f t="shared" si="15"/>
        <v>4.4643247033472513E-2</v>
      </c>
      <c r="BD198">
        <v>0.76900000000000002</v>
      </c>
      <c r="BF198">
        <v>0.72</v>
      </c>
    </row>
    <row r="199" spans="1:58" x14ac:dyDescent="0.25">
      <c r="A199" t="s">
        <v>94</v>
      </c>
      <c r="B199">
        <v>4</v>
      </c>
      <c r="C199">
        <v>0.3</v>
      </c>
      <c r="D199">
        <v>3500</v>
      </c>
      <c r="E199">
        <v>2.0370860927152319</v>
      </c>
      <c r="F199">
        <v>5284.6955864080819</v>
      </c>
      <c r="G199">
        <v>6.1520000000000001</v>
      </c>
      <c r="H199">
        <v>25.2</v>
      </c>
      <c r="I199">
        <v>175825</v>
      </c>
      <c r="J199">
        <v>1.8510999999999999E-5</v>
      </c>
      <c r="K199">
        <v>1007</v>
      </c>
      <c r="L199">
        <v>3.9132253999999986E-3</v>
      </c>
      <c r="M199">
        <v>2.0539999999999998</v>
      </c>
      <c r="N199">
        <v>26.415695784316689</v>
      </c>
      <c r="O199">
        <v>195.01123255813951</v>
      </c>
      <c r="P199">
        <v>195</v>
      </c>
      <c r="Q199">
        <v>0.28999999999999998</v>
      </c>
      <c r="R199">
        <v>46.69</v>
      </c>
      <c r="S199">
        <v>0.28999999999999998</v>
      </c>
      <c r="T199">
        <v>46.11</v>
      </c>
      <c r="U199">
        <v>13.540100000000001</v>
      </c>
      <c r="V199">
        <v>13.3719</v>
      </c>
      <c r="W199">
        <v>26.911999999999999</v>
      </c>
      <c r="X199">
        <v>32.263804650238498</v>
      </c>
      <c r="Y199">
        <v>8410</v>
      </c>
      <c r="Z199">
        <v>98.758468510533021</v>
      </c>
      <c r="AA199">
        <v>8311.2415314894679</v>
      </c>
      <c r="AB199">
        <v>3.9132253999999989E-4</v>
      </c>
      <c r="AC199">
        <v>25.781011526232149</v>
      </c>
      <c r="AD199">
        <v>298.93101152623211</v>
      </c>
      <c r="AE199">
        <v>298.80079000000001</v>
      </c>
      <c r="AF199">
        <v>305.47286000000003</v>
      </c>
      <c r="AG199">
        <v>304.34530000000001</v>
      </c>
      <c r="AH199">
        <v>306.31652000000003</v>
      </c>
      <c r="AI199">
        <v>306.31652000000003</v>
      </c>
      <c r="AJ199">
        <v>28213.243999999999</v>
      </c>
      <c r="AK199">
        <v>9.6482195000000004E-4</v>
      </c>
      <c r="AL199">
        <v>1.2850002000000001E-4</v>
      </c>
      <c r="AM199">
        <v>1.2850002000000001E-4</v>
      </c>
      <c r="AN199">
        <v>829.83610793771004</v>
      </c>
      <c r="AO199">
        <v>65.017215181263268</v>
      </c>
      <c r="AP199">
        <v>74493.160108638054</v>
      </c>
      <c r="AQ199">
        <v>238</v>
      </c>
      <c r="AR199">
        <v>74255.160108638054</v>
      </c>
      <c r="AS199">
        <v>2.6403613887377881</v>
      </c>
      <c r="AT199">
        <v>12.13521469391358</v>
      </c>
      <c r="AU199">
        <v>5.618604403281986</v>
      </c>
      <c r="AV199">
        <v>34380.139130299423</v>
      </c>
      <c r="AW199">
        <v>636.08995448634585</v>
      </c>
      <c r="AZ199">
        <f t="shared" si="12"/>
        <v>60.439903279644852</v>
      </c>
      <c r="BA199">
        <f t="shared" si="13"/>
        <v>7.0401537329108949E-2</v>
      </c>
      <c r="BB199">
        <f t="shared" si="14"/>
        <v>61.852141344945437</v>
      </c>
      <c r="BC199">
        <f t="shared" si="15"/>
        <v>4.8680550643300159E-2</v>
      </c>
      <c r="BD199">
        <v>0.76900000000000002</v>
      </c>
      <c r="BF199">
        <v>0.72</v>
      </c>
    </row>
    <row r="200" spans="1:58" x14ac:dyDescent="0.25">
      <c r="A200" t="s">
        <v>95</v>
      </c>
    </row>
    <row r="201" spans="1:58" x14ac:dyDescent="0.25">
      <c r="A201" t="s">
        <v>96</v>
      </c>
      <c r="B201">
        <v>4</v>
      </c>
      <c r="C201">
        <v>0.4</v>
      </c>
      <c r="D201">
        <v>600</v>
      </c>
      <c r="E201">
        <v>2.0370860927152319</v>
      </c>
      <c r="F201">
        <v>926.79127725856688</v>
      </c>
      <c r="G201">
        <v>6.1520000000000001</v>
      </c>
      <c r="H201">
        <v>23.2</v>
      </c>
      <c r="I201">
        <v>107525</v>
      </c>
      <c r="J201">
        <v>1.8403999999999999E-5</v>
      </c>
      <c r="K201">
        <v>1007</v>
      </c>
      <c r="L201">
        <v>6.6696095999999982E-4</v>
      </c>
      <c r="M201">
        <v>1.264</v>
      </c>
      <c r="N201">
        <v>4.5022292402006308</v>
      </c>
      <c r="O201">
        <v>33.237257142857132</v>
      </c>
      <c r="P201">
        <v>34</v>
      </c>
      <c r="Q201">
        <v>0.249</v>
      </c>
      <c r="R201">
        <v>39.93</v>
      </c>
      <c r="S201">
        <v>0.249</v>
      </c>
      <c r="T201">
        <v>40.06</v>
      </c>
      <c r="U201">
        <v>9.9425699999999999</v>
      </c>
      <c r="V201">
        <v>9.9749400000000001</v>
      </c>
      <c r="W201">
        <v>19.91751</v>
      </c>
      <c r="X201">
        <v>41.793168345602453</v>
      </c>
      <c r="Y201">
        <v>6224.2218750000002</v>
      </c>
      <c r="Z201">
        <v>301.857796949825</v>
      </c>
      <c r="AA201">
        <v>5922.3640780501764</v>
      </c>
      <c r="AB201">
        <v>6.6696095999999982E-5</v>
      </c>
      <c r="AC201">
        <v>23.804010073614929</v>
      </c>
      <c r="AD201">
        <v>296.95401007361488</v>
      </c>
      <c r="AE201">
        <v>296.94407000000001</v>
      </c>
      <c r="AF201">
        <v>325.09404000000001</v>
      </c>
      <c r="AG201">
        <v>318.94905999999997</v>
      </c>
      <c r="AH201">
        <v>320.13103999999998</v>
      </c>
      <c r="AI201">
        <v>320.18392</v>
      </c>
      <c r="AJ201">
        <v>1531.6277</v>
      </c>
      <c r="AK201">
        <v>9.4798394000000005E-4</v>
      </c>
      <c r="AL201">
        <v>1.1775114E-4</v>
      </c>
      <c r="AM201">
        <v>1.1776090999999999E-4</v>
      </c>
      <c r="AN201">
        <v>195.9886287145676</v>
      </c>
      <c r="AO201">
        <v>15.355604226337491</v>
      </c>
      <c r="AP201">
        <v>6441.3373369495021</v>
      </c>
      <c r="AQ201">
        <v>41</v>
      </c>
      <c r="AR201">
        <v>6400.3373369495021</v>
      </c>
      <c r="AS201">
        <v>4.2055503024328313</v>
      </c>
      <c r="AT201">
        <v>22.18904947800355</v>
      </c>
      <c r="AU201">
        <v>9.2750226818054831</v>
      </c>
      <c r="AV201">
        <v>2675.341006844892</v>
      </c>
      <c r="AW201">
        <v>108.4136801040312</v>
      </c>
      <c r="AZ201">
        <f t="shared" si="12"/>
        <v>15.010759845234203</v>
      </c>
      <c r="BA201">
        <f t="shared" si="13"/>
        <v>2.2457232943775704E-2</v>
      </c>
      <c r="BB201">
        <f t="shared" si="14"/>
        <v>11.516719959580145</v>
      </c>
      <c r="BC201">
        <f t="shared" si="15"/>
        <v>0.24999890659939003</v>
      </c>
      <c r="BD201">
        <v>0.69399999999999995</v>
      </c>
      <c r="BF201">
        <v>0.72</v>
      </c>
    </row>
    <row r="202" spans="1:58" x14ac:dyDescent="0.25">
      <c r="A202" t="s">
        <v>96</v>
      </c>
      <c r="B202">
        <v>4</v>
      </c>
      <c r="C202">
        <v>0.4</v>
      </c>
      <c r="D202">
        <v>800</v>
      </c>
      <c r="E202">
        <v>2.0370860927152319</v>
      </c>
      <c r="F202">
        <v>1199.376947040498</v>
      </c>
      <c r="G202">
        <v>6.1520000000000001</v>
      </c>
      <c r="H202">
        <v>23.2</v>
      </c>
      <c r="I202">
        <v>110525</v>
      </c>
      <c r="J202">
        <v>1.8403999999999999E-5</v>
      </c>
      <c r="K202">
        <v>1007</v>
      </c>
      <c r="L202">
        <v>8.8928127999999998E-4</v>
      </c>
      <c r="M202">
        <v>1.2989999999999999</v>
      </c>
      <c r="N202">
        <v>6.0029723202675083</v>
      </c>
      <c r="O202">
        <v>44.316342857142857</v>
      </c>
      <c r="P202">
        <v>44</v>
      </c>
      <c r="Q202">
        <v>0.249</v>
      </c>
      <c r="R202">
        <v>39.93</v>
      </c>
      <c r="S202">
        <v>0.249</v>
      </c>
      <c r="T202">
        <v>40.06</v>
      </c>
      <c r="U202">
        <v>9.9425699999999999</v>
      </c>
      <c r="V202">
        <v>9.9749400000000001</v>
      </c>
      <c r="W202">
        <v>19.91751</v>
      </c>
      <c r="X202">
        <v>38.598810315003632</v>
      </c>
      <c r="Y202">
        <v>6224.2218750000002</v>
      </c>
      <c r="Z202">
        <v>233.77644424367219</v>
      </c>
      <c r="AA202">
        <v>5990.4454307563283</v>
      </c>
      <c r="AB202">
        <v>8.8928128000000003E-5</v>
      </c>
      <c r="AC202">
        <v>23.866697924253462</v>
      </c>
      <c r="AD202">
        <v>297.01669792425338</v>
      </c>
      <c r="AE202">
        <v>297.00965000000002</v>
      </c>
      <c r="AF202">
        <v>318.39172000000002</v>
      </c>
      <c r="AG202">
        <v>313.95452</v>
      </c>
      <c r="AH202">
        <v>315.13452000000001</v>
      </c>
      <c r="AI202">
        <v>315.18225000000001</v>
      </c>
      <c r="AJ202">
        <v>2557.2013999999999</v>
      </c>
      <c r="AK202">
        <v>9.4798394000000005E-4</v>
      </c>
      <c r="AL202">
        <v>1.1775114E-4</v>
      </c>
      <c r="AM202">
        <v>1.1776090999999999E-4</v>
      </c>
      <c r="AN202">
        <v>249.442302106493</v>
      </c>
      <c r="AO202">
        <v>19.543670944461859</v>
      </c>
      <c r="AP202">
        <v>9819.5098931779557</v>
      </c>
      <c r="AQ202">
        <v>54</v>
      </c>
      <c r="AR202">
        <v>9765.5098931779557</v>
      </c>
      <c r="AS202">
        <v>3.8399438906837591</v>
      </c>
      <c r="AT202">
        <v>19.315175127825949</v>
      </c>
      <c r="AU202">
        <v>8.0737432034312473</v>
      </c>
      <c r="AV202">
        <v>4081.983135348386</v>
      </c>
      <c r="AW202">
        <v>144.55157347204161</v>
      </c>
      <c r="AZ202">
        <f t="shared" si="12"/>
        <v>18.839930266484721</v>
      </c>
      <c r="BA202">
        <f t="shared" si="13"/>
        <v>3.6008622943815898E-2</v>
      </c>
      <c r="BB202">
        <f t="shared" si="14"/>
        <v>15.1500098107811</v>
      </c>
      <c r="BC202">
        <f t="shared" si="15"/>
        <v>0.22481248001802864</v>
      </c>
      <c r="BD202">
        <v>0.69399999999999995</v>
      </c>
      <c r="BF202">
        <v>0.72</v>
      </c>
    </row>
    <row r="203" spans="1:58" x14ac:dyDescent="0.25">
      <c r="A203" t="s">
        <v>96</v>
      </c>
      <c r="B203">
        <v>4</v>
      </c>
      <c r="C203">
        <v>0.4</v>
      </c>
      <c r="D203">
        <v>1000</v>
      </c>
      <c r="E203">
        <v>2.0370860927152319</v>
      </c>
      <c r="F203">
        <v>1498.325640329442</v>
      </c>
      <c r="G203">
        <v>6.1520000000000001</v>
      </c>
      <c r="H203">
        <v>23.4</v>
      </c>
      <c r="I203">
        <v>115625</v>
      </c>
      <c r="J203">
        <v>1.8414999999999999E-5</v>
      </c>
      <c r="K203">
        <v>1007</v>
      </c>
      <c r="L203">
        <v>1.112266E-3</v>
      </c>
      <c r="M203">
        <v>1.3580000000000001</v>
      </c>
      <c r="N203">
        <v>7.5082003421624481</v>
      </c>
      <c r="O203">
        <v>55.428538205980061</v>
      </c>
      <c r="P203">
        <v>55</v>
      </c>
      <c r="Q203">
        <v>0.249</v>
      </c>
      <c r="R203">
        <v>39.93</v>
      </c>
      <c r="S203">
        <v>0.249</v>
      </c>
      <c r="T203">
        <v>40.06</v>
      </c>
      <c r="U203">
        <v>9.9425699999999999</v>
      </c>
      <c r="V203">
        <v>9.9749400000000001</v>
      </c>
      <c r="W203">
        <v>19.91751</v>
      </c>
      <c r="X203">
        <v>36.300833333333323</v>
      </c>
      <c r="Y203">
        <v>6224.2218750000002</v>
      </c>
      <c r="Z203">
        <v>184.79966083333301</v>
      </c>
      <c r="AA203">
        <v>6039.4222141666669</v>
      </c>
      <c r="AB203">
        <v>1.112266E-4</v>
      </c>
      <c r="AC203">
        <v>23.89417364433811</v>
      </c>
      <c r="AD203">
        <v>297.04417364433812</v>
      </c>
      <c r="AE203">
        <v>297.02431000000001</v>
      </c>
      <c r="AF203">
        <v>314.40413999999998</v>
      </c>
      <c r="AG203">
        <v>310.79718000000003</v>
      </c>
      <c r="AH203">
        <v>311.96282000000002</v>
      </c>
      <c r="AI203">
        <v>312.03642000000002</v>
      </c>
      <c r="AJ203">
        <v>3896.654</v>
      </c>
      <c r="AK203">
        <v>9.4798394000000005E-4</v>
      </c>
      <c r="AL203">
        <v>1.1775114E-4</v>
      </c>
      <c r="AM203">
        <v>1.1776090999999999E-4</v>
      </c>
      <c r="AN203">
        <v>306.82048865050501</v>
      </c>
      <c r="AO203">
        <v>24.039221168847519</v>
      </c>
      <c r="AP203">
        <v>14111.352339181291</v>
      </c>
      <c r="AQ203">
        <v>68</v>
      </c>
      <c r="AR203">
        <v>14043.352339181291</v>
      </c>
      <c r="AS203">
        <v>3.6214024491733889</v>
      </c>
      <c r="AT203">
        <v>18.176152076523842</v>
      </c>
      <c r="AU203">
        <v>7.5976315679869657</v>
      </c>
      <c r="AV203">
        <v>5870.1212777777773</v>
      </c>
      <c r="AW203">
        <v>180.79746423927179</v>
      </c>
      <c r="AZ203">
        <f t="shared" si="12"/>
        <v>22.470814741417989</v>
      </c>
      <c r="BA203">
        <f t="shared" si="13"/>
        <v>6.5243645641150427E-2</v>
      </c>
      <c r="BB203">
        <f t="shared" si="14"/>
        <v>18.74052373823681</v>
      </c>
      <c r="BC203">
        <f t="shared" si="15"/>
        <v>0.22041884774026302</v>
      </c>
      <c r="BD203">
        <v>0.69399999999999995</v>
      </c>
      <c r="BF203">
        <v>0.72</v>
      </c>
    </row>
    <row r="204" spans="1:58" x14ac:dyDescent="0.25">
      <c r="A204" t="s">
        <v>96</v>
      </c>
      <c r="B204">
        <v>4</v>
      </c>
      <c r="C204">
        <v>0.4</v>
      </c>
      <c r="D204">
        <v>1200</v>
      </c>
      <c r="E204">
        <v>2.0370860927152319</v>
      </c>
      <c r="F204">
        <v>1825.233052764956</v>
      </c>
      <c r="G204">
        <v>6.1520000000000001</v>
      </c>
      <c r="H204">
        <v>23.4</v>
      </c>
      <c r="I204">
        <v>120325</v>
      </c>
      <c r="J204">
        <v>1.8414999999999999E-5</v>
      </c>
      <c r="K204">
        <v>1007</v>
      </c>
      <c r="L204">
        <v>1.3347191999999999E-3</v>
      </c>
      <c r="M204">
        <v>1.4139999999999999</v>
      </c>
      <c r="N204">
        <v>9.0098404105949399</v>
      </c>
      <c r="O204">
        <v>66.514245847176085</v>
      </c>
      <c r="P204">
        <v>67</v>
      </c>
      <c r="Q204">
        <v>0.249</v>
      </c>
      <c r="R204">
        <v>39.93</v>
      </c>
      <c r="S204">
        <v>0.249</v>
      </c>
      <c r="T204">
        <v>40.06</v>
      </c>
      <c r="U204">
        <v>9.9425699999999999</v>
      </c>
      <c r="V204">
        <v>9.9749400000000001</v>
      </c>
      <c r="W204">
        <v>19.91751</v>
      </c>
      <c r="X204">
        <v>34.619500983915138</v>
      </c>
      <c r="Y204">
        <v>6224.2218750000002</v>
      </c>
      <c r="Z204">
        <v>148.96542447018331</v>
      </c>
      <c r="AA204">
        <v>6075.2564505298169</v>
      </c>
      <c r="AB204">
        <v>1.3347192000000001E-4</v>
      </c>
      <c r="AC204">
        <v>23.98558949349761</v>
      </c>
      <c r="AD204">
        <v>297.1355894934976</v>
      </c>
      <c r="AE204">
        <v>297.11804999999998</v>
      </c>
      <c r="AF204">
        <v>311.60446999999999</v>
      </c>
      <c r="AG204">
        <v>308.81074000000001</v>
      </c>
      <c r="AH204">
        <v>309.99281000000002</v>
      </c>
      <c r="AI204">
        <v>310.03913</v>
      </c>
      <c r="AJ204">
        <v>5307.0230000000001</v>
      </c>
      <c r="AK204">
        <v>9.4798394000000005E-4</v>
      </c>
      <c r="AL204">
        <v>1.1775114E-4</v>
      </c>
      <c r="AM204">
        <v>1.1776090999999999E-4</v>
      </c>
      <c r="AN204">
        <v>350.29842778971738</v>
      </c>
      <c r="AO204">
        <v>27.445694444247859</v>
      </c>
      <c r="AP204">
        <v>19476.157027150359</v>
      </c>
      <c r="AQ204">
        <v>82</v>
      </c>
      <c r="AR204">
        <v>19394.157027150359</v>
      </c>
      <c r="AS204">
        <v>3.6698836668223129</v>
      </c>
      <c r="AT204">
        <v>17.814506747243151</v>
      </c>
      <c r="AU204">
        <v>7.4464638203476374</v>
      </c>
      <c r="AV204">
        <v>8106.7576373488482</v>
      </c>
      <c r="AW204">
        <v>216.95695708712611</v>
      </c>
      <c r="AZ204">
        <f t="shared" si="12"/>
        <v>25.951123673833294</v>
      </c>
      <c r="BA204">
        <f t="shared" si="13"/>
        <v>5.4455564002965189E-2</v>
      </c>
      <c r="BB204">
        <f t="shared" si="14"/>
        <v>22.297313328686084</v>
      </c>
      <c r="BC204">
        <f t="shared" si="15"/>
        <v>0.18758429035271823</v>
      </c>
      <c r="BD204">
        <v>0.69399999999999995</v>
      </c>
      <c r="BF204">
        <v>0.72</v>
      </c>
    </row>
    <row r="205" spans="1:58" x14ac:dyDescent="0.25">
      <c r="A205" t="s">
        <v>96</v>
      </c>
      <c r="B205">
        <v>4</v>
      </c>
      <c r="C205">
        <v>0.4</v>
      </c>
      <c r="D205">
        <v>1400</v>
      </c>
      <c r="E205">
        <v>2.0370860927152319</v>
      </c>
      <c r="F205">
        <v>2124.7827975673331</v>
      </c>
      <c r="G205">
        <v>6.1520000000000001</v>
      </c>
      <c r="H205">
        <v>23.4</v>
      </c>
      <c r="I205">
        <v>126225</v>
      </c>
      <c r="J205">
        <v>1.8416000000000001E-5</v>
      </c>
      <c r="K205">
        <v>1007</v>
      </c>
      <c r="L205">
        <v>1.55725696E-3</v>
      </c>
      <c r="M205">
        <v>1.4830000000000001</v>
      </c>
      <c r="N205">
        <v>10.51205128980555</v>
      </c>
      <c r="O205">
        <v>77.604167441860469</v>
      </c>
      <c r="P205">
        <v>78</v>
      </c>
      <c r="Q205">
        <v>0.249</v>
      </c>
      <c r="R205">
        <v>39.93</v>
      </c>
      <c r="S205">
        <v>0.249</v>
      </c>
      <c r="T205">
        <v>40.06</v>
      </c>
      <c r="U205">
        <v>9.9425699999999999</v>
      </c>
      <c r="V205">
        <v>9.9749400000000001</v>
      </c>
      <c r="W205">
        <v>19.91751</v>
      </c>
      <c r="X205">
        <v>33.45838018904697</v>
      </c>
      <c r="Y205">
        <v>6224.2218750000002</v>
      </c>
      <c r="Z205">
        <v>124.2184569691581</v>
      </c>
      <c r="AA205">
        <v>6100.0034180308421</v>
      </c>
      <c r="AB205">
        <v>1.5572569599999999E-4</v>
      </c>
      <c r="AC205">
        <v>24.009041122588219</v>
      </c>
      <c r="AD205">
        <v>297.15904112258818</v>
      </c>
      <c r="AE205">
        <v>297.13076000000001</v>
      </c>
      <c r="AF205">
        <v>309.56947000000002</v>
      </c>
      <c r="AG205">
        <v>307.16570999999999</v>
      </c>
      <c r="AH205">
        <v>308.39521999999999</v>
      </c>
      <c r="AI205">
        <v>308.32787000000002</v>
      </c>
      <c r="AJ205">
        <v>7028.6397999999999</v>
      </c>
      <c r="AK205">
        <v>9.4798394000000005E-4</v>
      </c>
      <c r="AL205">
        <v>1.1775114E-4</v>
      </c>
      <c r="AM205">
        <v>1.1776090999999999E-4</v>
      </c>
      <c r="AN205">
        <v>406.88944566162428</v>
      </c>
      <c r="AO205">
        <v>31.879570424227119</v>
      </c>
      <c r="AP205">
        <v>24890.946858961859</v>
      </c>
      <c r="AQ205">
        <v>95</v>
      </c>
      <c r="AR205">
        <v>24795.946858961859</v>
      </c>
      <c r="AS205">
        <v>3.541360429220155</v>
      </c>
      <c r="AT205">
        <v>17.174821055744321</v>
      </c>
      <c r="AU205">
        <v>7.1790752013011243</v>
      </c>
      <c r="AV205">
        <v>10364.705787046059</v>
      </c>
      <c r="AW205">
        <v>253.13019505851759</v>
      </c>
      <c r="AZ205">
        <f t="shared" si="12"/>
        <v>29.311007178534684</v>
      </c>
      <c r="BA205">
        <f t="shared" si="13"/>
        <v>8.0570823618766066E-2</v>
      </c>
      <c r="BB205">
        <f t="shared" si="14"/>
        <v>25.826300492934372</v>
      </c>
      <c r="BC205">
        <f t="shared" si="15"/>
        <v>0.18987928164466478</v>
      </c>
      <c r="BD205">
        <v>0.69399999999999995</v>
      </c>
      <c r="BF205">
        <v>0.72</v>
      </c>
    </row>
    <row r="206" spans="1:58" x14ac:dyDescent="0.25">
      <c r="A206" t="s">
        <v>96</v>
      </c>
      <c r="B206">
        <v>4</v>
      </c>
      <c r="C206">
        <v>0.4</v>
      </c>
      <c r="D206">
        <v>1600</v>
      </c>
      <c r="E206">
        <v>2.0370860927152319</v>
      </c>
      <c r="F206">
        <v>2423.642022219809</v>
      </c>
      <c r="G206">
        <v>6.1520000000000001</v>
      </c>
      <c r="H206">
        <v>23.5</v>
      </c>
      <c r="I206">
        <v>132125</v>
      </c>
      <c r="J206">
        <v>1.8422000000000001E-5</v>
      </c>
      <c r="K206">
        <v>1007</v>
      </c>
      <c r="L206">
        <v>1.78030208E-3</v>
      </c>
      <c r="M206">
        <v>1.552</v>
      </c>
      <c r="N206">
        <v>12.017687033684849</v>
      </c>
      <c r="O206">
        <v>88.719372757475071</v>
      </c>
      <c r="P206">
        <v>89</v>
      </c>
      <c r="Q206">
        <v>0.249</v>
      </c>
      <c r="R206">
        <v>39.93</v>
      </c>
      <c r="S206">
        <v>0.249</v>
      </c>
      <c r="T206">
        <v>40.06</v>
      </c>
      <c r="U206">
        <v>9.9425699999999999</v>
      </c>
      <c r="V206">
        <v>9.9749400000000001</v>
      </c>
      <c r="W206">
        <v>19.91751</v>
      </c>
      <c r="X206">
        <v>32.565541734638408</v>
      </c>
      <c r="Y206">
        <v>6224.2218750000002</v>
      </c>
      <c r="Z206">
        <v>105.1893909903483</v>
      </c>
      <c r="AA206">
        <v>6119.0324840096519</v>
      </c>
      <c r="AB206">
        <v>1.7803020800000001E-4</v>
      </c>
      <c r="AC206">
        <v>24.041990212071799</v>
      </c>
      <c r="AD206">
        <v>297.1919902120718</v>
      </c>
      <c r="AE206">
        <v>297.15321999999998</v>
      </c>
      <c r="AF206">
        <v>308.07067000000001</v>
      </c>
      <c r="AG206">
        <v>306.07551000000001</v>
      </c>
      <c r="AH206">
        <v>307.27276000000001</v>
      </c>
      <c r="AI206">
        <v>307.25547</v>
      </c>
      <c r="AJ206">
        <v>8928.5390000000007</v>
      </c>
      <c r="AK206">
        <v>9.4798394000000005E-4</v>
      </c>
      <c r="AL206">
        <v>1.1775114E-4</v>
      </c>
      <c r="AM206">
        <v>1.1776090999999999E-4</v>
      </c>
      <c r="AN206">
        <v>447.14999407304731</v>
      </c>
      <c r="AO206">
        <v>35.033962857073192</v>
      </c>
      <c r="AP206">
        <v>30745.13110990273</v>
      </c>
      <c r="AQ206">
        <v>109</v>
      </c>
      <c r="AR206">
        <v>30636.13110990273</v>
      </c>
      <c r="AS206">
        <v>3.4434671909819432</v>
      </c>
      <c r="AT206">
        <v>16.654781014094169</v>
      </c>
      <c r="AU206">
        <v>6.9616984638913637</v>
      </c>
      <c r="AV206">
        <v>12805.90280393934</v>
      </c>
      <c r="AW206">
        <v>289.38590377113132</v>
      </c>
      <c r="AZ206">
        <f t="shared" si="12"/>
        <v>32.57112667132354</v>
      </c>
      <c r="BA206">
        <f t="shared" si="13"/>
        <v>7.0298532763684099E-2</v>
      </c>
      <c r="BB206">
        <f t="shared" si="14"/>
        <v>29.331660131464151</v>
      </c>
      <c r="BC206">
        <f t="shared" si="15"/>
        <v>0.16276499318311552</v>
      </c>
      <c r="BD206">
        <v>0.69399999999999995</v>
      </c>
      <c r="BF206">
        <v>0.72</v>
      </c>
    </row>
    <row r="207" spans="1:58" x14ac:dyDescent="0.25">
      <c r="A207" t="s">
        <v>96</v>
      </c>
      <c r="B207">
        <v>4</v>
      </c>
      <c r="C207">
        <v>0.4</v>
      </c>
      <c r="D207">
        <v>1800</v>
      </c>
      <c r="E207">
        <v>2.0370860927152319</v>
      </c>
      <c r="F207">
        <v>2722.306634831054</v>
      </c>
      <c r="G207">
        <v>6.1520000000000001</v>
      </c>
      <c r="H207">
        <v>23.6</v>
      </c>
      <c r="I207">
        <v>138325</v>
      </c>
      <c r="J207">
        <v>1.8428E-5</v>
      </c>
      <c r="K207">
        <v>1007</v>
      </c>
      <c r="L207">
        <v>2.0034921600000002E-3</v>
      </c>
      <c r="M207">
        <v>1.6240000000000001</v>
      </c>
      <c r="N207">
        <v>13.524301310326649</v>
      </c>
      <c r="O207">
        <v>99.841801993355489</v>
      </c>
      <c r="P207">
        <v>100</v>
      </c>
      <c r="Q207">
        <v>0.28000000000000003</v>
      </c>
      <c r="R207">
        <v>44.83</v>
      </c>
      <c r="S207">
        <v>0.28000000000000003</v>
      </c>
      <c r="T207">
        <v>44.9</v>
      </c>
      <c r="U207">
        <v>12.5524</v>
      </c>
      <c r="V207">
        <v>12.571999999999999</v>
      </c>
      <c r="W207">
        <v>25.124400000000001</v>
      </c>
      <c r="X207">
        <v>33.933234823506602</v>
      </c>
      <c r="Y207">
        <v>7851.375</v>
      </c>
      <c r="Z207">
        <v>134.3390337933962</v>
      </c>
      <c r="AA207">
        <v>7717.0359662066039</v>
      </c>
      <c r="AB207">
        <v>2.0034921600000001E-4</v>
      </c>
      <c r="AC207">
        <v>24.0538207913111</v>
      </c>
      <c r="AD207">
        <v>297.2038207913111</v>
      </c>
      <c r="AE207">
        <v>297.15528</v>
      </c>
      <c r="AF207">
        <v>309.41012000000001</v>
      </c>
      <c r="AG207">
        <v>307.17701</v>
      </c>
      <c r="AH207">
        <v>308.72138000000001</v>
      </c>
      <c r="AI207">
        <v>308.60457000000002</v>
      </c>
      <c r="AJ207">
        <v>11016.004000000001</v>
      </c>
      <c r="AK207">
        <v>9.4798394000000005E-4</v>
      </c>
      <c r="AL207">
        <v>1.1775114E-4</v>
      </c>
      <c r="AM207">
        <v>1.1776090999999999E-4</v>
      </c>
      <c r="AN207">
        <v>497.98750784446838</v>
      </c>
      <c r="AO207">
        <v>39.017054868303227</v>
      </c>
      <c r="AP207">
        <v>37079.746250323253</v>
      </c>
      <c r="AQ207">
        <v>123</v>
      </c>
      <c r="AR207">
        <v>36956.746250323253</v>
      </c>
      <c r="AS207">
        <v>3.3659888150297732</v>
      </c>
      <c r="AT207">
        <v>16.28018675929788</v>
      </c>
      <c r="AU207">
        <v>6.8051180653865124</v>
      </c>
      <c r="AV207">
        <v>15447.919932635121</v>
      </c>
      <c r="AW207">
        <v>325.66517555266591</v>
      </c>
      <c r="AZ207">
        <f t="shared" si="12"/>
        <v>35.746460332321064</v>
      </c>
      <c r="BA207">
        <f t="shared" si="13"/>
        <v>8.3824741437343503E-2</v>
      </c>
      <c r="BB207">
        <f t="shared" si="14"/>
        <v>32.816492390902859</v>
      </c>
      <c r="BC207">
        <f t="shared" si="15"/>
        <v>0.15891928538249556</v>
      </c>
      <c r="BD207">
        <v>0.69399999999999995</v>
      </c>
      <c r="BF207">
        <v>0.72</v>
      </c>
    </row>
    <row r="208" spans="1:58" x14ac:dyDescent="0.25">
      <c r="A208" t="s">
        <v>96</v>
      </c>
      <c r="B208">
        <v>4</v>
      </c>
      <c r="C208">
        <v>0.4</v>
      </c>
      <c r="D208">
        <v>2000</v>
      </c>
      <c r="E208">
        <v>2.0370860927152319</v>
      </c>
      <c r="F208">
        <v>3021.5963969830159</v>
      </c>
      <c r="G208">
        <v>6.1520000000000001</v>
      </c>
      <c r="H208">
        <v>23.6</v>
      </c>
      <c r="I208">
        <v>145125</v>
      </c>
      <c r="J208">
        <v>1.8428999999999999E-5</v>
      </c>
      <c r="K208">
        <v>1007</v>
      </c>
      <c r="L208">
        <v>2.2262231999999999E-3</v>
      </c>
      <c r="M208">
        <v>1.704</v>
      </c>
      <c r="N208">
        <v>15.027816899887251</v>
      </c>
      <c r="O208">
        <v>110.9413554817276</v>
      </c>
      <c r="P208">
        <v>111</v>
      </c>
      <c r="Q208">
        <v>0.28000000000000003</v>
      </c>
      <c r="R208">
        <v>45.04</v>
      </c>
      <c r="S208">
        <v>0.28000000000000003</v>
      </c>
      <c r="T208">
        <v>44.6</v>
      </c>
      <c r="U208">
        <v>12.6112</v>
      </c>
      <c r="V208">
        <v>12.488</v>
      </c>
      <c r="W208">
        <v>25.0992</v>
      </c>
      <c r="X208">
        <v>33.318245017694167</v>
      </c>
      <c r="Y208">
        <v>7843.5</v>
      </c>
      <c r="Z208">
        <v>121.23175606211591</v>
      </c>
      <c r="AA208">
        <v>7722.2682439378841</v>
      </c>
      <c r="AB208">
        <v>2.2262232000000001E-4</v>
      </c>
      <c r="AC208">
        <v>24.087130750605311</v>
      </c>
      <c r="AD208">
        <v>297.23713075060527</v>
      </c>
      <c r="AE208">
        <v>297.18677000000002</v>
      </c>
      <c r="AF208">
        <v>308.12720000000002</v>
      </c>
      <c r="AG208">
        <v>306.08479</v>
      </c>
      <c r="AH208">
        <v>307.51931999999999</v>
      </c>
      <c r="AI208">
        <v>307.61317000000003</v>
      </c>
      <c r="AJ208">
        <v>13507.36</v>
      </c>
      <c r="AK208">
        <v>9.4798394000000005E-4</v>
      </c>
      <c r="AL208">
        <v>1.1775114E-4</v>
      </c>
      <c r="AM208">
        <v>1.1776090999999999E-4</v>
      </c>
      <c r="AN208">
        <v>560.89360594639618</v>
      </c>
      <c r="AO208">
        <v>43.945714006396209</v>
      </c>
      <c r="AP208">
        <v>43644.770596634997</v>
      </c>
      <c r="AQ208">
        <v>136</v>
      </c>
      <c r="AR208">
        <v>43508.770596634997</v>
      </c>
      <c r="AS208">
        <v>3.2311843762685681</v>
      </c>
      <c r="AT208">
        <v>15.964166896831729</v>
      </c>
      <c r="AU208">
        <v>6.6730217628756607</v>
      </c>
      <c r="AV208">
        <v>18186.666109393431</v>
      </c>
      <c r="AW208">
        <v>361.86983094928479</v>
      </c>
      <c r="AZ208">
        <f t="shared" si="12"/>
        <v>38.848326028710524</v>
      </c>
      <c r="BA208">
        <f t="shared" si="13"/>
        <v>0.11599283554577747</v>
      </c>
      <c r="BB208">
        <f t="shared" si="14"/>
        <v>36.283189241529392</v>
      </c>
      <c r="BC208">
        <f t="shared" si="15"/>
        <v>0.17436341491121413</v>
      </c>
      <c r="BD208">
        <v>0.69399999999999995</v>
      </c>
      <c r="BF208">
        <v>0.72</v>
      </c>
    </row>
    <row r="209" spans="1:58" x14ac:dyDescent="0.25">
      <c r="A209" t="s">
        <v>96</v>
      </c>
      <c r="B209">
        <v>4</v>
      </c>
      <c r="C209">
        <v>0.4</v>
      </c>
      <c r="D209">
        <v>2500</v>
      </c>
      <c r="E209">
        <v>2.0370860927152319</v>
      </c>
      <c r="F209">
        <v>3783.18504050926</v>
      </c>
      <c r="G209">
        <v>6.1520000000000001</v>
      </c>
      <c r="H209">
        <v>23.6</v>
      </c>
      <c r="I209">
        <v>162925</v>
      </c>
      <c r="J209">
        <v>1.8431999999999999E-5</v>
      </c>
      <c r="K209">
        <v>1007</v>
      </c>
      <c r="L209">
        <v>2.7832320000000001E-3</v>
      </c>
      <c r="M209">
        <v>1.913</v>
      </c>
      <c r="N209">
        <v>18.787829039741819</v>
      </c>
      <c r="O209">
        <v>138.69926910299</v>
      </c>
      <c r="P209">
        <v>139</v>
      </c>
      <c r="Q209">
        <v>0.28000000000000003</v>
      </c>
      <c r="R209">
        <v>45.04</v>
      </c>
      <c r="S209">
        <v>0.28000000000000003</v>
      </c>
      <c r="T209">
        <v>44.6</v>
      </c>
      <c r="U209">
        <v>12.6112</v>
      </c>
      <c r="V209">
        <v>12.488</v>
      </c>
      <c r="W209">
        <v>25.0992</v>
      </c>
      <c r="X209">
        <v>31.890306081754741</v>
      </c>
      <c r="Y209">
        <v>7843.5</v>
      </c>
      <c r="Z209">
        <v>90.798093520438783</v>
      </c>
      <c r="AA209">
        <v>7752.7019064795613</v>
      </c>
      <c r="AB209">
        <v>2.7832319999999999E-4</v>
      </c>
      <c r="AC209">
        <v>24.101711864406781</v>
      </c>
      <c r="AD209">
        <v>297.25171186440667</v>
      </c>
      <c r="AE209">
        <v>297.17606000000001</v>
      </c>
      <c r="AF209">
        <v>305.99146000000002</v>
      </c>
      <c r="AG209">
        <v>304.20742000000001</v>
      </c>
      <c r="AH209">
        <v>305.66136999999998</v>
      </c>
      <c r="AI209">
        <v>305.71355</v>
      </c>
      <c r="AJ209">
        <v>20130.93</v>
      </c>
      <c r="AK209">
        <v>9.4798394000000005E-4</v>
      </c>
      <c r="AL209">
        <v>1.1775114E-4</v>
      </c>
      <c r="AM209">
        <v>1.1776090999999999E-4</v>
      </c>
      <c r="AN209">
        <v>718.32942930363618</v>
      </c>
      <c r="AO209">
        <v>56.280726554711798</v>
      </c>
      <c r="AP209">
        <v>61392.024592888003</v>
      </c>
      <c r="AQ209">
        <v>170</v>
      </c>
      <c r="AR209">
        <v>61222.024592888003</v>
      </c>
      <c r="AS209">
        <v>3.0496367824481032</v>
      </c>
      <c r="AT209">
        <v>15.40915318743663</v>
      </c>
      <c r="AU209">
        <v>6.4410260323485096</v>
      </c>
      <c r="AV209">
        <v>25590.806279827179</v>
      </c>
      <c r="AW209">
        <v>452.41092327698311</v>
      </c>
      <c r="AZ209">
        <f t="shared" si="12"/>
        <v>46.335284943081845</v>
      </c>
      <c r="BA209">
        <f t="shared" si="13"/>
        <v>0.17671132233806111</v>
      </c>
      <c r="BB209">
        <f t="shared" si="14"/>
        <v>44.882213132029818</v>
      </c>
      <c r="BC209">
        <f t="shared" si="15"/>
        <v>0.20252960685575408</v>
      </c>
      <c r="BD209">
        <v>0.69399999999999995</v>
      </c>
      <c r="BF209">
        <v>0.72</v>
      </c>
    </row>
    <row r="210" spans="1:58" x14ac:dyDescent="0.25">
      <c r="A210" t="s">
        <v>96</v>
      </c>
      <c r="B210">
        <v>4</v>
      </c>
      <c r="C210">
        <v>0.4</v>
      </c>
      <c r="D210">
        <v>3000</v>
      </c>
      <c r="E210">
        <v>2.0370860927152319</v>
      </c>
      <c r="F210">
        <v>4544.7723409641603</v>
      </c>
      <c r="G210">
        <v>6.1520000000000001</v>
      </c>
      <c r="H210">
        <v>23.6</v>
      </c>
      <c r="I210">
        <v>181025</v>
      </c>
      <c r="J210">
        <v>1.8434E-5</v>
      </c>
      <c r="K210">
        <v>1007</v>
      </c>
      <c r="L210">
        <v>3.3402407999999998E-3</v>
      </c>
      <c r="M210">
        <v>2.1259999999999999</v>
      </c>
      <c r="N210">
        <v>22.5478411795964</v>
      </c>
      <c r="O210">
        <v>166.4571827242525</v>
      </c>
      <c r="P210">
        <v>167</v>
      </c>
      <c r="Q210">
        <v>0.28000000000000003</v>
      </c>
      <c r="R210">
        <v>45.04</v>
      </c>
      <c r="S210">
        <v>0.28000000000000003</v>
      </c>
      <c r="T210">
        <v>44.6</v>
      </c>
      <c r="U210">
        <v>12.6112</v>
      </c>
      <c r="V210">
        <v>12.488</v>
      </c>
      <c r="W210">
        <v>25.0992</v>
      </c>
      <c r="X210">
        <v>30.8778546334979</v>
      </c>
      <c r="Y210">
        <v>7843.5</v>
      </c>
      <c r="Z210">
        <v>69.219715803740769</v>
      </c>
      <c r="AA210">
        <v>7774.2802841962593</v>
      </c>
      <c r="AB210">
        <v>3.3402407999999999E-4</v>
      </c>
      <c r="AC210">
        <v>24.118576718571969</v>
      </c>
      <c r="AD210">
        <v>297.26857671857192</v>
      </c>
      <c r="AE210">
        <v>297.17406999999997</v>
      </c>
      <c r="AF210">
        <v>304.46447999999998</v>
      </c>
      <c r="AG210">
        <v>302.86891000000003</v>
      </c>
      <c r="AH210">
        <v>304.34285</v>
      </c>
      <c r="AI210">
        <v>304.37137999999999</v>
      </c>
      <c r="AJ210">
        <v>26783.257000000001</v>
      </c>
      <c r="AK210">
        <v>9.4798394000000005E-4</v>
      </c>
      <c r="AL210">
        <v>1.1775114E-4</v>
      </c>
      <c r="AM210">
        <v>1.1776090999999999E-4</v>
      </c>
      <c r="AN210">
        <v>896.09795807541718</v>
      </c>
      <c r="AO210">
        <v>70.20879569638268</v>
      </c>
      <c r="AP210">
        <v>79976.50588682112</v>
      </c>
      <c r="AQ210">
        <v>204</v>
      </c>
      <c r="AR210">
        <v>79772.50588682112</v>
      </c>
      <c r="AS210">
        <v>2.9860634905911971</v>
      </c>
      <c r="AT210">
        <v>14.89643555653638</v>
      </c>
      <c r="AU210">
        <v>6.2267100626322067</v>
      </c>
      <c r="AV210">
        <v>33344.907460691233</v>
      </c>
      <c r="AW210">
        <v>542.95201560468149</v>
      </c>
      <c r="AZ210">
        <f t="shared" si="12"/>
        <v>53.511753973204733</v>
      </c>
      <c r="BA210">
        <f t="shared" si="13"/>
        <v>0.23781979960721955</v>
      </c>
      <c r="BB210">
        <f t="shared" si="14"/>
        <v>53.400469648981776</v>
      </c>
      <c r="BC210">
        <f t="shared" si="15"/>
        <v>0.23940484779269483</v>
      </c>
      <c r="BD210">
        <v>0.69399999999999995</v>
      </c>
      <c r="BF210">
        <v>0.72</v>
      </c>
    </row>
    <row r="211" spans="1:58" x14ac:dyDescent="0.25">
      <c r="A211" t="s">
        <v>97</v>
      </c>
    </row>
    <row r="212" spans="1:58" x14ac:dyDescent="0.25">
      <c r="A212" t="s">
        <v>98</v>
      </c>
      <c r="B212">
        <v>4</v>
      </c>
      <c r="C212">
        <v>0.5</v>
      </c>
      <c r="D212">
        <v>800</v>
      </c>
      <c r="E212">
        <v>1.7192374350086661</v>
      </c>
      <c r="F212">
        <v>1142.996636649669</v>
      </c>
      <c r="G212">
        <v>4.96</v>
      </c>
      <c r="H212">
        <v>23.8</v>
      </c>
      <c r="I212">
        <v>114125</v>
      </c>
      <c r="J212">
        <v>1.8434E-5</v>
      </c>
      <c r="K212">
        <v>1007</v>
      </c>
      <c r="L212">
        <v>8.5091343999999978E-4</v>
      </c>
      <c r="M212">
        <v>1.339</v>
      </c>
      <c r="N212">
        <v>7.1243824348944367</v>
      </c>
      <c r="O212">
        <v>42.404324252491691</v>
      </c>
      <c r="P212">
        <v>42</v>
      </c>
      <c r="Q212">
        <v>0.25</v>
      </c>
      <c r="R212">
        <v>40.03</v>
      </c>
      <c r="S212">
        <v>0.25</v>
      </c>
      <c r="T212">
        <v>40.159999999999997</v>
      </c>
      <c r="U212">
        <v>10.0075</v>
      </c>
      <c r="V212">
        <v>10.039999999999999</v>
      </c>
      <c r="W212">
        <v>20.047499999999999</v>
      </c>
      <c r="X212">
        <v>39.742212278675922</v>
      </c>
      <c r="Y212">
        <v>6264.84375</v>
      </c>
      <c r="Z212">
        <v>258.14577029541988</v>
      </c>
      <c r="AA212">
        <v>6006.6979797045806</v>
      </c>
      <c r="AB212">
        <v>8.5091343999999983E-5</v>
      </c>
      <c r="AC212">
        <v>24.359488067744412</v>
      </c>
      <c r="AD212">
        <v>297.50948806774443</v>
      </c>
      <c r="AE212">
        <v>297.50067000000001</v>
      </c>
      <c r="AF212">
        <v>319.96969999999999</v>
      </c>
      <c r="AG212">
        <v>315.07589000000002</v>
      </c>
      <c r="AH212">
        <v>316.04124000000002</v>
      </c>
      <c r="AI212">
        <v>316.10280999999998</v>
      </c>
      <c r="AJ212">
        <v>3314.0088000000001</v>
      </c>
      <c r="AK212">
        <v>9.2480814000000004E-4</v>
      </c>
      <c r="AL212">
        <v>1.0696879E-4</v>
      </c>
      <c r="AM212">
        <v>1.0697315E-4</v>
      </c>
      <c r="AN212">
        <v>258.57525700353278</v>
      </c>
      <c r="AO212">
        <v>17.098163907979249</v>
      </c>
      <c r="AP212">
        <v>13366.78791377983</v>
      </c>
      <c r="AQ212">
        <v>54</v>
      </c>
      <c r="AR212">
        <v>13312.78791377983</v>
      </c>
      <c r="AS212">
        <v>4.0334195593505457</v>
      </c>
      <c r="AT212">
        <v>19.682923468277</v>
      </c>
      <c r="AU212">
        <v>7.3417304536673198</v>
      </c>
      <c r="AV212">
        <v>4985.8118918398768</v>
      </c>
      <c r="AW212">
        <v>171.55512903225801</v>
      </c>
      <c r="AZ212">
        <f t="shared" si="12"/>
        <v>18.085534100787299</v>
      </c>
      <c r="BA212">
        <f t="shared" si="13"/>
        <v>-5.7747147478640785E-2</v>
      </c>
      <c r="BB212">
        <f t="shared" si="14"/>
        <v>18.996818426334322</v>
      </c>
      <c r="BC212">
        <f t="shared" si="15"/>
        <v>-0.11104435122820543</v>
      </c>
      <c r="BD212">
        <v>0.62</v>
      </c>
      <c r="BF212">
        <v>0.72</v>
      </c>
    </row>
    <row r="213" spans="1:58" x14ac:dyDescent="0.25">
      <c r="A213" t="s">
        <v>98</v>
      </c>
      <c r="B213">
        <v>4</v>
      </c>
      <c r="C213">
        <v>0.5</v>
      </c>
      <c r="D213">
        <v>1000</v>
      </c>
      <c r="E213">
        <v>1.7192374350086661</v>
      </c>
      <c r="F213">
        <v>1442.2746587107861</v>
      </c>
      <c r="G213">
        <v>4.96</v>
      </c>
      <c r="H213">
        <v>23.8</v>
      </c>
      <c r="I213">
        <v>120825</v>
      </c>
      <c r="J213">
        <v>1.8434999999999999E-5</v>
      </c>
      <c r="K213">
        <v>1007</v>
      </c>
      <c r="L213">
        <v>1.0636994999999999E-3</v>
      </c>
      <c r="M213">
        <v>1.4179999999999999</v>
      </c>
      <c r="N213">
        <v>8.9059611443039302</v>
      </c>
      <c r="O213">
        <v>53.008280730896992</v>
      </c>
      <c r="P213">
        <v>53</v>
      </c>
      <c r="Q213">
        <v>0.25</v>
      </c>
      <c r="R213">
        <v>40.03</v>
      </c>
      <c r="S213">
        <v>0.25</v>
      </c>
      <c r="T213">
        <v>40.159999999999997</v>
      </c>
      <c r="U213">
        <v>10.0075</v>
      </c>
      <c r="V213">
        <v>10.039999999999999</v>
      </c>
      <c r="W213">
        <v>20.047499999999999</v>
      </c>
      <c r="X213">
        <v>37.191585528922353</v>
      </c>
      <c r="Y213">
        <v>6264.84375</v>
      </c>
      <c r="Z213">
        <v>203.78426237792209</v>
      </c>
      <c r="AA213">
        <v>6061.0594876220784</v>
      </c>
      <c r="AB213">
        <v>1.0636995E-4</v>
      </c>
      <c r="AC213">
        <v>24.422699088747979</v>
      </c>
      <c r="AD213">
        <v>297.57269908874798</v>
      </c>
      <c r="AE213">
        <v>297.55590999999998</v>
      </c>
      <c r="AF213">
        <v>315.57243</v>
      </c>
      <c r="AG213">
        <v>311.9717</v>
      </c>
      <c r="AH213">
        <v>312.99585999999999</v>
      </c>
      <c r="AI213">
        <v>312.93356999999997</v>
      </c>
      <c r="AJ213">
        <v>4887.2644</v>
      </c>
      <c r="AK213">
        <v>9.2480814000000004E-4</v>
      </c>
      <c r="AL213">
        <v>1.0696879E-4</v>
      </c>
      <c r="AM213">
        <v>1.0697315E-4</v>
      </c>
      <c r="AN213">
        <v>304.4671940574766</v>
      </c>
      <c r="AO213">
        <v>20.132746067525449</v>
      </c>
      <c r="AP213">
        <v>19822.297939778131</v>
      </c>
      <c r="AQ213">
        <v>68</v>
      </c>
      <c r="AR213">
        <v>19754.297939778131</v>
      </c>
      <c r="AS213">
        <v>4.055908646926925</v>
      </c>
      <c r="AT213">
        <v>19.273625174605701</v>
      </c>
      <c r="AU213">
        <v>7.1890621901279257</v>
      </c>
      <c r="AV213">
        <v>7393.7171315372416</v>
      </c>
      <c r="AW213">
        <v>214.45554435483871</v>
      </c>
      <c r="AZ213">
        <f t="shared" si="12"/>
        <v>21.57102921985587</v>
      </c>
      <c r="BA213">
        <f t="shared" si="13"/>
        <v>-7.1439988738068977E-2</v>
      </c>
      <c r="BB213">
        <f t="shared" si="14"/>
        <v>23.499016245939828</v>
      </c>
      <c r="BC213">
        <f t="shared" si="15"/>
        <v>-0.16720372705858763</v>
      </c>
      <c r="BD213">
        <v>0.62</v>
      </c>
      <c r="BF213">
        <v>0.72</v>
      </c>
    </row>
    <row r="214" spans="1:58" x14ac:dyDescent="0.25">
      <c r="A214" t="s">
        <v>98</v>
      </c>
      <c r="B214">
        <v>4</v>
      </c>
      <c r="C214">
        <v>0.5</v>
      </c>
      <c r="D214">
        <v>1200</v>
      </c>
      <c r="E214">
        <v>1.7192374350086661</v>
      </c>
      <c r="F214">
        <v>1740.5760959919039</v>
      </c>
      <c r="G214">
        <v>4.96</v>
      </c>
      <c r="H214">
        <v>24</v>
      </c>
      <c r="I214">
        <v>128325</v>
      </c>
      <c r="J214">
        <v>1.8445999999999999E-5</v>
      </c>
      <c r="K214">
        <v>1007</v>
      </c>
      <c r="L214">
        <v>1.27720104E-3</v>
      </c>
      <c r="M214">
        <v>1.5049999999999999</v>
      </c>
      <c r="N214">
        <v>10.693530302218409</v>
      </c>
      <c r="O214">
        <v>63.647892358803993</v>
      </c>
      <c r="P214">
        <v>64</v>
      </c>
      <c r="Q214">
        <v>0.25</v>
      </c>
      <c r="R214">
        <v>40.03</v>
      </c>
      <c r="S214">
        <v>0.25</v>
      </c>
      <c r="T214">
        <v>40.159999999999997</v>
      </c>
      <c r="U214">
        <v>10.0075</v>
      </c>
      <c r="V214">
        <v>10.039999999999999</v>
      </c>
      <c r="W214">
        <v>20.047499999999999</v>
      </c>
      <c r="X214">
        <v>35.471562316572097</v>
      </c>
      <c r="Y214">
        <v>6264.84375</v>
      </c>
      <c r="Z214">
        <v>167.12540765310121</v>
      </c>
      <c r="AA214">
        <v>6097.7183423468987</v>
      </c>
      <c r="AB214">
        <v>1.2772010399999999E-4</v>
      </c>
      <c r="AC214">
        <v>24.476991782430041</v>
      </c>
      <c r="AD214">
        <v>297.62699178243003</v>
      </c>
      <c r="AE214">
        <v>297.61020000000002</v>
      </c>
      <c r="AF214">
        <v>312.82211000000001</v>
      </c>
      <c r="AG214">
        <v>309.57943999999998</v>
      </c>
      <c r="AH214">
        <v>310.52945</v>
      </c>
      <c r="AI214">
        <v>310.59917000000002</v>
      </c>
      <c r="AJ214">
        <v>6877.8753999999999</v>
      </c>
      <c r="AK214">
        <v>9.2480814000000004E-4</v>
      </c>
      <c r="AL214">
        <v>1.0696879E-4</v>
      </c>
      <c r="AM214">
        <v>1.0697315E-4</v>
      </c>
      <c r="AN214">
        <v>376.73693208104822</v>
      </c>
      <c r="AO214">
        <v>24.911547568617511</v>
      </c>
      <c r="AP214">
        <v>26877.587556251219</v>
      </c>
      <c r="AQ214">
        <v>82</v>
      </c>
      <c r="AR214">
        <v>26795.587556251219</v>
      </c>
      <c r="AS214">
        <v>3.9078328688901842</v>
      </c>
      <c r="AT214">
        <v>18.738072537754469</v>
      </c>
      <c r="AU214">
        <v>6.9893010565824172</v>
      </c>
      <c r="AV214">
        <v>10025.340158481709</v>
      </c>
      <c r="AW214">
        <v>257.50020967741938</v>
      </c>
      <c r="AZ214">
        <f t="shared" si="12"/>
        <v>24.911978203645077</v>
      </c>
      <c r="BA214">
        <f t="shared" si="13"/>
        <v>-1.7286562642488539E-5</v>
      </c>
      <c r="BB214">
        <f t="shared" si="14"/>
        <v>27.958926627143544</v>
      </c>
      <c r="BC214">
        <f t="shared" si="15"/>
        <v>-0.12232797059806069</v>
      </c>
      <c r="BD214">
        <v>0.62</v>
      </c>
      <c r="BF214">
        <v>0.72</v>
      </c>
    </row>
    <row r="215" spans="1:58" x14ac:dyDescent="0.25">
      <c r="A215" t="s">
        <v>98</v>
      </c>
      <c r="B215">
        <v>4</v>
      </c>
      <c r="C215">
        <v>0.5</v>
      </c>
      <c r="D215">
        <v>1400</v>
      </c>
      <c r="E215">
        <v>1.7192374350086661</v>
      </c>
      <c r="F215">
        <v>2012.432012432012</v>
      </c>
      <c r="G215">
        <v>4.96</v>
      </c>
      <c r="H215">
        <v>24</v>
      </c>
      <c r="I215">
        <v>135025</v>
      </c>
      <c r="J215">
        <v>1.8447000000000001E-5</v>
      </c>
      <c r="K215">
        <v>1007</v>
      </c>
      <c r="L215">
        <v>1.4901486599999999E-3</v>
      </c>
      <c r="M215">
        <v>1.583</v>
      </c>
      <c r="N215">
        <v>12.476461693548391</v>
      </c>
      <c r="O215">
        <v>74.259900000000016</v>
      </c>
      <c r="P215">
        <v>74</v>
      </c>
      <c r="Q215">
        <v>0.25</v>
      </c>
      <c r="R215">
        <v>40.03</v>
      </c>
      <c r="S215">
        <v>0.25</v>
      </c>
      <c r="T215">
        <v>40.159999999999997</v>
      </c>
      <c r="U215">
        <v>10.0075</v>
      </c>
      <c r="V215">
        <v>10.039999999999999</v>
      </c>
      <c r="W215">
        <v>20.047499999999999</v>
      </c>
      <c r="X215">
        <v>34.359958567697873</v>
      </c>
      <c r="Y215">
        <v>6264.84375</v>
      </c>
      <c r="Z215">
        <v>143.4337969533448</v>
      </c>
      <c r="AA215">
        <v>6121.4099530466556</v>
      </c>
      <c r="AB215">
        <v>1.49014866E-4</v>
      </c>
      <c r="AC215">
        <v>24.54641321815992</v>
      </c>
      <c r="AD215">
        <v>297.69641321815988</v>
      </c>
      <c r="AE215">
        <v>297.67421999999999</v>
      </c>
      <c r="AF215">
        <v>310.83398</v>
      </c>
      <c r="AG215">
        <v>307.98338999999999</v>
      </c>
      <c r="AH215">
        <v>308.94322</v>
      </c>
      <c r="AI215">
        <v>308.98619000000002</v>
      </c>
      <c r="AJ215">
        <v>9072.9366000000009</v>
      </c>
      <c r="AK215">
        <v>9.2480814000000004E-4</v>
      </c>
      <c r="AL215">
        <v>1.0696879E-4</v>
      </c>
      <c r="AM215">
        <v>1.0697315E-4</v>
      </c>
      <c r="AN215">
        <v>439.5320964840077</v>
      </c>
      <c r="AO215">
        <v>29.063847467813339</v>
      </c>
      <c r="AP215">
        <v>33880.263827507697</v>
      </c>
      <c r="AQ215">
        <v>95</v>
      </c>
      <c r="AR215">
        <v>33785.263827507697</v>
      </c>
      <c r="AS215">
        <v>3.7342114599927538</v>
      </c>
      <c r="AT215">
        <v>17.85789729478239</v>
      </c>
      <c r="AU215">
        <v>6.6609956909538326</v>
      </c>
      <c r="AV215">
        <v>12637.338407660371</v>
      </c>
      <c r="AW215">
        <v>300.43319758064519</v>
      </c>
      <c r="AZ215">
        <f t="shared" si="12"/>
        <v>28.137323883774698</v>
      </c>
      <c r="BA215">
        <f t="shared" si="13"/>
        <v>3.1878903337375288E-2</v>
      </c>
      <c r="BB215">
        <f t="shared" si="14"/>
        <v>32.38397514033872</v>
      </c>
      <c r="BC215">
        <f t="shared" si="15"/>
        <v>-0.11423565569569703</v>
      </c>
      <c r="BD215">
        <v>0.62</v>
      </c>
      <c r="BF215">
        <v>0.72</v>
      </c>
    </row>
    <row r="216" spans="1:58" x14ac:dyDescent="0.25">
      <c r="A216" t="s">
        <v>98</v>
      </c>
      <c r="B216">
        <v>4</v>
      </c>
      <c r="C216">
        <v>0.5</v>
      </c>
      <c r="D216">
        <v>1600</v>
      </c>
      <c r="E216">
        <v>1.7192374350086661</v>
      </c>
      <c r="F216">
        <v>2311.4520092512289</v>
      </c>
      <c r="G216">
        <v>4.96</v>
      </c>
      <c r="H216">
        <v>24</v>
      </c>
      <c r="I216">
        <v>143225</v>
      </c>
      <c r="J216">
        <v>1.8448E-5</v>
      </c>
      <c r="K216">
        <v>1007</v>
      </c>
      <c r="L216">
        <v>1.70311936E-3</v>
      </c>
      <c r="M216">
        <v>1.679</v>
      </c>
      <c r="N216">
        <v>14.25958632515272</v>
      </c>
      <c r="O216">
        <v>84.873057807308982</v>
      </c>
      <c r="P216">
        <v>85</v>
      </c>
      <c r="Q216">
        <v>0.25</v>
      </c>
      <c r="R216">
        <v>40.03</v>
      </c>
      <c r="S216">
        <v>0.25</v>
      </c>
      <c r="T216">
        <v>40.159999999999997</v>
      </c>
      <c r="U216">
        <v>10.0075</v>
      </c>
      <c r="V216">
        <v>10.039999999999999</v>
      </c>
      <c r="W216">
        <v>20.047499999999999</v>
      </c>
      <c r="X216">
        <v>33.428618128145573</v>
      </c>
      <c r="Y216">
        <v>6264.84375</v>
      </c>
      <c r="Z216">
        <v>123.58413816516661</v>
      </c>
      <c r="AA216">
        <v>6141.2596118348338</v>
      </c>
      <c r="AB216">
        <v>1.70311936E-4</v>
      </c>
      <c r="AC216">
        <v>24.580334881920269</v>
      </c>
      <c r="AD216">
        <v>297.73033488192033</v>
      </c>
      <c r="AE216">
        <v>297.69785000000002</v>
      </c>
      <c r="AF216">
        <v>309.19661000000002</v>
      </c>
      <c r="AG216">
        <v>306.75729000000001</v>
      </c>
      <c r="AH216">
        <v>307.72676999999999</v>
      </c>
      <c r="AI216">
        <v>307.74991999999997</v>
      </c>
      <c r="AJ216">
        <v>11467.429</v>
      </c>
      <c r="AK216">
        <v>9.2480814000000004E-4</v>
      </c>
      <c r="AL216">
        <v>1.0696879E-4</v>
      </c>
      <c r="AM216">
        <v>1.0697315E-4</v>
      </c>
      <c r="AN216">
        <v>493.86641109880168</v>
      </c>
      <c r="AO216">
        <v>32.656677763632267</v>
      </c>
      <c r="AP216">
        <v>41987.873919215381</v>
      </c>
      <c r="AQ216">
        <v>109</v>
      </c>
      <c r="AR216">
        <v>41878.873919215381</v>
      </c>
      <c r="AS216">
        <v>3.6614897654230409</v>
      </c>
      <c r="AT216">
        <v>17.53223278453315</v>
      </c>
      <c r="AU216">
        <v>6.5395228286308651</v>
      </c>
      <c r="AV216">
        <v>15661.47697186734</v>
      </c>
      <c r="AW216">
        <v>343.37083870967751</v>
      </c>
      <c r="AZ216">
        <f t="shared" si="12"/>
        <v>31.266900343214299</v>
      </c>
      <c r="BA216">
        <f t="shared" si="13"/>
        <v>4.2557220011083835E-2</v>
      </c>
      <c r="BB216">
        <f t="shared" si="14"/>
        <v>36.779396754175806</v>
      </c>
      <c r="BC216">
        <f t="shared" si="15"/>
        <v>-0.1262442867086363</v>
      </c>
      <c r="BD216">
        <v>0.62</v>
      </c>
      <c r="BF216">
        <v>0.72</v>
      </c>
    </row>
    <row r="217" spans="1:58" x14ac:dyDescent="0.25">
      <c r="A217" t="s">
        <v>98</v>
      </c>
      <c r="B217">
        <v>4</v>
      </c>
      <c r="C217">
        <v>0.5</v>
      </c>
      <c r="D217">
        <v>1800</v>
      </c>
      <c r="E217">
        <v>1.7192374350086661</v>
      </c>
      <c r="F217">
        <v>2583.2475111568829</v>
      </c>
      <c r="G217">
        <v>4.96</v>
      </c>
      <c r="H217">
        <v>24</v>
      </c>
      <c r="I217">
        <v>151025</v>
      </c>
      <c r="J217">
        <v>1.8448999999999999E-5</v>
      </c>
      <c r="K217">
        <v>1007</v>
      </c>
      <c r="L217">
        <v>1.91611314E-3</v>
      </c>
      <c r="M217">
        <v>1.7709999999999999</v>
      </c>
      <c r="N217">
        <v>16.042904197031401</v>
      </c>
      <c r="O217">
        <v>95.487365780730883</v>
      </c>
      <c r="P217">
        <v>95</v>
      </c>
      <c r="Q217">
        <v>0.28000000000000003</v>
      </c>
      <c r="R217">
        <v>44.93</v>
      </c>
      <c r="S217">
        <v>0.28000000000000003</v>
      </c>
      <c r="T217">
        <v>45.04</v>
      </c>
      <c r="U217">
        <v>12.580399999999999</v>
      </c>
      <c r="V217">
        <v>12.6112</v>
      </c>
      <c r="W217">
        <v>25.191600000000001</v>
      </c>
      <c r="X217">
        <v>34.858845343137247</v>
      </c>
      <c r="Y217">
        <v>7872.3749999999991</v>
      </c>
      <c r="Z217">
        <v>154.06657079828429</v>
      </c>
      <c r="AA217">
        <v>7718.3084292017147</v>
      </c>
      <c r="AB217">
        <v>1.91611314E-4</v>
      </c>
      <c r="AC217">
        <v>24.628109803921571</v>
      </c>
      <c r="AD217">
        <v>297.77810980392161</v>
      </c>
      <c r="AE217">
        <v>297.74108999999999</v>
      </c>
      <c r="AF217">
        <v>310.63337000000001</v>
      </c>
      <c r="AG217">
        <v>307.89816999999999</v>
      </c>
      <c r="AH217">
        <v>309.12644</v>
      </c>
      <c r="AI217">
        <v>309.12840999999997</v>
      </c>
      <c r="AJ217">
        <v>14529.644</v>
      </c>
      <c r="AK217">
        <v>9.2480814000000004E-4</v>
      </c>
      <c r="AL217">
        <v>1.0696879E-4</v>
      </c>
      <c r="AM217">
        <v>1.0697315E-4</v>
      </c>
      <c r="AN217">
        <v>550.22419315261311</v>
      </c>
      <c r="AO217">
        <v>36.383308865977362</v>
      </c>
      <c r="AP217">
        <v>49952.380392156861</v>
      </c>
      <c r="AQ217">
        <v>123</v>
      </c>
      <c r="AR217">
        <v>49829.380392156861</v>
      </c>
      <c r="AS217">
        <v>3.437963131936121</v>
      </c>
      <c r="AT217">
        <v>17.008814791445751</v>
      </c>
      <c r="AU217">
        <v>6.3442879172092663</v>
      </c>
      <c r="AV217">
        <v>18632.23788627451</v>
      </c>
      <c r="AW217">
        <v>386.31313306451608</v>
      </c>
      <c r="AZ217">
        <f t="shared" si="12"/>
        <v>34.315085999692506</v>
      </c>
      <c r="BA217">
        <f t="shared" si="13"/>
        <v>5.6845375826135636E-2</v>
      </c>
      <c r="BB217">
        <f t="shared" si="14"/>
        <v>41.14907878775967</v>
      </c>
      <c r="BC217">
        <f t="shared" si="15"/>
        <v>-0.13098780925444795</v>
      </c>
      <c r="BD217">
        <v>0.62</v>
      </c>
      <c r="BF217">
        <v>0.72</v>
      </c>
    </row>
    <row r="218" spans="1:58" x14ac:dyDescent="0.25">
      <c r="A218" t="s">
        <v>98</v>
      </c>
      <c r="B218">
        <v>4</v>
      </c>
      <c r="C218">
        <v>0.5</v>
      </c>
      <c r="D218">
        <v>2000</v>
      </c>
      <c r="E218">
        <v>1.7192374350086661</v>
      </c>
      <c r="F218">
        <v>2881.423281856768</v>
      </c>
      <c r="G218">
        <v>4.96</v>
      </c>
      <c r="H218">
        <v>24.1</v>
      </c>
      <c r="I218">
        <v>160325</v>
      </c>
      <c r="J218">
        <v>1.8454999999999999E-5</v>
      </c>
      <c r="K218">
        <v>1007</v>
      </c>
      <c r="L218">
        <v>2.1297070000000002E-3</v>
      </c>
      <c r="M218">
        <v>1.879</v>
      </c>
      <c r="N218">
        <v>17.831246316043291</v>
      </c>
      <c r="O218">
        <v>106.1315780730897</v>
      </c>
      <c r="P218">
        <v>106</v>
      </c>
      <c r="Q218">
        <v>0.28000000000000003</v>
      </c>
      <c r="R218">
        <v>44.93</v>
      </c>
      <c r="S218">
        <v>0.28000000000000003</v>
      </c>
      <c r="T218">
        <v>45.04</v>
      </c>
      <c r="U218">
        <v>12.580399999999999</v>
      </c>
      <c r="V218">
        <v>12.6112</v>
      </c>
      <c r="W218">
        <v>25.191600000000001</v>
      </c>
      <c r="X218">
        <v>34.166023035887498</v>
      </c>
      <c r="Y218">
        <v>7872.3749999999991</v>
      </c>
      <c r="Z218">
        <v>139.3004489638702</v>
      </c>
      <c r="AA218">
        <v>7733.0745510361276</v>
      </c>
      <c r="AB218">
        <v>2.1297070000000001E-4</v>
      </c>
      <c r="AC218">
        <v>24.652240543161959</v>
      </c>
      <c r="AD218">
        <v>297.80224054316187</v>
      </c>
      <c r="AE218">
        <v>297.75378000000001</v>
      </c>
      <c r="AF218">
        <v>309.27836000000002</v>
      </c>
      <c r="AG218">
        <v>306.89416999999997</v>
      </c>
      <c r="AH218">
        <v>308.08019999999999</v>
      </c>
      <c r="AI218">
        <v>308.16376000000002</v>
      </c>
      <c r="AJ218">
        <v>16616.526999999998</v>
      </c>
      <c r="AK218">
        <v>9.2480814000000004E-4</v>
      </c>
      <c r="AL218">
        <v>1.0696879E-4</v>
      </c>
      <c r="AM218">
        <v>1.0697315E-4</v>
      </c>
      <c r="AN218">
        <v>602.16297492083424</v>
      </c>
      <c r="AO218">
        <v>39.81773571000317</v>
      </c>
      <c r="AP218">
        <v>58970.141286776598</v>
      </c>
      <c r="AQ218">
        <v>136</v>
      </c>
      <c r="AR218">
        <v>58834.141286776598</v>
      </c>
      <c r="AS218">
        <v>3.5488848714762482</v>
      </c>
      <c r="AT218">
        <v>16.848790521860469</v>
      </c>
      <c r="AU218">
        <v>6.2845988646539537</v>
      </c>
      <c r="AV218">
        <v>21995.862699967671</v>
      </c>
      <c r="AW218">
        <v>429.37641129032261</v>
      </c>
      <c r="AZ218">
        <f t="shared" si="12"/>
        <v>37.292745525742404</v>
      </c>
      <c r="BA218">
        <f t="shared" si="13"/>
        <v>6.3413705958835512E-2</v>
      </c>
      <c r="BB218">
        <f t="shared" si="14"/>
        <v>45.496020567535453</v>
      </c>
      <c r="BC218">
        <f t="shared" si="15"/>
        <v>-0.14260692518750537</v>
      </c>
      <c r="BD218">
        <v>0.62</v>
      </c>
      <c r="BF218">
        <v>0.72</v>
      </c>
    </row>
    <row r="219" spans="1:58" x14ac:dyDescent="0.25">
      <c r="A219" t="s">
        <v>98</v>
      </c>
      <c r="B219">
        <v>4</v>
      </c>
      <c r="C219">
        <v>0.5</v>
      </c>
      <c r="D219">
        <v>2500</v>
      </c>
      <c r="E219">
        <v>1.7192374350086661</v>
      </c>
      <c r="F219">
        <v>3614.587283529263</v>
      </c>
      <c r="G219">
        <v>4.96</v>
      </c>
      <c r="H219">
        <v>24.1</v>
      </c>
      <c r="I219">
        <v>182925</v>
      </c>
      <c r="J219">
        <v>1.8459000000000001E-5</v>
      </c>
      <c r="K219">
        <v>1007</v>
      </c>
      <c r="L219">
        <v>2.66271075E-3</v>
      </c>
      <c r="M219">
        <v>2.145</v>
      </c>
      <c r="N219">
        <v>22.293888901912979</v>
      </c>
      <c r="O219">
        <v>132.69322674418601</v>
      </c>
      <c r="P219">
        <v>133</v>
      </c>
      <c r="Q219">
        <v>0.28000000000000003</v>
      </c>
      <c r="R219">
        <v>44.93</v>
      </c>
      <c r="S219">
        <v>0.28000000000000003</v>
      </c>
      <c r="T219">
        <v>45.04</v>
      </c>
      <c r="U219">
        <v>12.580399999999999</v>
      </c>
      <c r="V219">
        <v>12.6112</v>
      </c>
      <c r="W219">
        <v>25.191600000000001</v>
      </c>
      <c r="X219">
        <v>32.762934813482289</v>
      </c>
      <c r="Y219">
        <v>7872.3749999999991</v>
      </c>
      <c r="Z219">
        <v>109.3964296797479</v>
      </c>
      <c r="AA219">
        <v>7762.9785703202506</v>
      </c>
      <c r="AB219">
        <v>2.6627107500000002E-4</v>
      </c>
      <c r="AC219">
        <v>24.67996307517511</v>
      </c>
      <c r="AD219">
        <v>297.8299630751751</v>
      </c>
      <c r="AE219">
        <v>297.76727</v>
      </c>
      <c r="AF219">
        <v>306.95395000000002</v>
      </c>
      <c r="AG219">
        <v>304.93194</v>
      </c>
      <c r="AH219">
        <v>306.19623999999999</v>
      </c>
      <c r="AI219">
        <v>306.13299000000001</v>
      </c>
      <c r="AJ219">
        <v>25114.684000000001</v>
      </c>
      <c r="AK219">
        <v>9.2480814000000004E-4</v>
      </c>
      <c r="AL219">
        <v>1.0696879E-4</v>
      </c>
      <c r="AM219">
        <v>1.0697315E-4</v>
      </c>
      <c r="AN219">
        <v>778.28662592955584</v>
      </c>
      <c r="AO219">
        <v>51.463827017872248</v>
      </c>
      <c r="AP219">
        <v>81592.216120684214</v>
      </c>
      <c r="AQ219">
        <v>170</v>
      </c>
      <c r="AR219">
        <v>81422.216120684214</v>
      </c>
      <c r="AS219">
        <v>3.2487852971068318</v>
      </c>
      <c r="AT219">
        <v>16.208780984226351</v>
      </c>
      <c r="AU219">
        <v>6.045875307116428</v>
      </c>
      <c r="AV219">
        <v>30433.896613015211</v>
      </c>
      <c r="AW219">
        <v>536.83684475806444</v>
      </c>
      <c r="AZ219">
        <f t="shared" si="12"/>
        <v>44.479908580052417</v>
      </c>
      <c r="BA219">
        <f t="shared" si="13"/>
        <v>0.13570538458778961</v>
      </c>
      <c r="BB219">
        <f t="shared" si="14"/>
        <v>56.278462132378593</v>
      </c>
      <c r="BC219">
        <f t="shared" si="15"/>
        <v>-9.3553771522555618E-2</v>
      </c>
      <c r="BD219">
        <v>0.62</v>
      </c>
      <c r="BF219">
        <v>0.72</v>
      </c>
    </row>
  </sheetData>
  <phoneticPr fontId="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4" x14ac:dyDescent="0.25"/>
  <sheetData>
    <row r="1" spans="1:2" x14ac:dyDescent="0.25">
      <c r="A1" t="s">
        <v>50</v>
      </c>
      <c r="B1">
        <v>0.60810810800000004</v>
      </c>
    </row>
    <row r="2" spans="1:2" x14ac:dyDescent="0.25">
      <c r="A2" t="s">
        <v>53</v>
      </c>
      <c r="B2">
        <v>0.57467994300000003</v>
      </c>
    </row>
    <row r="3" spans="1:2" x14ac:dyDescent="0.25">
      <c r="A3" t="s">
        <v>55</v>
      </c>
      <c r="B3">
        <v>0.54054054100000004</v>
      </c>
    </row>
    <row r="4" spans="1:2" x14ac:dyDescent="0.25">
      <c r="A4" t="s">
        <v>57</v>
      </c>
      <c r="B4">
        <v>0.57467994300000003</v>
      </c>
    </row>
    <row r="5" spans="1:2" x14ac:dyDescent="0.25">
      <c r="A5" t="s">
        <v>59</v>
      </c>
      <c r="B5">
        <v>0.52987197699999999</v>
      </c>
    </row>
    <row r="6" spans="1:2" x14ac:dyDescent="0.25">
      <c r="A6" t="s">
        <v>61</v>
      </c>
      <c r="B6">
        <v>0.48506401100000002</v>
      </c>
    </row>
    <row r="7" spans="1:2" x14ac:dyDescent="0.25">
      <c r="A7" t="s">
        <v>63</v>
      </c>
      <c r="B7">
        <v>0.54765291599999999</v>
      </c>
    </row>
    <row r="8" spans="1:2" x14ac:dyDescent="0.25">
      <c r="A8" t="s">
        <v>65</v>
      </c>
      <c r="B8">
        <v>0.49431009999999997</v>
      </c>
    </row>
    <row r="9" spans="1:2" x14ac:dyDescent="0.25">
      <c r="A9" t="s">
        <v>67</v>
      </c>
      <c r="B9">
        <v>0.44167852099999999</v>
      </c>
    </row>
    <row r="10" spans="1:2" x14ac:dyDescent="0.25">
      <c r="A10" t="s">
        <v>69</v>
      </c>
      <c r="B10">
        <v>0.50711237600000003</v>
      </c>
    </row>
    <row r="11" spans="1:2" x14ac:dyDescent="0.25">
      <c r="A11" t="s">
        <v>71</v>
      </c>
      <c r="B11">
        <v>0.44167852099999999</v>
      </c>
    </row>
    <row r="12" spans="1:2" x14ac:dyDescent="0.25">
      <c r="A12" t="s">
        <v>73</v>
      </c>
      <c r="B12">
        <v>0.37837837800000002</v>
      </c>
    </row>
    <row r="13" spans="1:2" x14ac:dyDescent="0.25">
      <c r="A13" t="s">
        <v>75</v>
      </c>
      <c r="B13">
        <v>0.53317249700000002</v>
      </c>
    </row>
    <row r="14" spans="1:2" x14ac:dyDescent="0.25">
      <c r="A14" t="s">
        <v>77</v>
      </c>
      <c r="B14">
        <v>0.50965018100000004</v>
      </c>
    </row>
    <row r="15" spans="1:2" x14ac:dyDescent="0.25">
      <c r="A15" t="s">
        <v>79</v>
      </c>
      <c r="B15">
        <v>0.486731001</v>
      </c>
    </row>
    <row r="16" spans="1:2" x14ac:dyDescent="0.25">
      <c r="A16" t="s">
        <v>81</v>
      </c>
      <c r="B16">
        <v>0.50965018100000004</v>
      </c>
    </row>
    <row r="17" spans="1:2" x14ac:dyDescent="0.25">
      <c r="A17" t="s">
        <v>83</v>
      </c>
      <c r="B17">
        <v>0.478890229</v>
      </c>
    </row>
    <row r="18" spans="1:2" x14ac:dyDescent="0.25">
      <c r="A18" t="s">
        <v>85</v>
      </c>
      <c r="B18">
        <v>0.448733414</v>
      </c>
    </row>
    <row r="19" spans="1:2" x14ac:dyDescent="0.25">
      <c r="A19" t="s">
        <v>87</v>
      </c>
      <c r="B19">
        <v>0.491556092</v>
      </c>
    </row>
    <row r="20" spans="1:2" x14ac:dyDescent="0.25">
      <c r="A20" t="s">
        <v>90</v>
      </c>
      <c r="B20">
        <v>0.45476477700000001</v>
      </c>
    </row>
    <row r="21" spans="1:2" x14ac:dyDescent="0.25">
      <c r="A21" t="s">
        <v>92</v>
      </c>
      <c r="B21">
        <v>0.41857659800000002</v>
      </c>
    </row>
    <row r="22" spans="1:2" x14ac:dyDescent="0.25">
      <c r="A22" t="s">
        <v>94</v>
      </c>
      <c r="B22">
        <v>0.46381182100000001</v>
      </c>
    </row>
    <row r="23" spans="1:2" x14ac:dyDescent="0.25">
      <c r="A23" t="s">
        <v>96</v>
      </c>
      <c r="B23">
        <v>0.41857659800000002</v>
      </c>
    </row>
    <row r="24" spans="1:2" x14ac:dyDescent="0.25">
      <c r="A24" t="s">
        <v>98</v>
      </c>
      <c r="B24">
        <v>0.37394451099999998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Diamond_汇总</vt:lpstr>
      <vt:lpstr>Gyroid_汇总</vt:lpstr>
      <vt:lpstr>边界效应系数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Alex</cp:lastModifiedBy>
  <dcterms:created xsi:type="dcterms:W3CDTF">2026-04-27T08:45:57Z</dcterms:created>
  <dcterms:modified xsi:type="dcterms:W3CDTF">2026-04-28T04:39:12Z</dcterms:modified>
</cp:coreProperties>
</file>